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bdf696e42964eb/Dokumentumok/Munka/09_MEGAKOM/13_Nyirbator/02_CBA/"/>
    </mc:Choice>
  </mc:AlternateContent>
  <xr:revisionPtr revIDLastSave="1395" documentId="8_{0456A64A-1C70-4935-A25F-F13B1CB49915}" xr6:coauthVersionLast="47" xr6:coauthVersionMax="47" xr10:uidLastSave="{B70E72E2-1E2A-489A-9150-5E734D73BD03}"/>
  <bookViews>
    <workbookView xWindow="28680" yWindow="-120" windowWidth="29040" windowHeight="15720" xr2:uid="{25AC5C98-0E05-4085-B7DC-0F13187ECB6F}"/>
  </bookViews>
  <sheets>
    <sheet name="Beruházás" sheetId="1" r:id="rId1"/>
    <sheet name="Működés" sheetId="2" r:id="rId2"/>
    <sheet name="Bevételek" sheetId="3" r:id="rId3"/>
    <sheet name="Összegzés" sheetId="4" r:id="rId4"/>
    <sheet name="Támogatási összeg " sheetId="5" r:id="rId5"/>
    <sheet name="Pénzügyi Fenntarthatóság" sheetId="6" r:id="rId6"/>
    <sheet name="Munk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C24" i="5"/>
  <c r="C12" i="5"/>
  <c r="C11" i="5"/>
  <c r="G28" i="1" l="1"/>
  <c r="G27" i="1"/>
  <c r="G26" i="1"/>
  <c r="G25" i="1"/>
  <c r="G24" i="1"/>
  <c r="G23" i="1"/>
  <c r="G22" i="1"/>
  <c r="G21" i="1"/>
  <c r="G20" i="1"/>
  <c r="G19" i="1"/>
  <c r="G16" i="1"/>
  <c r="G15" i="1"/>
  <c r="G14" i="1"/>
  <c r="G13" i="1"/>
  <c r="G12" i="1"/>
  <c r="G11" i="1"/>
  <c r="G10" i="1"/>
  <c r="G9" i="1"/>
  <c r="G6" i="1"/>
  <c r="G7" i="1"/>
  <c r="G8" i="1"/>
  <c r="G5" i="1"/>
  <c r="G3" i="1" s="1"/>
  <c r="E3" i="1"/>
  <c r="F3" i="1"/>
  <c r="H3" i="1" s="1"/>
  <c r="E28" i="1"/>
  <c r="E27" i="1"/>
  <c r="E26" i="1"/>
  <c r="E25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C22" i="5" l="1"/>
  <c r="G20" i="6" l="1"/>
  <c r="H20" i="6"/>
  <c r="I20" i="6"/>
  <c r="J20" i="6"/>
  <c r="K20" i="6"/>
  <c r="L20" i="6"/>
  <c r="M20" i="6"/>
  <c r="N20" i="6"/>
  <c r="O20" i="6"/>
  <c r="P20" i="6"/>
  <c r="G19" i="6"/>
  <c r="H19" i="6"/>
  <c r="I19" i="6"/>
  <c r="J19" i="6"/>
  <c r="K19" i="6"/>
  <c r="L19" i="6"/>
  <c r="M19" i="6"/>
  <c r="N19" i="6"/>
  <c r="O19" i="6"/>
  <c r="P19" i="6"/>
  <c r="C15" i="6"/>
  <c r="C13" i="6" s="1"/>
  <c r="D15" i="6"/>
  <c r="D13" i="6" s="1"/>
  <c r="E15" i="6"/>
  <c r="E13" i="6" s="1"/>
  <c r="F15" i="6"/>
  <c r="F13" i="6" s="1"/>
  <c r="G15" i="6"/>
  <c r="G13" i="6" s="1"/>
  <c r="G11" i="6" s="1"/>
  <c r="H15" i="6"/>
  <c r="H13" i="6" s="1"/>
  <c r="H11" i="6" s="1"/>
  <c r="I15" i="6"/>
  <c r="I13" i="6" s="1"/>
  <c r="I11" i="6" s="1"/>
  <c r="J15" i="6"/>
  <c r="J13" i="6" s="1"/>
  <c r="J11" i="6" s="1"/>
  <c r="K15" i="6"/>
  <c r="K13" i="6" s="1"/>
  <c r="K11" i="6" s="1"/>
  <c r="L15" i="6"/>
  <c r="L13" i="6" s="1"/>
  <c r="L11" i="6" s="1"/>
  <c r="M15" i="6"/>
  <c r="M13" i="6" s="1"/>
  <c r="M11" i="6" s="1"/>
  <c r="N15" i="6"/>
  <c r="N13" i="6" s="1"/>
  <c r="N11" i="6" s="1"/>
  <c r="O15" i="6"/>
  <c r="O13" i="6" s="1"/>
  <c r="O11" i="6" s="1"/>
  <c r="P15" i="6"/>
  <c r="P13" i="6" s="1"/>
  <c r="P11" i="6" s="1"/>
  <c r="B15" i="6"/>
  <c r="B13" i="6" s="1"/>
  <c r="C8" i="6" l="1"/>
  <c r="D8" i="6"/>
  <c r="E8" i="6"/>
  <c r="F8" i="6"/>
  <c r="G8" i="6"/>
  <c r="H8" i="6"/>
  <c r="I8" i="6"/>
  <c r="J8" i="6"/>
  <c r="K8" i="6"/>
  <c r="L8" i="6"/>
  <c r="M8" i="6"/>
  <c r="N8" i="6"/>
  <c r="O8" i="6"/>
  <c r="P8" i="6"/>
  <c r="B8" i="6"/>
  <c r="G7" i="6"/>
  <c r="H7" i="6"/>
  <c r="I7" i="6"/>
  <c r="J7" i="6"/>
  <c r="K7" i="6"/>
  <c r="L7" i="6"/>
  <c r="M7" i="6"/>
  <c r="N7" i="6"/>
  <c r="O7" i="6"/>
  <c r="P7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B3" i="6"/>
  <c r="G2" i="6"/>
  <c r="H2" i="6"/>
  <c r="I2" i="6"/>
  <c r="J2" i="6"/>
  <c r="K2" i="6"/>
  <c r="L2" i="6"/>
  <c r="M2" i="6"/>
  <c r="N2" i="6"/>
  <c r="O2" i="6"/>
  <c r="P2" i="6"/>
  <c r="AB5" i="1" l="1"/>
  <c r="AB6" i="1"/>
  <c r="AB7" i="1"/>
  <c r="AB8" i="1"/>
  <c r="AB9" i="1"/>
  <c r="AB10" i="1"/>
  <c r="AB11" i="1"/>
  <c r="AB12" i="1"/>
  <c r="AB13" i="1"/>
  <c r="AB14" i="1"/>
  <c r="AB15" i="1"/>
  <c r="AB16" i="1"/>
  <c r="AB30" i="1"/>
  <c r="AB31" i="1"/>
  <c r="AB32" i="1"/>
  <c r="AB33" i="1"/>
  <c r="Z19" i="1"/>
  <c r="Z25" i="1"/>
  <c r="AA5" i="1"/>
  <c r="AA6" i="1"/>
  <c r="AA7" i="1"/>
  <c r="AA8" i="1"/>
  <c r="AA9" i="1"/>
  <c r="AA10" i="1"/>
  <c r="AA11" i="1"/>
  <c r="AA12" i="1"/>
  <c r="AA13" i="1"/>
  <c r="AA14" i="1"/>
  <c r="AA15" i="1"/>
  <c r="AA16" i="1"/>
  <c r="AA28" i="1"/>
  <c r="AB28" i="1" s="1"/>
  <c r="M20" i="1"/>
  <c r="N7" i="1" l="1"/>
  <c r="O7" i="1"/>
  <c r="M22" i="1"/>
  <c r="N22" i="1" s="1"/>
  <c r="O22" i="1" s="1"/>
  <c r="W24" i="1"/>
  <c r="W23" i="1"/>
  <c r="X23" i="1"/>
  <c r="Y23" i="1"/>
  <c r="X24" i="1"/>
  <c r="Y24" i="1"/>
  <c r="W25" i="1"/>
  <c r="X25" i="1"/>
  <c r="W26" i="1"/>
  <c r="X26" i="1"/>
  <c r="Y26" i="1"/>
  <c r="V23" i="1"/>
  <c r="V24" i="1"/>
  <c r="V25" i="1"/>
  <c r="V26" i="1"/>
  <c r="V20" i="1"/>
  <c r="W20" i="1"/>
  <c r="X20" i="1"/>
  <c r="W19" i="1"/>
  <c r="X19" i="1"/>
  <c r="Y19" i="1"/>
  <c r="V19" i="1"/>
  <c r="W13" i="1"/>
  <c r="W12" i="1" s="1"/>
  <c r="X13" i="1"/>
  <c r="X12" i="1" s="1"/>
  <c r="Y13" i="1"/>
  <c r="Y12" i="1" s="1"/>
  <c r="Z13" i="1"/>
  <c r="V13" i="1"/>
  <c r="V12" i="1" s="1"/>
  <c r="W11" i="1"/>
  <c r="W10" i="1" s="1"/>
  <c r="X11" i="1"/>
  <c r="X10" i="1" s="1"/>
  <c r="Y11" i="1"/>
  <c r="Y10" i="1" s="1"/>
  <c r="Z11" i="1"/>
  <c r="Z10" i="1" s="1"/>
  <c r="V11" i="1"/>
  <c r="W7" i="1"/>
  <c r="X7" i="1"/>
  <c r="Y7" i="1"/>
  <c r="Z7" i="1"/>
  <c r="Z3" i="1" s="1"/>
  <c r="W8" i="1"/>
  <c r="X8" i="1"/>
  <c r="Y8" i="1"/>
  <c r="Z8" i="1"/>
  <c r="V8" i="1"/>
  <c r="V7" i="1"/>
  <c r="W4" i="1"/>
  <c r="X4" i="1"/>
  <c r="Y4" i="1"/>
  <c r="Y3" i="1" s="1"/>
  <c r="Z4" i="1"/>
  <c r="W5" i="1"/>
  <c r="X5" i="1"/>
  <c r="Y5" i="1"/>
  <c r="Z5" i="1"/>
  <c r="V5" i="1"/>
  <c r="V4" i="1"/>
  <c r="T14" i="1"/>
  <c r="R14" i="1"/>
  <c r="R12" i="1" s="1"/>
  <c r="R9" i="1" s="1"/>
  <c r="S14" i="1"/>
  <c r="U14" i="1"/>
  <c r="U12" i="1" s="1"/>
  <c r="Q16" i="1"/>
  <c r="R16" i="1"/>
  <c r="S16" i="1"/>
  <c r="T16" i="1"/>
  <c r="W15" i="1"/>
  <c r="R27" i="1"/>
  <c r="R18" i="1" s="1"/>
  <c r="R17" i="1" s="1"/>
  <c r="S27" i="1"/>
  <c r="S18" i="1" s="1"/>
  <c r="S17" i="1" s="1"/>
  <c r="T27" i="1"/>
  <c r="T18" i="1" s="1"/>
  <c r="T17" i="1" s="1"/>
  <c r="R6" i="1"/>
  <c r="S6" i="1"/>
  <c r="T6" i="1"/>
  <c r="T3" i="1" s="1"/>
  <c r="U6" i="1"/>
  <c r="U3" i="1" s="1"/>
  <c r="Q27" i="1"/>
  <c r="Q18" i="1" s="1"/>
  <c r="Q17" i="1" s="1"/>
  <c r="Q14" i="1"/>
  <c r="Q6" i="1"/>
  <c r="R30" i="1"/>
  <c r="S30" i="1"/>
  <c r="T30" i="1"/>
  <c r="U30" i="1"/>
  <c r="V30" i="1"/>
  <c r="W30" i="1"/>
  <c r="X30" i="1"/>
  <c r="Y30" i="1"/>
  <c r="Z30" i="1"/>
  <c r="Q30" i="1"/>
  <c r="R15" i="1"/>
  <c r="S15" i="1"/>
  <c r="T15" i="1"/>
  <c r="V15" i="1"/>
  <c r="X15" i="1"/>
  <c r="Y15" i="1"/>
  <c r="Z15" i="1"/>
  <c r="Q15" i="1"/>
  <c r="S12" i="1"/>
  <c r="T12" i="1"/>
  <c r="Z12" i="1"/>
  <c r="Q12" i="1"/>
  <c r="R10" i="1"/>
  <c r="S10" i="1"/>
  <c r="T10" i="1"/>
  <c r="U10" i="1"/>
  <c r="V10" i="1"/>
  <c r="Q10" i="1"/>
  <c r="R3" i="1"/>
  <c r="S3" i="1"/>
  <c r="V3" i="1"/>
  <c r="Q3" i="1"/>
  <c r="M26" i="1"/>
  <c r="Z26" i="1" s="1"/>
  <c r="C27" i="1"/>
  <c r="D26" i="1"/>
  <c r="D24" i="1"/>
  <c r="D19" i="1"/>
  <c r="C16" i="1"/>
  <c r="C15" i="1" s="1"/>
  <c r="D15" i="1"/>
  <c r="C14" i="1"/>
  <c r="D13" i="1"/>
  <c r="F28" i="1"/>
  <c r="F26" i="1"/>
  <c r="F25" i="1"/>
  <c r="F24" i="1"/>
  <c r="F23" i="1"/>
  <c r="F21" i="1"/>
  <c r="F20" i="1"/>
  <c r="F19" i="1"/>
  <c r="F13" i="1"/>
  <c r="F11" i="1"/>
  <c r="C10" i="1"/>
  <c r="D11" i="1"/>
  <c r="D10" i="1" s="1"/>
  <c r="C6" i="1"/>
  <c r="D5" i="1"/>
  <c r="F4" i="1"/>
  <c r="D8" i="1"/>
  <c r="D7" i="1"/>
  <c r="E4" i="1"/>
  <c r="AA4" i="1" l="1"/>
  <c r="AB4" i="1" s="1"/>
  <c r="W18" i="1"/>
  <c r="W17" i="1" s="1"/>
  <c r="X3" i="1"/>
  <c r="V18" i="1"/>
  <c r="V17" i="1" s="1"/>
  <c r="X18" i="1"/>
  <c r="X17" i="1" s="1"/>
  <c r="Z9" i="1"/>
  <c r="W3" i="1"/>
  <c r="AA3" i="1" s="1"/>
  <c r="Y9" i="1"/>
  <c r="R29" i="1"/>
  <c r="T9" i="1"/>
  <c r="T29" i="1" s="1"/>
  <c r="X9" i="1"/>
  <c r="Q9" i="1"/>
  <c r="Q29" i="1"/>
  <c r="S9" i="1"/>
  <c r="S29" i="1" s="1"/>
  <c r="V9" i="1"/>
  <c r="W9" i="1"/>
  <c r="G4" i="1"/>
  <c r="C18" i="1"/>
  <c r="C17" i="1" s="1"/>
  <c r="D12" i="1"/>
  <c r="D9" i="1" s="1"/>
  <c r="C12" i="1"/>
  <c r="C9" i="1" s="1"/>
  <c r="D18" i="1"/>
  <c r="V29" i="1" l="1"/>
  <c r="V33" i="1" s="1"/>
  <c r="X29" i="1"/>
  <c r="W29" i="1"/>
  <c r="R33" i="1"/>
  <c r="J31" i="1"/>
  <c r="S33" i="1"/>
  <c r="K31" i="1"/>
  <c r="T33" i="1"/>
  <c r="L31" i="1"/>
  <c r="Q33" i="1"/>
  <c r="I31" i="1"/>
  <c r="D17" i="1"/>
  <c r="I32" i="1" l="1"/>
  <c r="W33" i="1"/>
  <c r="J32" i="1"/>
  <c r="X33" i="1"/>
  <c r="K32" i="1"/>
  <c r="C3" i="1" l="1"/>
  <c r="C29" i="1" s="1"/>
  <c r="E31" i="1" s="1"/>
  <c r="F31" i="1" s="1"/>
  <c r="D3" i="1"/>
  <c r="D29" i="1" l="1"/>
  <c r="E32" i="1" s="1"/>
  <c r="G32" i="1" s="1"/>
  <c r="AB3" i="1"/>
  <c r="B6" i="5" l="1"/>
  <c r="B5" i="5"/>
  <c r="B4" i="5"/>
  <c r="B3" i="5"/>
  <c r="L25" i="1" l="1"/>
  <c r="Y18" i="1" s="1"/>
  <c r="Y17" i="1" s="1"/>
  <c r="Y29" i="1" s="1"/>
  <c r="M24" i="1"/>
  <c r="Z24" i="1" s="1"/>
  <c r="Y33" i="1" l="1"/>
  <c r="L32" i="1"/>
  <c r="H7" i="1"/>
  <c r="M21" i="1" l="1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C8" i="4"/>
  <c r="D4" i="4"/>
  <c r="D3" i="4" s="1"/>
  <c r="E4" i="4"/>
  <c r="E3" i="4" s="1"/>
  <c r="F4" i="4"/>
  <c r="G4" i="4"/>
  <c r="G3" i="4" s="1"/>
  <c r="H4" i="4"/>
  <c r="I4" i="4"/>
  <c r="I3" i="4" s="1"/>
  <c r="J4" i="4"/>
  <c r="J3" i="4" s="1"/>
  <c r="K4" i="4"/>
  <c r="L4" i="4"/>
  <c r="L3" i="4" s="1"/>
  <c r="M4" i="4"/>
  <c r="M3" i="4" s="1"/>
  <c r="N4" i="4"/>
  <c r="O4" i="4"/>
  <c r="O3" i="4" s="1"/>
  <c r="P4" i="4"/>
  <c r="Q4" i="4"/>
  <c r="Q3" i="4" s="1"/>
  <c r="C4" i="4"/>
  <c r="F3" i="4"/>
  <c r="H3" i="4"/>
  <c r="K3" i="4"/>
  <c r="N3" i="4"/>
  <c r="P3" i="4"/>
  <c r="C3" i="4"/>
  <c r="N6" i="1"/>
  <c r="O6" i="1" s="1"/>
  <c r="N19" i="1"/>
  <c r="O19" i="1" s="1"/>
  <c r="N24" i="1"/>
  <c r="O24" i="1" s="1"/>
  <c r="N28" i="1"/>
  <c r="O28" i="1" s="1"/>
  <c r="B4" i="4"/>
  <c r="B5" i="4"/>
  <c r="B6" i="4"/>
  <c r="B8" i="4"/>
  <c r="B3" i="3"/>
  <c r="I3" i="3"/>
  <c r="J3" i="3"/>
  <c r="K3" i="3"/>
  <c r="L3" i="3"/>
  <c r="M3" i="3"/>
  <c r="N3" i="3"/>
  <c r="O3" i="3"/>
  <c r="P3" i="3"/>
  <c r="Q3" i="3"/>
  <c r="H3" i="3"/>
  <c r="B2" i="3"/>
  <c r="Q2" i="3"/>
  <c r="I2" i="3"/>
  <c r="J2" i="3"/>
  <c r="K2" i="3"/>
  <c r="L2" i="3"/>
  <c r="M2" i="3"/>
  <c r="N2" i="3"/>
  <c r="O2" i="3"/>
  <c r="P2" i="3"/>
  <c r="H2" i="3"/>
  <c r="I7" i="4" l="1"/>
  <c r="I9" i="4" s="1"/>
  <c r="N7" i="4"/>
  <c r="N9" i="4" s="1"/>
  <c r="M7" i="4"/>
  <c r="M9" i="4" s="1"/>
  <c r="L7" i="4"/>
  <c r="L9" i="4" s="1"/>
  <c r="K7" i="4"/>
  <c r="K9" i="4" s="1"/>
  <c r="J7" i="4"/>
  <c r="J9" i="4" s="1"/>
  <c r="Q7" i="4"/>
  <c r="Q9" i="4" s="1"/>
  <c r="P7" i="4"/>
  <c r="P9" i="4" s="1"/>
  <c r="H7" i="4"/>
  <c r="H9" i="4" s="1"/>
  <c r="B3" i="4"/>
  <c r="D9" i="2" l="1"/>
  <c r="E9" i="2"/>
  <c r="F9" i="2"/>
  <c r="G9" i="2"/>
  <c r="H9" i="2"/>
  <c r="I9" i="2"/>
  <c r="J9" i="2"/>
  <c r="K9" i="2"/>
  <c r="L9" i="2"/>
  <c r="M9" i="2"/>
  <c r="N9" i="2"/>
  <c r="O9" i="2"/>
  <c r="P9" i="2"/>
  <c r="Q9" i="2"/>
  <c r="C9" i="2"/>
  <c r="B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C8" i="2"/>
  <c r="C6" i="2"/>
  <c r="D6" i="2"/>
  <c r="E6" i="2"/>
  <c r="F6" i="2"/>
  <c r="G6" i="2"/>
  <c r="B7" i="2"/>
  <c r="I5" i="2" l="1"/>
  <c r="J5" i="2" s="1"/>
  <c r="H4" i="2"/>
  <c r="H6" i="2" s="1"/>
  <c r="I3" i="2"/>
  <c r="I4" i="2" l="1"/>
  <c r="J4" i="2" s="1"/>
  <c r="K4" i="2" s="1"/>
  <c r="L4" i="2" s="1"/>
  <c r="M4" i="2" s="1"/>
  <c r="N4" i="2" s="1"/>
  <c r="O4" i="2" s="1"/>
  <c r="P4" i="2" s="1"/>
  <c r="Q4" i="2" s="1"/>
  <c r="J3" i="2"/>
  <c r="J6" i="2" s="1"/>
  <c r="K5" i="2"/>
  <c r="L5" i="2" s="1"/>
  <c r="M5" i="2" s="1"/>
  <c r="N5" i="2" s="1"/>
  <c r="O5" i="2" s="1"/>
  <c r="P5" i="2" s="1"/>
  <c r="Q5" i="2" s="1"/>
  <c r="I6" i="2" l="1"/>
  <c r="K3" i="2"/>
  <c r="K6" i="2" s="1"/>
  <c r="B5" i="2"/>
  <c r="B4" i="2"/>
  <c r="L3" i="2" l="1"/>
  <c r="L6" i="2" s="1"/>
  <c r="M3" i="2" l="1"/>
  <c r="M6" i="2" s="1"/>
  <c r="N3" i="2" l="1"/>
  <c r="N6" i="2" s="1"/>
  <c r="O3" i="2" l="1"/>
  <c r="O6" i="2" s="1"/>
  <c r="P3" i="2" l="1"/>
  <c r="P6" i="2" s="1"/>
  <c r="Q3" i="2" l="1"/>
  <c r="Q6" i="2" s="1"/>
  <c r="B6" i="2" s="1"/>
  <c r="B3" i="2" l="1"/>
  <c r="M16" i="1" l="1"/>
  <c r="M11" i="1"/>
  <c r="K23" i="1"/>
  <c r="N21" i="1"/>
  <c r="O21" i="1" s="1"/>
  <c r="J18" i="1"/>
  <c r="J17" i="1" s="1"/>
  <c r="I18" i="1"/>
  <c r="N8" i="1"/>
  <c r="O8" i="1" s="1"/>
  <c r="K5" i="1"/>
  <c r="I5" i="1"/>
  <c r="J15" i="1"/>
  <c r="K15" i="1"/>
  <c r="L15" i="1"/>
  <c r="I15" i="1"/>
  <c r="J12" i="1"/>
  <c r="K12" i="1"/>
  <c r="L12" i="1"/>
  <c r="I12" i="1"/>
  <c r="J10" i="1"/>
  <c r="K10" i="1"/>
  <c r="L10" i="1"/>
  <c r="I10" i="1"/>
  <c r="J3" i="1"/>
  <c r="L3" i="1"/>
  <c r="H28" i="1"/>
  <c r="H27" i="1"/>
  <c r="H26" i="1"/>
  <c r="H24" i="1"/>
  <c r="H23" i="1"/>
  <c r="H21" i="1"/>
  <c r="H20" i="1"/>
  <c r="H19" i="1"/>
  <c r="H16" i="1"/>
  <c r="H11" i="1"/>
  <c r="H8" i="1"/>
  <c r="H6" i="1"/>
  <c r="H5" i="1"/>
  <c r="B18" i="1"/>
  <c r="F15" i="1"/>
  <c r="B15" i="1"/>
  <c r="F12" i="1"/>
  <c r="B10" i="1"/>
  <c r="B3" i="1"/>
  <c r="F10" i="1"/>
  <c r="H4" i="1"/>
  <c r="G18" i="1" l="1"/>
  <c r="E18" i="1"/>
  <c r="N16" i="1"/>
  <c r="O16" i="1" s="1"/>
  <c r="U16" i="1"/>
  <c r="U15" i="1" s="1"/>
  <c r="U9" i="1" s="1"/>
  <c r="K18" i="1"/>
  <c r="K17" i="1" s="1"/>
  <c r="M23" i="1"/>
  <c r="B17" i="1"/>
  <c r="M15" i="1"/>
  <c r="N15" i="1" s="1"/>
  <c r="O15" i="1" s="1"/>
  <c r="N11" i="1"/>
  <c r="O11" i="1" s="1"/>
  <c r="N5" i="1"/>
  <c r="O5" i="1" s="1"/>
  <c r="H15" i="1"/>
  <c r="K9" i="1"/>
  <c r="J9" i="1"/>
  <c r="J29" i="1" s="1"/>
  <c r="I3" i="1"/>
  <c r="M10" i="1"/>
  <c r="N10" i="1" s="1"/>
  <c r="O10" i="1" s="1"/>
  <c r="H10" i="1"/>
  <c r="L9" i="1"/>
  <c r="M3" i="1"/>
  <c r="N4" i="1"/>
  <c r="O4" i="1" s="1"/>
  <c r="M13" i="1"/>
  <c r="I17" i="1"/>
  <c r="H13" i="1"/>
  <c r="K3" i="1"/>
  <c r="I9" i="1"/>
  <c r="H18" i="1"/>
  <c r="F17" i="1"/>
  <c r="F9" i="1"/>
  <c r="G17" i="1" l="1"/>
  <c r="E17" i="1"/>
  <c r="E29" i="1" s="1"/>
  <c r="J30" i="1"/>
  <c r="J33" i="1" s="1"/>
  <c r="C2" i="6"/>
  <c r="K29" i="1"/>
  <c r="D2" i="6" s="1"/>
  <c r="I29" i="1"/>
  <c r="B2" i="6" s="1"/>
  <c r="N13" i="1"/>
  <c r="O13" i="1" s="1"/>
  <c r="B12" i="1"/>
  <c r="M14" i="1"/>
  <c r="H14" i="1"/>
  <c r="N3" i="1"/>
  <c r="O3" i="1" s="1"/>
  <c r="K30" i="1"/>
  <c r="H17" i="1"/>
  <c r="F29" i="1"/>
  <c r="K33" i="1" l="1"/>
  <c r="E2" i="4" s="1"/>
  <c r="E7" i="4" s="1"/>
  <c r="E9" i="4" s="1"/>
  <c r="D2" i="4"/>
  <c r="D7" i="4" s="1"/>
  <c r="D16" i="4"/>
  <c r="D10" i="6"/>
  <c r="D12" i="6"/>
  <c r="D11" i="6" s="1"/>
  <c r="D7" i="6"/>
  <c r="C10" i="6"/>
  <c r="C12" i="6"/>
  <c r="C11" i="6" s="1"/>
  <c r="C7" i="6"/>
  <c r="B10" i="6"/>
  <c r="B12" i="6"/>
  <c r="B11" i="6" s="1"/>
  <c r="B7" i="6"/>
  <c r="B9" i="1"/>
  <c r="B29" i="1" s="1"/>
  <c r="H12" i="1"/>
  <c r="I30" i="1"/>
  <c r="N14" i="1"/>
  <c r="O14" i="1" s="1"/>
  <c r="D9" i="4"/>
  <c r="M12" i="1"/>
  <c r="E16" i="4" l="1"/>
  <c r="B19" i="6"/>
  <c r="B20" i="6" s="1"/>
  <c r="B21" i="6" s="1"/>
  <c r="C19" i="6"/>
  <c r="C20" i="6" s="1"/>
  <c r="D19" i="6"/>
  <c r="D20" i="6" s="1"/>
  <c r="I33" i="1"/>
  <c r="M9" i="1"/>
  <c r="N12" i="1"/>
  <c r="O12" i="1" s="1"/>
  <c r="H9" i="1"/>
  <c r="H31" i="1"/>
  <c r="F30" i="1"/>
  <c r="C2" i="4" l="1"/>
  <c r="C7" i="4" s="1"/>
  <c r="C9" i="4" s="1"/>
  <c r="C16" i="4"/>
  <c r="C21" i="6"/>
  <c r="D21" i="6" s="1"/>
  <c r="H29" i="1"/>
  <c r="F33" i="1"/>
  <c r="N9" i="1"/>
  <c r="O9" i="1" s="1"/>
  <c r="B9" i="2"/>
  <c r="H32" i="1" l="1"/>
  <c r="B30" i="1"/>
  <c r="B33" i="1" l="1"/>
  <c r="H33" i="1" s="1"/>
  <c r="H30" i="1"/>
  <c r="N26" i="1"/>
  <c r="O26" i="1" s="1"/>
  <c r="G30" i="1"/>
  <c r="M27" i="1"/>
  <c r="N23" i="1"/>
  <c r="O23" i="1" s="1"/>
  <c r="N20" i="1"/>
  <c r="O20" i="1" s="1"/>
  <c r="G29" i="1" l="1"/>
  <c r="U27" i="1"/>
  <c r="U18" i="1" s="1"/>
  <c r="U17" i="1" s="1"/>
  <c r="U29" i="1" s="1"/>
  <c r="N27" i="1"/>
  <c r="O27" i="1" s="1"/>
  <c r="L30" i="1"/>
  <c r="L18" i="1"/>
  <c r="L17" i="1" s="1"/>
  <c r="L29" i="1" s="1"/>
  <c r="E2" i="6" s="1"/>
  <c r="M18" i="1"/>
  <c r="M17" i="1" s="1"/>
  <c r="M29" i="1" s="1"/>
  <c r="G33" i="1" l="1"/>
  <c r="H11" i="5"/>
  <c r="C14" i="5"/>
  <c r="C17" i="5" s="1"/>
  <c r="H12" i="5"/>
  <c r="E12" i="6"/>
  <c r="E11" i="6" s="1"/>
  <c r="E10" i="6"/>
  <c r="E7" i="6"/>
  <c r="U33" i="1"/>
  <c r="O7" i="4" s="1"/>
  <c r="O9" i="4" s="1"/>
  <c r="M31" i="1"/>
  <c r="N31" i="1" s="1"/>
  <c r="O31" i="1" s="1"/>
  <c r="L33" i="1"/>
  <c r="N17" i="1"/>
  <c r="O17" i="1" s="1"/>
  <c r="N29" i="1"/>
  <c r="O29" i="1" s="1"/>
  <c r="N18" i="1"/>
  <c r="O18" i="1" s="1"/>
  <c r="E19" i="6" l="1"/>
  <c r="E20" i="6" s="1"/>
  <c r="E21" i="6" s="1"/>
  <c r="F2" i="4"/>
  <c r="F7" i="4" s="1"/>
  <c r="F9" i="4" s="1"/>
  <c r="F16" i="4"/>
  <c r="I11" i="5"/>
  <c r="C16" i="5"/>
  <c r="C15" i="5"/>
  <c r="H13" i="5"/>
  <c r="AA19" i="1"/>
  <c r="AB19" i="1" s="1"/>
  <c r="AA21" i="1"/>
  <c r="AB21" i="1" s="1"/>
  <c r="AA20" i="1"/>
  <c r="AB20" i="1" s="1"/>
  <c r="AA27" i="1"/>
  <c r="AB27" i="1" s="1"/>
  <c r="AA23" i="1"/>
  <c r="AB23" i="1" s="1"/>
  <c r="AA26" i="1"/>
  <c r="AB26" i="1" s="1"/>
  <c r="AA25" i="1"/>
  <c r="AB25" i="1" s="1"/>
  <c r="AA24" i="1"/>
  <c r="AB24" i="1" s="1"/>
  <c r="Z18" i="1"/>
  <c r="AA18" i="1" s="1"/>
  <c r="AB18" i="1" s="1"/>
  <c r="AA22" i="1"/>
  <c r="AB22" i="1" s="1"/>
  <c r="Z17" i="1" l="1"/>
  <c r="Z29" i="1" l="1"/>
  <c r="AA29" i="1" s="1"/>
  <c r="AB29" i="1" s="1"/>
  <c r="AA17" i="1"/>
  <c r="AB17" i="1" s="1"/>
  <c r="M32" i="1" l="1"/>
  <c r="F2" i="6" s="1"/>
  <c r="Z33" i="1"/>
  <c r="F10" i="6" l="1"/>
  <c r="F12" i="6"/>
  <c r="F11" i="6" s="1"/>
  <c r="F7" i="6"/>
  <c r="N32" i="1"/>
  <c r="O32" i="1" s="1"/>
  <c r="M30" i="1"/>
  <c r="F19" i="6" l="1"/>
  <c r="F20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M33" i="1"/>
  <c r="N30" i="1"/>
  <c r="O30" i="1" s="1"/>
  <c r="G2" i="4" l="1"/>
  <c r="G7" i="4" s="1"/>
  <c r="G16" i="4"/>
  <c r="B16" i="4" s="1"/>
  <c r="C21" i="5" s="1"/>
  <c r="B23" i="5" s="1"/>
  <c r="B2" i="4"/>
  <c r="C26" i="5" l="1"/>
  <c r="I12" i="5" s="1"/>
  <c r="I13" i="5" s="1"/>
  <c r="G9" i="4"/>
  <c r="B7" i="4"/>
  <c r="C27" i="5" l="1"/>
  <c r="B9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Juhász Attila</author>
  </authors>
  <commentList>
    <comment ref="A1" authorId="0" shapeId="0" xr:uid="{D02D2700-5238-48A3-B45A-C7553A5E237F}">
      <text>
        <r>
          <rPr>
            <b/>
            <sz val="9"/>
            <color indexed="81"/>
            <rFont val="Tahoma"/>
            <charset val="1"/>
          </rPr>
          <t>Juhász Attila: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<sst xmlns="http://schemas.openxmlformats.org/spreadsheetml/2006/main" count="142" uniqueCount="110">
  <si>
    <t>Megnevezés</t>
  </si>
  <si>
    <t>Teljes költség</t>
  </si>
  <si>
    <t>Elszámolható költség</t>
  </si>
  <si>
    <t>Nem elszámolható költség</t>
  </si>
  <si>
    <t>Nem elszámolható költség aránya (%)</t>
  </si>
  <si>
    <t>Projekt előkészítés</t>
  </si>
  <si>
    <t>Engedélyes és kiviteli terv - út bruttó</t>
  </si>
  <si>
    <t>Engedélyes és kiviteli terv - épület nettó</t>
  </si>
  <si>
    <t>Hatósági díj</t>
  </si>
  <si>
    <t>Üzleti terv</t>
  </si>
  <si>
    <t>Közbeszerzés</t>
  </si>
  <si>
    <t>Projekt megvalósítás</t>
  </si>
  <si>
    <t>Terület előkészítés költsége</t>
  </si>
  <si>
    <t>Építéshez kapcsolódó költségek</t>
  </si>
  <si>
    <t>Feltáró utak építése</t>
  </si>
  <si>
    <t>Egységköltség alapon elszámolható költség</t>
  </si>
  <si>
    <t>Post harvest technológia és hűtőház</t>
  </si>
  <si>
    <t>Eszközbeszerzés költségei</t>
  </si>
  <si>
    <t>Válogató csomagológép</t>
  </si>
  <si>
    <t>Átalányalapú egységköltség</t>
  </si>
  <si>
    <t>Kötelező nyilvánosság</t>
  </si>
  <si>
    <t>Éghajlatváltozási rezisztencia-vizsgálat</t>
  </si>
  <si>
    <t>Műszaki ellenőr - út bruttó</t>
  </si>
  <si>
    <t>Műszaki ellenőr - épület nettó</t>
  </si>
  <si>
    <t>Részösszeg</t>
  </si>
  <si>
    <t>Egyösszegű átalány</t>
  </si>
  <si>
    <t>Áfa</t>
  </si>
  <si>
    <t>Visszaigényelhető</t>
  </si>
  <si>
    <t>Vissza nem igényelhető</t>
  </si>
  <si>
    <t>Összesen</t>
  </si>
  <si>
    <t>reg</t>
  </si>
  <si>
    <t>de minimis</t>
  </si>
  <si>
    <t>Működési költségek</t>
  </si>
  <si>
    <t>FPV</t>
  </si>
  <si>
    <t>Rezsi költség</t>
  </si>
  <si>
    <t>Bérköltség</t>
  </si>
  <si>
    <t>Karbantartási költségek</t>
  </si>
  <si>
    <t>Üzemeltetési és karbantartási költségek összesen</t>
  </si>
  <si>
    <t>Út síkosságmentesítése, takarítása</t>
  </si>
  <si>
    <t>Post Harvest technológia és Hűtőház összesen</t>
  </si>
  <si>
    <t>Út összesen</t>
  </si>
  <si>
    <t>Bérleti díj</t>
  </si>
  <si>
    <t>1.      Beruházási költség</t>
  </si>
  <si>
    <t>2.      Működési költség</t>
  </si>
  <si>
    <t>2.1.   Üzemeltetési és karbantartási költség</t>
  </si>
  <si>
    <t>2.2.   Pótlási költség</t>
  </si>
  <si>
    <t>3.      Maradványérték</t>
  </si>
  <si>
    <t>4.      Összes költség (1+2+3)</t>
  </si>
  <si>
    <t>5.      Pénzügyi bevételek</t>
  </si>
  <si>
    <t>6.      Nettó cash-flow (5-4)</t>
  </si>
  <si>
    <t>Belső megtérülési ráta</t>
  </si>
  <si>
    <t>Szakvélemény</t>
  </si>
  <si>
    <t>Költség.Haszon elemzés</t>
  </si>
  <si>
    <t>Bevételtermelés</t>
  </si>
  <si>
    <t>Ft</t>
  </si>
  <si>
    <t>Diszkontált pénzügyi bevétel (a)</t>
  </si>
  <si>
    <t>Diszkontált üzemeltetési és karbantartási költség (b)</t>
  </si>
  <si>
    <t>Diszkontált pótlási költség (C)</t>
  </si>
  <si>
    <t>Diszkontált nettó működési bevétel (DNOR = a-b-c)</t>
  </si>
  <si>
    <t>De minimis támogatás</t>
  </si>
  <si>
    <t>%</t>
  </si>
  <si>
    <t>Elszámolható költség (EC)</t>
  </si>
  <si>
    <t>Nem elszámolható költség (NEC)</t>
  </si>
  <si>
    <t>TOP prioritási tengely támogatási arány</t>
  </si>
  <si>
    <t xml:space="preserve">TOP támogatási összeg </t>
  </si>
  <si>
    <t xml:space="preserve">Prioritási tengelyre vonatkozó maximális társfinanszírozási ráta </t>
  </si>
  <si>
    <t>EU hozzájárulás</t>
  </si>
  <si>
    <t>Kedvezményezett hozzájárulása</t>
  </si>
  <si>
    <t>1.      Pénzügyi beruházási költség</t>
  </si>
  <si>
    <t>2.      Pénzügyi működési költség</t>
  </si>
  <si>
    <t>3.      Hiteltörlesztés</t>
  </si>
  <si>
    <t>4.      Hitel kamatának törlesztése</t>
  </si>
  <si>
    <t>5.      Egyéb</t>
  </si>
  <si>
    <t>6.      Kiadási pénzáram 1+2+3+4+5</t>
  </si>
  <si>
    <t>7.      Pénzügyi bevétel</t>
  </si>
  <si>
    <t>8.      Egyéb bejövő pénzáram</t>
  </si>
  <si>
    <t>9.      EU támogatás</t>
  </si>
  <si>
    <t>10.   Nemzeti hozzájárulás (11+12)</t>
  </si>
  <si>
    <t>10.1.                 Központi költségvetés hozzájárulása</t>
  </si>
  <si>
    <t xml:space="preserve">10.2.                 Saját forrás </t>
  </si>
  <si>
    <t>10.2.1.   Önerő (készpénz, munkaerő hozzájárulás)</t>
  </si>
  <si>
    <t>10.2.2.   Idegen forrás (15+16)</t>
  </si>
  <si>
    <t>11.   Hitel</t>
  </si>
  <si>
    <t>12.   Egyéb idegen forrás</t>
  </si>
  <si>
    <t>13.   Pénzügyi maradványérték[1]</t>
  </si>
  <si>
    <t>14.   Bevételi pénzáram 7+8+9+10</t>
  </si>
  <si>
    <t>16.   Nettó halmozott pénzügyi pénzáram</t>
  </si>
  <si>
    <t>Visszaigényelhető Áfa</t>
  </si>
  <si>
    <t>Vissza nem igényelhető Áfa</t>
  </si>
  <si>
    <t>Nettó Költség költség</t>
  </si>
  <si>
    <t>Projektmenedzsment - Nyírbátor</t>
  </si>
  <si>
    <t>Projektmenedzsemtn - SZSZBMÖ</t>
  </si>
  <si>
    <t>Súly</t>
  </si>
  <si>
    <t>Északi iparterület fejlesztése</t>
  </si>
  <si>
    <t>Szöveges értékelés</t>
  </si>
  <si>
    <t>Pontszám</t>
  </si>
  <si>
    <t>súlyozott pontszám</t>
  </si>
  <si>
    <t>15.   Nettó összes pénzügyi pénzáram 18-6</t>
  </si>
  <si>
    <t>Helyi Infrastruktúra fejlesztéshez nyújtott beruházási támogatás</t>
  </si>
  <si>
    <t>Diszkontált beruházási költség (DIC)</t>
  </si>
  <si>
    <t>Diszkontált működési eredmény (DNOP)</t>
  </si>
  <si>
    <t>Társfinanszírozási arány (R=(DIC-DNOP)/DIC)</t>
  </si>
  <si>
    <t>A támogatás összege (DA=EC*R)</t>
  </si>
  <si>
    <t>Kedvezményezett hozzájárulása (=EC-DA+NEC)</t>
  </si>
  <si>
    <t>Beruházási költség Helyi Infrastruktúra fejlesztéssel érintett tételek esetén</t>
  </si>
  <si>
    <t>Összegzés:</t>
  </si>
  <si>
    <t>1. Állami támogatás</t>
  </si>
  <si>
    <t>Támogatási szabály</t>
  </si>
  <si>
    <t>Elszámolható költség (Ft)</t>
  </si>
  <si>
    <t>Támogatási Összeg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</si>
</sst>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Ft&quot;;[Red]\-#,##0\ &quot;Ft&quot;"/>
    <numFmt numFmtId="44" formatCode="_-* #,##0.00\ &quot;Ft&quot;_-;\-* #,##0.00\ &quot;Ft&quot;_-;_-* &quot;-&quot;??\ &quot;Ft&quot;_-;_-@_-"/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0" applyNumberFormat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/>
    <xf numFmtId="164" fontId="4" fillId="3" borderId="1" xfId="1" applyNumberFormat="1" applyFont="1" applyFill="1" applyBorder="1"/>
    <xf numFmtId="9" fontId="4" fillId="3" borderId="1" xfId="2" applyFont="1" applyFill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2" applyFont="1" applyBorder="1"/>
    <xf numFmtId="0" fontId="0" fillId="0" borderId="1" xfId="0" applyBorder="1" applyAlignment="1">
      <alignment wrapText="1"/>
    </xf>
    <xf numFmtId="164" fontId="0" fillId="0" borderId="1" xfId="1" applyNumberFormat="1" applyFont="1" applyFill="1" applyBorder="1"/>
    <xf numFmtId="9" fontId="0" fillId="0" borderId="1" xfId="2" applyFont="1" applyFill="1" applyBorder="1"/>
    <xf numFmtId="0" fontId="3" fillId="4" borderId="1" xfId="0" applyFont="1" applyFill="1" applyBorder="1"/>
    <xf numFmtId="164" fontId="3" fillId="4" borderId="1" xfId="1" applyNumberFormat="1" applyFont="1" applyFill="1" applyBorder="1"/>
    <xf numFmtId="164" fontId="3" fillId="4" borderId="1" xfId="0" applyNumberFormat="1" applyFont="1" applyFill="1" applyBorder="1"/>
    <xf numFmtId="9" fontId="3" fillId="4" borderId="1" xfId="2" applyFont="1" applyFill="1" applyBorder="1"/>
    <xf numFmtId="0" fontId="3" fillId="0" borderId="1" xfId="0" applyFont="1" applyBorder="1"/>
    <xf numFmtId="164" fontId="3" fillId="0" borderId="1" xfId="1" applyNumberFormat="1" applyFont="1" applyBorder="1"/>
    <xf numFmtId="9" fontId="3" fillId="0" borderId="1" xfId="2" applyFont="1" applyBorder="1"/>
    <xf numFmtId="164" fontId="0" fillId="0" borderId="1" xfId="0" applyNumberFormat="1" applyBorder="1"/>
    <xf numFmtId="164" fontId="3" fillId="0" borderId="1" xfId="1" applyNumberFormat="1" applyFont="1" applyFill="1" applyBorder="1"/>
    <xf numFmtId="9" fontId="3" fillId="0" borderId="1" xfId="2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9" fontId="4" fillId="2" borderId="1" xfId="2" applyFont="1" applyFill="1" applyBorder="1"/>
    <xf numFmtId="0" fontId="3" fillId="3" borderId="1" xfId="0" applyFont="1" applyFill="1" applyBorder="1"/>
    <xf numFmtId="9" fontId="3" fillId="3" borderId="1" xfId="2" applyFont="1" applyFill="1" applyBorder="1"/>
    <xf numFmtId="43" fontId="4" fillId="2" borderId="1" xfId="1" applyFont="1" applyFill="1" applyBorder="1"/>
    <xf numFmtId="43" fontId="3" fillId="3" borderId="1" xfId="1" applyFont="1" applyFill="1" applyBorder="1"/>
    <xf numFmtId="0" fontId="2" fillId="0" borderId="0" xfId="0" applyFont="1"/>
    <xf numFmtId="164" fontId="4" fillId="3" borderId="2" xfId="1" applyNumberFormat="1" applyFont="1" applyFill="1" applyBorder="1"/>
    <xf numFmtId="164" fontId="4" fillId="2" borderId="1" xfId="1" applyNumberFormat="1" applyFont="1" applyFill="1" applyBorder="1"/>
    <xf numFmtId="164" fontId="3" fillId="3" borderId="1" xfId="1" applyNumberFormat="1" applyFont="1" applyFill="1" applyBorder="1"/>
    <xf numFmtId="6" fontId="0" fillId="0" borderId="1" xfId="0" applyNumberFormat="1" applyBorder="1"/>
    <xf numFmtId="6" fontId="3" fillId="0" borderId="1" xfId="0" applyNumberFormat="1" applyFont="1" applyBorder="1"/>
    <xf numFmtId="6" fontId="0" fillId="0" borderId="0" xfId="0" applyNumberFormat="1"/>
    <xf numFmtId="0" fontId="4" fillId="2" borderId="0" xfId="0" applyFont="1" applyFill="1"/>
    <xf numFmtId="6" fontId="3" fillId="4" borderId="1" xfId="0" applyNumberFormat="1" applyFont="1" applyFill="1" applyBorder="1"/>
    <xf numFmtId="164" fontId="4" fillId="2" borderId="0" xfId="1" applyNumberFormat="1" applyFont="1" applyFill="1"/>
    <xf numFmtId="0" fontId="5" fillId="0" borderId="1" xfId="0" applyFont="1" applyBorder="1"/>
    <xf numFmtId="164" fontId="0" fillId="0" borderId="3" xfId="1" applyNumberFormat="1" applyFont="1" applyBorder="1"/>
    <xf numFmtId="9" fontId="0" fillId="0" borderId="1" xfId="0" applyNumberFormat="1" applyBorder="1"/>
    <xf numFmtId="164" fontId="0" fillId="0" borderId="0" xfId="1" applyNumberFormat="1" applyFont="1"/>
    <xf numFmtId="0" fontId="0" fillId="3" borderId="0" xfId="0" applyFill="1"/>
    <xf numFmtId="0" fontId="0" fillId="0" borderId="0" xfId="0" applyAlignment="1">
      <alignment wrapText="1"/>
    </xf>
    <xf numFmtId="0" fontId="4" fillId="2" borderId="4" xfId="3" applyNumberFormat="1" applyFont="1" applyFill="1" applyBorder="1" applyAlignment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6" fillId="0" borderId="0" xfId="0" applyFont="1"/>
    <xf numFmtId="9" fontId="0" fillId="0" borderId="0" xfId="2" applyFont="1"/>
    <xf numFmtId="0" fontId="7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0" borderId="1" xfId="0" applyFill="1" applyBorder="1"/>
    <xf numFmtId="164" fontId="0" fillId="0" borderId="0" xfId="0" applyNumberFormat="1" applyFill="1"/>
    <xf numFmtId="164" fontId="4" fillId="0" borderId="2" xfId="1" applyNumberFormat="1" applyFont="1" applyFill="1" applyBorder="1"/>
    <xf numFmtId="0" fontId="0" fillId="0" borderId="0" xfId="0" applyFill="1"/>
    <xf numFmtId="0" fontId="2" fillId="0" borderId="0" xfId="0" applyFont="1" applyFill="1"/>
  </cellXfs>
  <cellStyles count="4">
    <cellStyle name="Ezres" xfId="1" builtinId="3"/>
    <cellStyle name="Normál" xfId="0" builtinId="0"/>
    <cellStyle name="Pénznem" xfId="3" builtinId="4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CDCE-85B6-4684-AE3E-D683023E7B1F}">
  <dimension ref="A1:AB37"/>
  <sheetViews>
    <sheetView tabSelected="1" workbookViewId="0">
      <pane xSplit="4" ySplit="2" topLeftCell="E3" activePane="bottomRight" state="frozenSplit"/>
      <selection pane="topRight" activeCell="E1" sqref="E1"/>
      <selection pane="bottomLeft" activeCell="A3" sqref="A3"/>
      <selection pane="bottomRight" activeCell="D18" sqref="D18"/>
    </sheetView>
  </sheetViews>
  <sheetFormatPr defaultRowHeight="14.4" x14ac:dyDescent="0.3"/>
  <cols>
    <col min="1" max="1" width="32.21875" bestFit="1" customWidth="1"/>
    <col min="2" max="2" width="14.6640625" customWidth="1"/>
    <col min="3" max="3" width="16.21875" customWidth="1"/>
    <col min="4" max="7" width="14.6640625" customWidth="1"/>
    <col min="8" max="8" width="13.109375" customWidth="1"/>
    <col min="9" max="9" width="13.6640625" bestFit="1" customWidth="1"/>
    <col min="10" max="10" width="9.5546875" customWidth="1"/>
    <col min="11" max="11" width="12.6640625" bestFit="1" customWidth="1"/>
    <col min="12" max="12" width="13.6640625" bestFit="1" customWidth="1"/>
    <col min="13" max="13" width="14.6640625" bestFit="1" customWidth="1"/>
    <col min="14" max="14" width="12" bestFit="1" customWidth="1"/>
    <col min="16" max="16" width="14.6640625" bestFit="1" customWidth="1"/>
    <col min="17" max="17" width="15" customWidth="1"/>
    <col min="18" max="18" width="12" customWidth="1"/>
    <col min="20" max="20" width="11" bestFit="1" customWidth="1"/>
    <col min="21" max="21" width="12" bestFit="1" customWidth="1"/>
    <col min="22" max="22" width="10" bestFit="1" customWidth="1"/>
    <col min="24" max="25" width="10" bestFit="1" customWidth="1"/>
    <col min="26" max="27" width="11" bestFit="1" customWidth="1"/>
  </cols>
  <sheetData>
    <row r="1" spans="1:28" x14ac:dyDescent="0.3">
      <c r="Q1" s="53" t="s">
        <v>87</v>
      </c>
      <c r="R1" s="53"/>
      <c r="S1" s="53"/>
      <c r="T1" s="53"/>
      <c r="U1" s="53"/>
      <c r="V1" s="53" t="s">
        <v>88</v>
      </c>
      <c r="W1" s="53"/>
      <c r="X1" s="53"/>
      <c r="Y1" s="53"/>
      <c r="Z1" s="53"/>
    </row>
    <row r="2" spans="1:28" ht="57.6" x14ac:dyDescent="0.3">
      <c r="A2" s="2" t="s">
        <v>0</v>
      </c>
      <c r="B2" s="2" t="s">
        <v>89</v>
      </c>
      <c r="C2" s="2" t="s">
        <v>87</v>
      </c>
      <c r="D2" s="2" t="s">
        <v>88</v>
      </c>
      <c r="E2" s="2" t="s">
        <v>1</v>
      </c>
      <c r="F2" s="2" t="s">
        <v>3</v>
      </c>
      <c r="G2" s="2" t="s">
        <v>2</v>
      </c>
      <c r="H2" s="2" t="s">
        <v>4</v>
      </c>
      <c r="I2" s="2">
        <v>2022</v>
      </c>
      <c r="J2" s="2">
        <v>2023</v>
      </c>
      <c r="K2" s="2">
        <v>2024</v>
      </c>
      <c r="L2" s="2">
        <v>2025</v>
      </c>
      <c r="M2" s="2">
        <v>2026</v>
      </c>
      <c r="Q2" s="36">
        <v>2022</v>
      </c>
      <c r="R2" s="36">
        <v>2023</v>
      </c>
      <c r="S2" s="45">
        <v>2024</v>
      </c>
      <c r="T2" s="45">
        <v>2025</v>
      </c>
      <c r="U2" s="45">
        <v>2026</v>
      </c>
      <c r="V2" s="45">
        <v>2022</v>
      </c>
      <c r="W2" s="45">
        <v>2023</v>
      </c>
      <c r="X2" s="45">
        <v>2024</v>
      </c>
      <c r="Y2" s="45">
        <v>2025</v>
      </c>
      <c r="Z2" s="45">
        <v>2026</v>
      </c>
    </row>
    <row r="3" spans="1:28" x14ac:dyDescent="0.3">
      <c r="A3" s="3" t="s">
        <v>5</v>
      </c>
      <c r="B3" s="4">
        <f>SUM(B4:B8)</f>
        <v>15800000</v>
      </c>
      <c r="C3" s="4">
        <f t="shared" ref="C3:G3" si="0">SUM(C4:C8)</f>
        <v>2160000</v>
      </c>
      <c r="D3" s="4">
        <f t="shared" si="0"/>
        <v>2106000</v>
      </c>
      <c r="E3" s="4">
        <f t="shared" si="0"/>
        <v>15800000</v>
      </c>
      <c r="F3" s="4">
        <f t="shared" si="0"/>
        <v>0</v>
      </c>
      <c r="G3" s="4">
        <f t="shared" si="0"/>
        <v>15800000</v>
      </c>
      <c r="H3" s="5">
        <f>F3/E3</f>
        <v>0</v>
      </c>
      <c r="I3" s="4">
        <f t="shared" ref="F3:I3" si="1">SUM(I4:I8)</f>
        <v>6100000</v>
      </c>
      <c r="J3" s="4">
        <f t="shared" ref="J3" si="2">SUM(J4:J8)</f>
        <v>0</v>
      </c>
      <c r="K3" s="4">
        <f t="shared" ref="K3" si="3">SUM(K4:K8)</f>
        <v>5200000</v>
      </c>
      <c r="L3" s="4">
        <f t="shared" ref="L3" si="4">SUM(L4:L8)</f>
        <v>4500000</v>
      </c>
      <c r="M3" s="4">
        <f t="shared" ref="M3" si="5">SUM(M4:M8)</f>
        <v>0</v>
      </c>
      <c r="N3" s="1">
        <f t="shared" ref="N3:N24" si="6">SUM(I3:M3)</f>
        <v>15800000</v>
      </c>
      <c r="O3" s="30" t="str">
        <f t="shared" ref="O3:O24" si="7">IF(N3=B3,"Ok","Nem jó")</f>
        <v>Ok</v>
      </c>
      <c r="P3" t="s">
        <v>30</v>
      </c>
      <c r="Q3" s="4">
        <f>SUM(Q4:Q8)</f>
        <v>945000.00000000012</v>
      </c>
      <c r="R3" s="4">
        <f t="shared" ref="R3:Z3" si="8">SUM(R4:R8)</f>
        <v>0</v>
      </c>
      <c r="S3" s="4">
        <f t="shared" si="8"/>
        <v>0</v>
      </c>
      <c r="T3" s="4">
        <f t="shared" si="8"/>
        <v>1215000</v>
      </c>
      <c r="U3" s="4">
        <f t="shared" si="8"/>
        <v>0</v>
      </c>
      <c r="V3" s="4">
        <f t="shared" si="8"/>
        <v>702000</v>
      </c>
      <c r="W3" s="4">
        <f t="shared" si="8"/>
        <v>0</v>
      </c>
      <c r="X3" s="4">
        <f t="shared" si="8"/>
        <v>1404000</v>
      </c>
      <c r="Y3" s="4">
        <f t="shared" si="8"/>
        <v>0</v>
      </c>
      <c r="Z3" s="4">
        <f t="shared" si="8"/>
        <v>0</v>
      </c>
      <c r="AA3" s="1">
        <f>SUM(V3:Z3)</f>
        <v>2106000</v>
      </c>
      <c r="AB3" s="30" t="str">
        <f>IF(AA3=D3,"OK","Nem jó")</f>
        <v>OK</v>
      </c>
    </row>
    <row r="4" spans="1:28" hidden="1" x14ac:dyDescent="0.3">
      <c r="A4" s="6"/>
      <c r="B4" s="7"/>
      <c r="C4" s="7"/>
      <c r="D4" s="7"/>
      <c r="E4" s="7">
        <f>B4+C4+D4</f>
        <v>0</v>
      </c>
      <c r="F4" s="7">
        <f>D4</f>
        <v>0</v>
      </c>
      <c r="G4" s="7">
        <f>E4-F4</f>
        <v>0</v>
      </c>
      <c r="H4" s="8" t="e">
        <f>F4/B4</f>
        <v>#DIV/0!</v>
      </c>
      <c r="I4" s="7"/>
      <c r="J4" s="7"/>
      <c r="K4" s="7"/>
      <c r="L4" s="7"/>
      <c r="M4" s="7"/>
      <c r="N4" s="1">
        <f t="shared" si="6"/>
        <v>0</v>
      </c>
      <c r="O4" s="30" t="str">
        <f t="shared" si="7"/>
        <v>Ok</v>
      </c>
      <c r="P4" t="s">
        <v>30</v>
      </c>
      <c r="V4" s="1">
        <f>I4*0.27</f>
        <v>0</v>
      </c>
      <c r="W4" s="1">
        <f t="shared" ref="W4:Z5" si="9">J4*0.27</f>
        <v>0</v>
      </c>
      <c r="X4" s="1">
        <f t="shared" si="9"/>
        <v>0</v>
      </c>
      <c r="Y4" s="1">
        <f t="shared" si="9"/>
        <v>0</v>
      </c>
      <c r="Z4" s="1">
        <f t="shared" si="9"/>
        <v>0</v>
      </c>
      <c r="AA4" s="1">
        <f>SUM(V4:Z4)</f>
        <v>0</v>
      </c>
      <c r="AB4" s="30" t="str">
        <f t="shared" ref="AB4:AB33" si="10">IF(AA4=D4,"OK","Nem jó")</f>
        <v>OK</v>
      </c>
    </row>
    <row r="5" spans="1:28" x14ac:dyDescent="0.3">
      <c r="A5" s="9" t="s">
        <v>6</v>
      </c>
      <c r="B5" s="10">
        <v>5600000</v>
      </c>
      <c r="C5" s="10"/>
      <c r="D5" s="10">
        <f>B5*0.27</f>
        <v>1512000</v>
      </c>
      <c r="E5" s="7">
        <f t="shared" ref="E5:E28" si="11">B5</f>
        <v>5600000</v>
      </c>
      <c r="F5" s="7">
        <v>0</v>
      </c>
      <c r="G5" s="7">
        <f>B5</f>
        <v>5600000</v>
      </c>
      <c r="H5" s="8">
        <f t="shared" ref="H5:H33" si="12">F5/B5</f>
        <v>0</v>
      </c>
      <c r="I5" s="7">
        <f>3302000/1.27</f>
        <v>2600000</v>
      </c>
      <c r="J5" s="7"/>
      <c r="K5" s="7">
        <f>3810000/1.27</f>
        <v>3000000</v>
      </c>
      <c r="L5" s="7"/>
      <c r="M5" s="7"/>
      <c r="N5" s="1">
        <f t="shared" si="6"/>
        <v>5600000</v>
      </c>
      <c r="O5" s="30" t="str">
        <f t="shared" si="7"/>
        <v>Ok</v>
      </c>
      <c r="P5" t="s">
        <v>30</v>
      </c>
      <c r="V5" s="1">
        <f>I5*0.27</f>
        <v>702000</v>
      </c>
      <c r="W5" s="1">
        <f t="shared" si="9"/>
        <v>0</v>
      </c>
      <c r="X5" s="1">
        <f t="shared" si="9"/>
        <v>810000</v>
      </c>
      <c r="Y5" s="1">
        <f t="shared" si="9"/>
        <v>0</v>
      </c>
      <c r="Z5" s="1">
        <f t="shared" si="9"/>
        <v>0</v>
      </c>
      <c r="AA5" s="1">
        <f t="shared" ref="AA5:AA29" si="13">SUM(V5:Z5)</f>
        <v>1512000</v>
      </c>
      <c r="AB5" s="30" t="str">
        <f t="shared" si="10"/>
        <v>OK</v>
      </c>
    </row>
    <row r="6" spans="1:28" s="57" customFormat="1" x14ac:dyDescent="0.3">
      <c r="A6" s="54" t="s">
        <v>7</v>
      </c>
      <c r="B6" s="10">
        <v>8000000</v>
      </c>
      <c r="C6" s="10">
        <f>B6*0.27</f>
        <v>2160000</v>
      </c>
      <c r="D6" s="10"/>
      <c r="E6" s="10">
        <f t="shared" si="11"/>
        <v>8000000</v>
      </c>
      <c r="F6" s="10">
        <v>0</v>
      </c>
      <c r="G6" s="10">
        <f t="shared" ref="G6:G28" si="14">B6</f>
        <v>8000000</v>
      </c>
      <c r="H6" s="11">
        <f t="shared" si="12"/>
        <v>0</v>
      </c>
      <c r="I6" s="10">
        <v>3500000</v>
      </c>
      <c r="J6" s="10"/>
      <c r="K6" s="10"/>
      <c r="L6" s="10">
        <v>4500000</v>
      </c>
      <c r="M6" s="10"/>
      <c r="N6" s="55">
        <f t="shared" si="6"/>
        <v>8000000</v>
      </c>
      <c r="O6" s="56" t="str">
        <f t="shared" si="7"/>
        <v>Ok</v>
      </c>
      <c r="P6" s="57" t="s">
        <v>30</v>
      </c>
      <c r="Q6" s="55">
        <f>I6*0.27</f>
        <v>945000.00000000012</v>
      </c>
      <c r="R6" s="55">
        <f>J6*0.27</f>
        <v>0</v>
      </c>
      <c r="S6" s="55">
        <f t="shared" ref="S6:U6" si="15">K6*0.27</f>
        <v>0</v>
      </c>
      <c r="T6" s="55">
        <f t="shared" si="15"/>
        <v>1215000</v>
      </c>
      <c r="U6" s="55">
        <f t="shared" si="15"/>
        <v>0</v>
      </c>
      <c r="AA6" s="55">
        <f t="shared" si="13"/>
        <v>0</v>
      </c>
      <c r="AB6" s="56" t="str">
        <f t="shared" si="10"/>
        <v>OK</v>
      </c>
    </row>
    <row r="7" spans="1:28" x14ac:dyDescent="0.3">
      <c r="A7" s="6" t="s">
        <v>21</v>
      </c>
      <c r="B7" s="10">
        <v>2000000</v>
      </c>
      <c r="C7" s="10"/>
      <c r="D7" s="10">
        <f>B7*0.27</f>
        <v>540000</v>
      </c>
      <c r="E7" s="7">
        <f t="shared" si="11"/>
        <v>2000000</v>
      </c>
      <c r="F7" s="7">
        <v>0</v>
      </c>
      <c r="G7" s="7">
        <f t="shared" si="14"/>
        <v>2000000</v>
      </c>
      <c r="H7" s="11">
        <f t="shared" si="12"/>
        <v>0</v>
      </c>
      <c r="I7" s="7"/>
      <c r="J7" s="7"/>
      <c r="K7" s="7">
        <v>2000000</v>
      </c>
      <c r="L7" s="7"/>
      <c r="M7" s="7"/>
      <c r="N7" s="1">
        <f t="shared" si="6"/>
        <v>2000000</v>
      </c>
      <c r="O7" s="30" t="str">
        <f t="shared" si="7"/>
        <v>Ok</v>
      </c>
      <c r="V7" s="1">
        <f>I7*0.27</f>
        <v>0</v>
      </c>
      <c r="W7" s="1">
        <f t="shared" ref="W7:Z8" si="16">J7*0.27</f>
        <v>0</v>
      </c>
      <c r="X7" s="1">
        <f t="shared" si="16"/>
        <v>540000</v>
      </c>
      <c r="Y7" s="1">
        <f t="shared" si="16"/>
        <v>0</v>
      </c>
      <c r="Z7" s="1">
        <f t="shared" si="16"/>
        <v>0</v>
      </c>
      <c r="AA7" s="1">
        <f t="shared" si="13"/>
        <v>540000</v>
      </c>
      <c r="AB7" s="30" t="str">
        <f t="shared" si="10"/>
        <v>OK</v>
      </c>
    </row>
    <row r="8" spans="1:28" ht="13.8" customHeight="1" x14ac:dyDescent="0.3">
      <c r="A8" s="6" t="s">
        <v>8</v>
      </c>
      <c r="B8" s="10">
        <v>200000</v>
      </c>
      <c r="C8" s="10"/>
      <c r="D8" s="10">
        <f>B8*0.27</f>
        <v>54000</v>
      </c>
      <c r="E8" s="7">
        <f t="shared" si="11"/>
        <v>200000</v>
      </c>
      <c r="F8" s="7">
        <v>0</v>
      </c>
      <c r="G8" s="7">
        <f t="shared" si="14"/>
        <v>200000</v>
      </c>
      <c r="H8" s="8">
        <f t="shared" si="12"/>
        <v>0</v>
      </c>
      <c r="I8" s="7"/>
      <c r="J8" s="7"/>
      <c r="K8" s="7">
        <v>200000</v>
      </c>
      <c r="L8" s="7"/>
      <c r="M8" s="7"/>
      <c r="N8" s="1">
        <f t="shared" si="6"/>
        <v>200000</v>
      </c>
      <c r="O8" s="30" t="str">
        <f t="shared" si="7"/>
        <v>Ok</v>
      </c>
      <c r="P8" t="s">
        <v>30</v>
      </c>
      <c r="V8" s="1">
        <f>I8*0.27</f>
        <v>0</v>
      </c>
      <c r="W8" s="1">
        <f t="shared" si="16"/>
        <v>0</v>
      </c>
      <c r="X8" s="1">
        <f t="shared" si="16"/>
        <v>54000</v>
      </c>
      <c r="Y8" s="1">
        <f t="shared" si="16"/>
        <v>0</v>
      </c>
      <c r="Z8" s="1">
        <f t="shared" si="16"/>
        <v>0</v>
      </c>
      <c r="AA8" s="1">
        <f t="shared" si="13"/>
        <v>54000</v>
      </c>
      <c r="AB8" s="30" t="str">
        <f t="shared" si="10"/>
        <v>OK</v>
      </c>
    </row>
    <row r="9" spans="1:28" x14ac:dyDescent="0.3">
      <c r="A9" s="3" t="s">
        <v>11</v>
      </c>
      <c r="B9" s="4">
        <f>B10+B12+B15</f>
        <v>637171154</v>
      </c>
      <c r="C9" s="4">
        <f t="shared" ref="C9:E9" si="17">C10+C12+C15</f>
        <v>126603239.49000001</v>
      </c>
      <c r="D9" s="4">
        <f t="shared" si="17"/>
        <v>45432972.090000004</v>
      </c>
      <c r="E9" s="4">
        <f t="shared" si="11"/>
        <v>637171154</v>
      </c>
      <c r="F9" s="4">
        <f t="shared" ref="F9:I9" si="18">F10+F12+F15</f>
        <v>0</v>
      </c>
      <c r="G9" s="4">
        <f t="shared" si="14"/>
        <v>637171154</v>
      </c>
      <c r="H9" s="5">
        <f t="shared" si="12"/>
        <v>0</v>
      </c>
      <c r="I9" s="4">
        <f t="shared" si="18"/>
        <v>0</v>
      </c>
      <c r="J9" s="4">
        <f t="shared" ref="J9" si="19">J10+J12+J15</f>
        <v>0</v>
      </c>
      <c r="K9" s="4">
        <f t="shared" ref="K9" si="20">K10+K12+K15</f>
        <v>0</v>
      </c>
      <c r="L9" s="4">
        <f t="shared" ref="L9" si="21">L10+L12+L15</f>
        <v>59719950</v>
      </c>
      <c r="M9" s="4">
        <f t="shared" ref="M9" si="22">M10+M12+M15</f>
        <v>577451204</v>
      </c>
      <c r="N9" s="1">
        <f t="shared" si="6"/>
        <v>637171154</v>
      </c>
      <c r="O9" s="30" t="str">
        <f t="shared" si="7"/>
        <v>Ok</v>
      </c>
      <c r="Q9" s="4">
        <f t="shared" ref="Q9" si="23">Q10+Q12+Q15</f>
        <v>0</v>
      </c>
      <c r="R9" s="4">
        <f t="shared" ref="R9" si="24">R10+R12+R15</f>
        <v>0</v>
      </c>
      <c r="S9" s="4">
        <f t="shared" ref="S9" si="25">S10+S12+S15</f>
        <v>0</v>
      </c>
      <c r="T9" s="4">
        <f t="shared" ref="T9" si="26">T10+T12+T15</f>
        <v>16124386.500000002</v>
      </c>
      <c r="U9" s="4">
        <f t="shared" ref="U9" si="27">U10+U12+U15</f>
        <v>110478852.99000001</v>
      </c>
      <c r="V9" s="4">
        <f t="shared" ref="V9" si="28">V10+V12+V15</f>
        <v>0</v>
      </c>
      <c r="W9" s="4">
        <f t="shared" ref="W9" si="29">W10+W12+W15</f>
        <v>0</v>
      </c>
      <c r="X9" s="4">
        <f t="shared" ref="X9" si="30">X10+X12+X15</f>
        <v>0</v>
      </c>
      <c r="Y9" s="4">
        <f t="shared" ref="Y9" si="31">Y10+Y12+Y15</f>
        <v>0</v>
      </c>
      <c r="Z9" s="4">
        <f t="shared" ref="Z9" si="32">Z10+Z12+Z15</f>
        <v>45432972.090000004</v>
      </c>
      <c r="AA9" s="1">
        <f t="shared" si="13"/>
        <v>45432972.090000004</v>
      </c>
      <c r="AB9" s="30" t="str">
        <f t="shared" si="10"/>
        <v>OK</v>
      </c>
    </row>
    <row r="10" spans="1:28" x14ac:dyDescent="0.3">
      <c r="A10" s="12" t="s">
        <v>12</v>
      </c>
      <c r="B10" s="13">
        <f>B11</f>
        <v>1491000</v>
      </c>
      <c r="C10" s="13">
        <f t="shared" ref="C10:E10" si="33">C11</f>
        <v>0</v>
      </c>
      <c r="D10" s="13">
        <f t="shared" si="33"/>
        <v>402570</v>
      </c>
      <c r="E10" s="13">
        <f t="shared" si="11"/>
        <v>1491000</v>
      </c>
      <c r="F10" s="14">
        <f t="shared" ref="F10:I10" si="34">F11</f>
        <v>0</v>
      </c>
      <c r="G10" s="14">
        <f t="shared" si="14"/>
        <v>1491000</v>
      </c>
      <c r="H10" s="15">
        <f t="shared" si="12"/>
        <v>0</v>
      </c>
      <c r="I10" s="13">
        <f t="shared" si="34"/>
        <v>0</v>
      </c>
      <c r="J10" s="13">
        <f t="shared" ref="J10" si="35">J11</f>
        <v>0</v>
      </c>
      <c r="K10" s="13">
        <f t="shared" ref="K10" si="36">K11</f>
        <v>0</v>
      </c>
      <c r="L10" s="13">
        <f t="shared" ref="L10" si="37">L11</f>
        <v>0</v>
      </c>
      <c r="M10" s="13">
        <f t="shared" ref="M10" si="38">M11</f>
        <v>1491000</v>
      </c>
      <c r="N10" s="1">
        <f t="shared" si="6"/>
        <v>1491000</v>
      </c>
      <c r="O10" s="30" t="str">
        <f t="shared" si="7"/>
        <v>Ok</v>
      </c>
      <c r="Q10" s="13">
        <f t="shared" ref="Q10" si="39">Q11</f>
        <v>0</v>
      </c>
      <c r="R10" s="13">
        <f t="shared" ref="R10" si="40">R11</f>
        <v>0</v>
      </c>
      <c r="S10" s="13">
        <f t="shared" ref="S10" si="41">S11</f>
        <v>0</v>
      </c>
      <c r="T10" s="13">
        <f t="shared" ref="T10" si="42">T11</f>
        <v>0</v>
      </c>
      <c r="U10" s="13">
        <f t="shared" ref="U10" si="43">U11</f>
        <v>0</v>
      </c>
      <c r="V10" s="13">
        <f t="shared" ref="V10" si="44">V11</f>
        <v>0</v>
      </c>
      <c r="W10" s="13">
        <f t="shared" ref="W10" si="45">W11</f>
        <v>0</v>
      </c>
      <c r="X10" s="13">
        <f t="shared" ref="X10" si="46">X11</f>
        <v>0</v>
      </c>
      <c r="Y10" s="13">
        <f t="shared" ref="Y10" si="47">Y11</f>
        <v>0</v>
      </c>
      <c r="Z10" s="13">
        <f t="shared" ref="Z10" si="48">Z11</f>
        <v>402570</v>
      </c>
      <c r="AA10" s="1">
        <f t="shared" si="13"/>
        <v>402570</v>
      </c>
      <c r="AB10" s="30" t="str">
        <f t="shared" si="10"/>
        <v>OK</v>
      </c>
    </row>
    <row r="11" spans="1:28" x14ac:dyDescent="0.3">
      <c r="A11" s="6" t="s">
        <v>12</v>
      </c>
      <c r="B11" s="10">
        <v>1491000</v>
      </c>
      <c r="C11" s="10">
        <v>0</v>
      </c>
      <c r="D11" s="10">
        <f>B11*0.27</f>
        <v>402570</v>
      </c>
      <c r="E11" s="7">
        <f t="shared" si="11"/>
        <v>1491000</v>
      </c>
      <c r="F11" s="7">
        <f t="shared" ref="F11:F16" si="49">C11</f>
        <v>0</v>
      </c>
      <c r="G11" s="7">
        <f t="shared" si="14"/>
        <v>1491000</v>
      </c>
      <c r="H11" s="8">
        <f t="shared" si="12"/>
        <v>0</v>
      </c>
      <c r="I11" s="7"/>
      <c r="J11" s="7"/>
      <c r="K11" s="7"/>
      <c r="L11" s="7"/>
      <c r="M11" s="7">
        <f>B11</f>
        <v>1491000</v>
      </c>
      <c r="N11" s="1">
        <f t="shared" si="6"/>
        <v>1491000</v>
      </c>
      <c r="O11" s="30" t="str">
        <f t="shared" si="7"/>
        <v>Ok</v>
      </c>
      <c r="P11" t="s">
        <v>30</v>
      </c>
      <c r="V11" s="1">
        <f>I11*0.27</f>
        <v>0</v>
      </c>
      <c r="W11" s="1">
        <f t="shared" ref="W11:Z11" si="50">J11*0.27</f>
        <v>0</v>
      </c>
      <c r="X11" s="1">
        <f t="shared" si="50"/>
        <v>0</v>
      </c>
      <c r="Y11" s="1">
        <f t="shared" si="50"/>
        <v>0</v>
      </c>
      <c r="Z11" s="1">
        <f t="shared" si="50"/>
        <v>402570</v>
      </c>
      <c r="AA11" s="1">
        <f t="shared" si="13"/>
        <v>402570</v>
      </c>
      <c r="AB11" s="30" t="str">
        <f t="shared" si="10"/>
        <v>OK</v>
      </c>
    </row>
    <row r="12" spans="1:28" x14ac:dyDescent="0.3">
      <c r="A12" s="12" t="s">
        <v>13</v>
      </c>
      <c r="B12" s="13">
        <f>B13+B14</f>
        <v>410816404</v>
      </c>
      <c r="C12" s="13">
        <f t="shared" ref="C12:E12" si="51">C13+C14</f>
        <v>65890026.990000002</v>
      </c>
      <c r="D12" s="13">
        <f t="shared" si="51"/>
        <v>45030402.090000004</v>
      </c>
      <c r="E12" s="13">
        <f t="shared" si="11"/>
        <v>410816404</v>
      </c>
      <c r="F12" s="13">
        <f t="shared" ref="F12:I12" si="52">F13+F14</f>
        <v>0</v>
      </c>
      <c r="G12" s="13">
        <f t="shared" si="14"/>
        <v>410816404</v>
      </c>
      <c r="H12" s="15">
        <f t="shared" si="12"/>
        <v>0</v>
      </c>
      <c r="I12" s="13">
        <f t="shared" si="52"/>
        <v>0</v>
      </c>
      <c r="J12" s="13">
        <f t="shared" ref="J12" si="53">J13+J14</f>
        <v>0</v>
      </c>
      <c r="K12" s="13">
        <f t="shared" ref="K12" si="54">K13+K14</f>
        <v>0</v>
      </c>
      <c r="L12" s="13">
        <f t="shared" ref="L12" si="55">L13+L14</f>
        <v>0</v>
      </c>
      <c r="M12" s="13">
        <f t="shared" ref="M12" si="56">M13+M14</f>
        <v>410816404</v>
      </c>
      <c r="N12" s="1">
        <f t="shared" si="6"/>
        <v>410816404</v>
      </c>
      <c r="O12" s="30" t="str">
        <f t="shared" si="7"/>
        <v>Ok</v>
      </c>
      <c r="Q12" s="13">
        <f t="shared" ref="Q12" si="57">Q13+Q14</f>
        <v>0</v>
      </c>
      <c r="R12" s="13">
        <f t="shared" ref="R12" si="58">R13+R14</f>
        <v>0</v>
      </c>
      <c r="S12" s="13">
        <f t="shared" ref="S12" si="59">S13+S14</f>
        <v>0</v>
      </c>
      <c r="T12" s="13">
        <f t="shared" ref="T12" si="60">T13+T14</f>
        <v>0</v>
      </c>
      <c r="U12" s="13">
        <f t="shared" ref="U12" si="61">U13+U14</f>
        <v>65890026.990000002</v>
      </c>
      <c r="V12" s="13">
        <f t="shared" ref="V12" si="62">V13+V14</f>
        <v>0</v>
      </c>
      <c r="W12" s="13">
        <f t="shared" ref="W12" si="63">W13+W14</f>
        <v>0</v>
      </c>
      <c r="X12" s="13">
        <f t="shared" ref="X12" si="64">X13+X14</f>
        <v>0</v>
      </c>
      <c r="Y12" s="13">
        <f t="shared" ref="Y12" si="65">Y13+Y14</f>
        <v>0</v>
      </c>
      <c r="Z12" s="13">
        <f t="shared" ref="Z12" si="66">Z13+Z14</f>
        <v>45030402.090000004</v>
      </c>
      <c r="AA12" s="1">
        <f t="shared" si="13"/>
        <v>45030402.090000004</v>
      </c>
      <c r="AB12" s="30" t="str">
        <f t="shared" si="10"/>
        <v>OK</v>
      </c>
    </row>
    <row r="13" spans="1:28" x14ac:dyDescent="0.3">
      <c r="A13" s="6" t="s">
        <v>14</v>
      </c>
      <c r="B13" s="10">
        <v>166779267</v>
      </c>
      <c r="C13" s="10">
        <v>0</v>
      </c>
      <c r="D13" s="10">
        <f>B13*0.27</f>
        <v>45030402.090000004</v>
      </c>
      <c r="E13" s="7">
        <f t="shared" si="11"/>
        <v>166779267</v>
      </c>
      <c r="F13" s="7">
        <f t="shared" si="49"/>
        <v>0</v>
      </c>
      <c r="G13" s="7">
        <f t="shared" si="14"/>
        <v>166779267</v>
      </c>
      <c r="H13" s="11">
        <f t="shared" si="12"/>
        <v>0</v>
      </c>
      <c r="I13" s="7"/>
      <c r="J13" s="7"/>
      <c r="K13" s="7"/>
      <c r="L13" s="7"/>
      <c r="M13" s="7">
        <f>B13</f>
        <v>166779267</v>
      </c>
      <c r="N13" s="1">
        <f t="shared" si="6"/>
        <v>166779267</v>
      </c>
      <c r="O13" s="30" t="str">
        <f t="shared" si="7"/>
        <v>Ok</v>
      </c>
      <c r="P13" s="29" t="s">
        <v>30</v>
      </c>
      <c r="V13" s="1">
        <f>I13*0.27</f>
        <v>0</v>
      </c>
      <c r="W13" s="1">
        <f t="shared" ref="W13:Z13" si="67">J13*0.27</f>
        <v>0</v>
      </c>
      <c r="X13" s="1">
        <f t="shared" si="67"/>
        <v>0</v>
      </c>
      <c r="Y13" s="1">
        <f t="shared" si="67"/>
        <v>0</v>
      </c>
      <c r="Z13" s="1">
        <f t="shared" si="67"/>
        <v>45030402.090000004</v>
      </c>
      <c r="AA13" s="1">
        <f t="shared" si="13"/>
        <v>45030402.090000004</v>
      </c>
      <c r="AB13" s="30" t="str">
        <f t="shared" si="10"/>
        <v>OK</v>
      </c>
    </row>
    <row r="14" spans="1:28" s="57" customFormat="1" x14ac:dyDescent="0.3">
      <c r="A14" s="54" t="s">
        <v>16</v>
      </c>
      <c r="B14" s="10">
        <v>244037137</v>
      </c>
      <c r="C14" s="10">
        <f>B14*0.27</f>
        <v>65890026.990000002</v>
      </c>
      <c r="D14" s="10">
        <v>0</v>
      </c>
      <c r="E14" s="10">
        <f t="shared" si="11"/>
        <v>244037137</v>
      </c>
      <c r="F14" s="10">
        <v>0</v>
      </c>
      <c r="G14" s="10">
        <f t="shared" si="14"/>
        <v>244037137</v>
      </c>
      <c r="H14" s="11">
        <f t="shared" si="12"/>
        <v>0</v>
      </c>
      <c r="I14" s="10"/>
      <c r="J14" s="10"/>
      <c r="K14" s="10"/>
      <c r="L14" s="10"/>
      <c r="M14" s="10">
        <f>B14</f>
        <v>244037137</v>
      </c>
      <c r="N14" s="55">
        <f t="shared" si="6"/>
        <v>244037137</v>
      </c>
      <c r="O14" s="56" t="str">
        <f t="shared" si="7"/>
        <v>Ok</v>
      </c>
      <c r="P14" s="58" t="s">
        <v>30</v>
      </c>
      <c r="Q14" s="55">
        <f>I14*0.27</f>
        <v>0</v>
      </c>
      <c r="R14" s="55">
        <f t="shared" ref="R14:U14" si="68">J14*0.27</f>
        <v>0</v>
      </c>
      <c r="S14" s="55">
        <f t="shared" si="68"/>
        <v>0</v>
      </c>
      <c r="T14" s="55">
        <f>L14*0.27</f>
        <v>0</v>
      </c>
      <c r="U14" s="55">
        <f t="shared" si="68"/>
        <v>65890026.990000002</v>
      </c>
      <c r="AA14" s="55">
        <f t="shared" si="13"/>
        <v>0</v>
      </c>
      <c r="AB14" s="56" t="str">
        <f t="shared" si="10"/>
        <v>OK</v>
      </c>
    </row>
    <row r="15" spans="1:28" x14ac:dyDescent="0.3">
      <c r="A15" s="12" t="s">
        <v>17</v>
      </c>
      <c r="B15" s="13">
        <f>B16</f>
        <v>224863750</v>
      </c>
      <c r="C15" s="13">
        <f t="shared" ref="C15:E15" si="69">C16</f>
        <v>60713212.500000007</v>
      </c>
      <c r="D15" s="13">
        <f t="shared" si="69"/>
        <v>0</v>
      </c>
      <c r="E15" s="13">
        <f t="shared" si="11"/>
        <v>224863750</v>
      </c>
      <c r="F15" s="13">
        <f t="shared" ref="F15:I15" si="70">F16</f>
        <v>0</v>
      </c>
      <c r="G15" s="13">
        <f t="shared" si="14"/>
        <v>224863750</v>
      </c>
      <c r="H15" s="15">
        <f t="shared" si="12"/>
        <v>0</v>
      </c>
      <c r="I15" s="13">
        <f t="shared" si="70"/>
        <v>0</v>
      </c>
      <c r="J15" s="13">
        <f t="shared" ref="J15" si="71">J16</f>
        <v>0</v>
      </c>
      <c r="K15" s="13">
        <f t="shared" ref="K15" si="72">K16</f>
        <v>0</v>
      </c>
      <c r="L15" s="13">
        <f t="shared" ref="L15" si="73">L16</f>
        <v>59719950</v>
      </c>
      <c r="M15" s="13">
        <f t="shared" ref="M15" si="74">M16</f>
        <v>165143800</v>
      </c>
      <c r="N15" s="1">
        <f t="shared" si="6"/>
        <v>224863750</v>
      </c>
      <c r="O15" s="30" t="str">
        <f t="shared" si="7"/>
        <v>Ok</v>
      </c>
      <c r="Q15" s="13">
        <f t="shared" ref="Q15" si="75">Q16</f>
        <v>0</v>
      </c>
      <c r="R15" s="13">
        <f t="shared" ref="R15" si="76">R16</f>
        <v>0</v>
      </c>
      <c r="S15" s="13">
        <f t="shared" ref="S15" si="77">S16</f>
        <v>0</v>
      </c>
      <c r="T15" s="13">
        <f t="shared" ref="T15" si="78">T16</f>
        <v>16124386.500000002</v>
      </c>
      <c r="U15" s="13">
        <f t="shared" ref="U15" si="79">U16</f>
        <v>44588826</v>
      </c>
      <c r="V15" s="13">
        <f t="shared" ref="V15" si="80">V16</f>
        <v>0</v>
      </c>
      <c r="W15" s="13">
        <f t="shared" ref="W15" si="81">W16</f>
        <v>0</v>
      </c>
      <c r="X15" s="13">
        <f t="shared" ref="X15" si="82">X16</f>
        <v>0</v>
      </c>
      <c r="Y15" s="13">
        <f t="shared" ref="Y15" si="83">Y16</f>
        <v>0</v>
      </c>
      <c r="Z15" s="13">
        <f t="shared" ref="Z15" si="84">Z16</f>
        <v>0</v>
      </c>
      <c r="AA15" s="1">
        <f t="shared" si="13"/>
        <v>0</v>
      </c>
      <c r="AB15" s="30" t="str">
        <f t="shared" si="10"/>
        <v>OK</v>
      </c>
    </row>
    <row r="16" spans="1:28" s="57" customFormat="1" x14ac:dyDescent="0.3">
      <c r="A16" s="54" t="s">
        <v>18</v>
      </c>
      <c r="B16" s="10">
        <v>224863750</v>
      </c>
      <c r="C16" s="10">
        <f>B16*0.27</f>
        <v>60713212.500000007</v>
      </c>
      <c r="D16" s="10">
        <v>0</v>
      </c>
      <c r="E16" s="10">
        <f t="shared" si="11"/>
        <v>224863750</v>
      </c>
      <c r="F16" s="10">
        <v>0</v>
      </c>
      <c r="G16" s="10">
        <f t="shared" si="14"/>
        <v>224863750</v>
      </c>
      <c r="H16" s="11">
        <f t="shared" si="12"/>
        <v>0</v>
      </c>
      <c r="I16" s="10"/>
      <c r="J16" s="10"/>
      <c r="K16" s="10"/>
      <c r="L16" s="10">
        <v>59719950</v>
      </c>
      <c r="M16" s="10">
        <f>G16-L16</f>
        <v>165143800</v>
      </c>
      <c r="N16" s="55">
        <f t="shared" si="6"/>
        <v>224863750</v>
      </c>
      <c r="O16" s="56" t="str">
        <f t="shared" si="7"/>
        <v>Ok</v>
      </c>
      <c r="P16" s="57" t="s">
        <v>30</v>
      </c>
      <c r="Q16" s="55">
        <f>I16*0.27</f>
        <v>0</v>
      </c>
      <c r="R16" s="55">
        <f t="shared" ref="R16:U16" si="85">J16*0.27</f>
        <v>0</v>
      </c>
      <c r="S16" s="55">
        <f t="shared" si="85"/>
        <v>0</v>
      </c>
      <c r="T16" s="55">
        <f t="shared" si="85"/>
        <v>16124386.500000002</v>
      </c>
      <c r="U16" s="55">
        <f t="shared" si="85"/>
        <v>44588826</v>
      </c>
      <c r="AA16" s="55">
        <f t="shared" si="13"/>
        <v>0</v>
      </c>
      <c r="AB16" s="56" t="str">
        <f t="shared" si="10"/>
        <v>OK</v>
      </c>
    </row>
    <row r="17" spans="1:28" x14ac:dyDescent="0.3">
      <c r="A17" s="3" t="s">
        <v>15</v>
      </c>
      <c r="B17" s="4">
        <f>B18+B28</f>
        <v>43075361</v>
      </c>
      <c r="C17" s="4">
        <f t="shared" ref="C17:E17" si="86">C18+C28</f>
        <v>810000</v>
      </c>
      <c r="D17" s="4">
        <f t="shared" si="86"/>
        <v>5960347.6200000001</v>
      </c>
      <c r="E17" s="4">
        <f t="shared" si="11"/>
        <v>43075361</v>
      </c>
      <c r="F17" s="4">
        <f>F18+F28</f>
        <v>0</v>
      </c>
      <c r="G17" s="4">
        <f t="shared" si="14"/>
        <v>43075361</v>
      </c>
      <c r="H17" s="5">
        <f t="shared" si="12"/>
        <v>0</v>
      </c>
      <c r="I17" s="4">
        <f>I18+I28</f>
        <v>10000000</v>
      </c>
      <c r="J17" s="4">
        <f>J18+J28</f>
        <v>0</v>
      </c>
      <c r="K17" s="4">
        <f>K18+K28</f>
        <v>4500</v>
      </c>
      <c r="L17" s="4">
        <f>L18+L28</f>
        <v>6540860</v>
      </c>
      <c r="M17" s="4">
        <f>M18+M28</f>
        <v>26530001</v>
      </c>
      <c r="N17" s="1">
        <f t="shared" si="6"/>
        <v>43075361</v>
      </c>
      <c r="O17" s="30" t="str">
        <f t="shared" si="7"/>
        <v>Ok</v>
      </c>
      <c r="P17" t="s">
        <v>31</v>
      </c>
      <c r="Q17" s="4">
        <f t="shared" ref="Q17" si="87">Q18+Q28</f>
        <v>0</v>
      </c>
      <c r="R17" s="4">
        <f t="shared" ref="R17" si="88">R18+R28</f>
        <v>0</v>
      </c>
      <c r="S17" s="4">
        <f t="shared" ref="S17" si="89">S18+S28</f>
        <v>0</v>
      </c>
      <c r="T17" s="4">
        <f t="shared" ref="T17" si="90">T18+T28</f>
        <v>0</v>
      </c>
      <c r="U17" s="4">
        <f t="shared" ref="U17" si="91">U18+U28</f>
        <v>810000</v>
      </c>
      <c r="V17" s="4">
        <f t="shared" ref="V17" si="92">V18+V28</f>
        <v>2700000</v>
      </c>
      <c r="W17" s="4">
        <f t="shared" ref="W17" si="93">W18+W28</f>
        <v>0</v>
      </c>
      <c r="X17" s="4">
        <f t="shared" ref="X17" si="94">X18+X28</f>
        <v>1215</v>
      </c>
      <c r="Y17" s="4">
        <f t="shared" ref="Y17" si="95">Y18+Y28</f>
        <v>0</v>
      </c>
      <c r="Z17" s="4">
        <f t="shared" ref="Z17" si="96">Z18+Z28</f>
        <v>3259132.62</v>
      </c>
      <c r="AA17" s="1">
        <f t="shared" si="13"/>
        <v>5960347.6200000001</v>
      </c>
      <c r="AB17" s="30" t="str">
        <f t="shared" si="10"/>
        <v>OK</v>
      </c>
    </row>
    <row r="18" spans="1:28" x14ac:dyDescent="0.3">
      <c r="A18" s="16" t="s">
        <v>19</v>
      </c>
      <c r="B18" s="20">
        <f>SUM(B19:B27)</f>
        <v>43075361</v>
      </c>
      <c r="C18" s="20">
        <f t="shared" ref="C18:D18" si="97">SUM(C19:C27)</f>
        <v>810000</v>
      </c>
      <c r="D18" s="20">
        <f t="shared" si="97"/>
        <v>5960347.6200000001</v>
      </c>
      <c r="E18" s="7">
        <f t="shared" si="11"/>
        <v>43075361</v>
      </c>
      <c r="F18" s="17">
        <v>0</v>
      </c>
      <c r="G18" s="17">
        <f t="shared" si="14"/>
        <v>43075361</v>
      </c>
      <c r="H18" s="18">
        <f t="shared" si="12"/>
        <v>0</v>
      </c>
      <c r="I18" s="17">
        <f>SUM(I19:I27)</f>
        <v>10000000</v>
      </c>
      <c r="J18" s="17">
        <f>SUM(J19:J27)</f>
        <v>0</v>
      </c>
      <c r="K18" s="17">
        <f>SUM(K19:K27)</f>
        <v>4500</v>
      </c>
      <c r="L18" s="17">
        <f>SUM(L19:L27)</f>
        <v>6540860</v>
      </c>
      <c r="M18" s="17">
        <f>SUM(M19:M27)</f>
        <v>26530001</v>
      </c>
      <c r="N18" s="1">
        <f t="shared" si="6"/>
        <v>43075361</v>
      </c>
      <c r="O18" s="30" t="str">
        <f t="shared" si="7"/>
        <v>Ok</v>
      </c>
      <c r="Q18" s="20">
        <f>SUM(Q19:Q27)</f>
        <v>0</v>
      </c>
      <c r="R18" s="20">
        <f t="shared" ref="R18:Z18" si="98">SUM(R19:R27)</f>
        <v>0</v>
      </c>
      <c r="S18" s="20">
        <f t="shared" si="98"/>
        <v>0</v>
      </c>
      <c r="T18" s="20">
        <f t="shared" si="98"/>
        <v>0</v>
      </c>
      <c r="U18" s="20">
        <f t="shared" si="98"/>
        <v>810000</v>
      </c>
      <c r="V18" s="20">
        <f t="shared" si="98"/>
        <v>2700000</v>
      </c>
      <c r="W18" s="20">
        <f t="shared" si="98"/>
        <v>0</v>
      </c>
      <c r="X18" s="20">
        <f t="shared" si="98"/>
        <v>1215</v>
      </c>
      <c r="Y18" s="20">
        <f t="shared" si="98"/>
        <v>0</v>
      </c>
      <c r="Z18" s="20">
        <f t="shared" si="98"/>
        <v>3259132.62</v>
      </c>
      <c r="AA18" s="1">
        <f t="shared" si="13"/>
        <v>5960347.6200000001</v>
      </c>
      <c r="AB18" s="30" t="str">
        <f t="shared" si="10"/>
        <v>OK</v>
      </c>
    </row>
    <row r="19" spans="1:28" s="57" customFormat="1" x14ac:dyDescent="0.3">
      <c r="A19" s="54" t="s">
        <v>9</v>
      </c>
      <c r="B19" s="10">
        <v>10000000</v>
      </c>
      <c r="C19" s="10"/>
      <c r="D19" s="10">
        <f>B19*0.27</f>
        <v>2700000</v>
      </c>
      <c r="E19" s="10">
        <f t="shared" si="11"/>
        <v>10000000</v>
      </c>
      <c r="F19" s="10">
        <f t="shared" ref="F19:F28" si="99">C19</f>
        <v>0</v>
      </c>
      <c r="G19" s="10">
        <f t="shared" si="14"/>
        <v>10000000</v>
      </c>
      <c r="H19" s="11">
        <f t="shared" si="12"/>
        <v>0</v>
      </c>
      <c r="I19" s="10">
        <v>10000000</v>
      </c>
      <c r="J19" s="10"/>
      <c r="K19" s="10"/>
      <c r="L19" s="10"/>
      <c r="M19" s="10"/>
      <c r="N19" s="55">
        <f t="shared" si="6"/>
        <v>10000000</v>
      </c>
      <c r="O19" s="56" t="str">
        <f t="shared" si="7"/>
        <v>Ok</v>
      </c>
      <c r="V19" s="55">
        <f>I19*0.27</f>
        <v>2700000</v>
      </c>
      <c r="W19" s="55">
        <f t="shared" ref="W19:Z26" si="100">J19*0.27</f>
        <v>0</v>
      </c>
      <c r="X19" s="55">
        <f t="shared" si="100"/>
        <v>0</v>
      </c>
      <c r="Y19" s="55">
        <f t="shared" si="100"/>
        <v>0</v>
      </c>
      <c r="Z19" s="55">
        <f t="shared" si="100"/>
        <v>0</v>
      </c>
      <c r="AA19" s="55">
        <f t="shared" si="13"/>
        <v>2700000</v>
      </c>
      <c r="AB19" s="56" t="str">
        <f t="shared" si="10"/>
        <v>OK</v>
      </c>
    </row>
    <row r="20" spans="1:28" s="57" customFormat="1" x14ac:dyDescent="0.3">
      <c r="A20" s="54" t="s">
        <v>10</v>
      </c>
      <c r="B20" s="10">
        <v>6800000</v>
      </c>
      <c r="C20" s="10"/>
      <c r="D20" s="10">
        <v>985084</v>
      </c>
      <c r="E20" s="10">
        <f t="shared" si="11"/>
        <v>6800000</v>
      </c>
      <c r="F20" s="10">
        <f t="shared" si="99"/>
        <v>0</v>
      </c>
      <c r="G20" s="10">
        <f t="shared" si="14"/>
        <v>6800000</v>
      </c>
      <c r="H20" s="11">
        <f t="shared" si="12"/>
        <v>0</v>
      </c>
      <c r="I20" s="10"/>
      <c r="J20" s="10"/>
      <c r="K20" s="10"/>
      <c r="L20" s="10">
        <v>2292400</v>
      </c>
      <c r="M20" s="10">
        <f>B20-L20</f>
        <v>4507600</v>
      </c>
      <c r="N20" s="55">
        <f t="shared" si="6"/>
        <v>6800000</v>
      </c>
      <c r="O20" s="56" t="str">
        <f t="shared" si="7"/>
        <v>Ok</v>
      </c>
      <c r="V20" s="55">
        <f>I20*0.27</f>
        <v>0</v>
      </c>
      <c r="W20" s="55">
        <f t="shared" si="100"/>
        <v>0</v>
      </c>
      <c r="X20" s="55">
        <f t="shared" si="100"/>
        <v>0</v>
      </c>
      <c r="Y20" s="55"/>
      <c r="Z20" s="55">
        <v>985084</v>
      </c>
      <c r="AA20" s="55">
        <f t="shared" si="13"/>
        <v>985084</v>
      </c>
      <c r="AB20" s="56" t="str">
        <f t="shared" si="10"/>
        <v>OK</v>
      </c>
    </row>
    <row r="21" spans="1:28" s="57" customFormat="1" x14ac:dyDescent="0.3">
      <c r="A21" s="54" t="s">
        <v>90</v>
      </c>
      <c r="B21" s="10">
        <v>1009160</v>
      </c>
      <c r="C21" s="10"/>
      <c r="D21" s="10"/>
      <c r="E21" s="10">
        <f t="shared" si="11"/>
        <v>1009160</v>
      </c>
      <c r="F21" s="10">
        <f t="shared" si="99"/>
        <v>0</v>
      </c>
      <c r="G21" s="10">
        <f t="shared" si="14"/>
        <v>1009160</v>
      </c>
      <c r="H21" s="11">
        <f t="shared" si="12"/>
        <v>0</v>
      </c>
      <c r="I21" s="10"/>
      <c r="J21" s="10"/>
      <c r="K21" s="10"/>
      <c r="L21" s="10">
        <v>1009160</v>
      </c>
      <c r="M21" s="10">
        <f>B21-L21</f>
        <v>0</v>
      </c>
      <c r="N21" s="55">
        <f t="shared" si="6"/>
        <v>1009160</v>
      </c>
      <c r="O21" s="56" t="str">
        <f t="shared" si="7"/>
        <v>Ok</v>
      </c>
      <c r="V21" s="55"/>
      <c r="W21" s="55"/>
      <c r="X21" s="55"/>
      <c r="Y21" s="55"/>
      <c r="Z21" s="55"/>
      <c r="AA21" s="55">
        <f t="shared" si="13"/>
        <v>0</v>
      </c>
      <c r="AB21" s="56" t="str">
        <f t="shared" si="10"/>
        <v>OK</v>
      </c>
    </row>
    <row r="22" spans="1:28" s="57" customFormat="1" x14ac:dyDescent="0.3">
      <c r="A22" s="54" t="s">
        <v>91</v>
      </c>
      <c r="B22" s="10">
        <v>10600000</v>
      </c>
      <c r="C22" s="10"/>
      <c r="D22" s="10"/>
      <c r="E22" s="10">
        <f t="shared" si="11"/>
        <v>10600000</v>
      </c>
      <c r="F22" s="10"/>
      <c r="G22" s="10">
        <f t="shared" si="14"/>
        <v>10600000</v>
      </c>
      <c r="H22" s="11"/>
      <c r="I22" s="10"/>
      <c r="J22" s="10"/>
      <c r="K22" s="10"/>
      <c r="L22" s="10"/>
      <c r="M22" s="10">
        <f>B22</f>
        <v>10600000</v>
      </c>
      <c r="N22" s="55">
        <f t="shared" si="6"/>
        <v>10600000</v>
      </c>
      <c r="O22" s="56" t="str">
        <f t="shared" si="7"/>
        <v>Ok</v>
      </c>
      <c r="V22" s="55"/>
      <c r="W22" s="55"/>
      <c r="X22" s="55"/>
      <c r="Y22" s="55"/>
      <c r="Z22" s="55"/>
      <c r="AA22" s="55">
        <f t="shared" si="13"/>
        <v>0</v>
      </c>
      <c r="AB22" s="56" t="str">
        <f t="shared" si="10"/>
        <v>OK</v>
      </c>
    </row>
    <row r="23" spans="1:28" s="57" customFormat="1" x14ac:dyDescent="0.3">
      <c r="A23" s="54" t="s">
        <v>20</v>
      </c>
      <c r="B23" s="10">
        <v>2777295</v>
      </c>
      <c r="C23" s="10"/>
      <c r="D23" s="10">
        <v>749870</v>
      </c>
      <c r="E23" s="10">
        <f t="shared" si="11"/>
        <v>2777295</v>
      </c>
      <c r="F23" s="10">
        <f t="shared" si="99"/>
        <v>0</v>
      </c>
      <c r="G23" s="10">
        <f t="shared" si="14"/>
        <v>2777295</v>
      </c>
      <c r="H23" s="11">
        <f t="shared" si="12"/>
        <v>0</v>
      </c>
      <c r="I23" s="10"/>
      <c r="J23" s="10"/>
      <c r="K23" s="10">
        <f>5715/1.27</f>
        <v>4500</v>
      </c>
      <c r="L23" s="10"/>
      <c r="M23" s="10">
        <f>B23-K23</f>
        <v>2772795</v>
      </c>
      <c r="N23" s="55">
        <f t="shared" si="6"/>
        <v>2777295</v>
      </c>
      <c r="O23" s="56" t="str">
        <f t="shared" si="7"/>
        <v>Ok</v>
      </c>
      <c r="V23" s="55">
        <f t="shared" ref="V23:V26" si="101">I23*0.27</f>
        <v>0</v>
      </c>
      <c r="W23" s="55">
        <f t="shared" si="100"/>
        <v>0</v>
      </c>
      <c r="X23" s="55">
        <f t="shared" si="100"/>
        <v>1215</v>
      </c>
      <c r="Y23" s="55">
        <f t="shared" si="100"/>
        <v>0</v>
      </c>
      <c r="Z23" s="55">
        <v>748655</v>
      </c>
      <c r="AA23" s="55">
        <f t="shared" si="13"/>
        <v>749870</v>
      </c>
      <c r="AB23" s="56" t="str">
        <f t="shared" si="10"/>
        <v>OK</v>
      </c>
    </row>
    <row r="24" spans="1:28" s="57" customFormat="1" x14ac:dyDescent="0.3">
      <c r="A24" s="54" t="s">
        <v>52</v>
      </c>
      <c r="B24" s="10">
        <v>3149606</v>
      </c>
      <c r="C24" s="10"/>
      <c r="D24" s="10">
        <f>B24*0.27</f>
        <v>850393.62000000011</v>
      </c>
      <c r="E24" s="10">
        <f t="shared" si="11"/>
        <v>3149606</v>
      </c>
      <c r="F24" s="10">
        <f t="shared" si="99"/>
        <v>0</v>
      </c>
      <c r="G24" s="10">
        <f t="shared" si="14"/>
        <v>3149606</v>
      </c>
      <c r="H24" s="11">
        <f t="shared" si="12"/>
        <v>0</v>
      </c>
      <c r="I24" s="10"/>
      <c r="J24" s="10"/>
      <c r="K24" s="10"/>
      <c r="L24" s="10"/>
      <c r="M24" s="10">
        <f>B24</f>
        <v>3149606</v>
      </c>
      <c r="N24" s="55">
        <f t="shared" si="6"/>
        <v>3149606</v>
      </c>
      <c r="O24" s="56" t="str">
        <f t="shared" si="7"/>
        <v>Ok</v>
      </c>
      <c r="V24" s="55">
        <f t="shared" si="101"/>
        <v>0</v>
      </c>
      <c r="W24" s="55">
        <f>J24*0.27</f>
        <v>0</v>
      </c>
      <c r="X24" s="55">
        <f t="shared" si="100"/>
        <v>0</v>
      </c>
      <c r="Y24" s="55">
        <f t="shared" si="100"/>
        <v>0</v>
      </c>
      <c r="Z24" s="55">
        <f t="shared" si="100"/>
        <v>850393.62000000011</v>
      </c>
      <c r="AA24" s="55">
        <f t="shared" si="13"/>
        <v>850393.62000000011</v>
      </c>
      <c r="AB24" s="56" t="str">
        <f t="shared" si="10"/>
        <v>OK</v>
      </c>
    </row>
    <row r="25" spans="1:28" s="57" customFormat="1" x14ac:dyDescent="0.3">
      <c r="A25" s="54" t="s">
        <v>51</v>
      </c>
      <c r="B25" s="10">
        <v>3239300</v>
      </c>
      <c r="C25" s="10"/>
      <c r="D25" s="10"/>
      <c r="E25" s="10">
        <f t="shared" si="11"/>
        <v>3239300</v>
      </c>
      <c r="F25" s="10">
        <f t="shared" si="99"/>
        <v>0</v>
      </c>
      <c r="G25" s="10">
        <f t="shared" si="14"/>
        <v>3239300</v>
      </c>
      <c r="H25" s="11"/>
      <c r="I25" s="10"/>
      <c r="J25" s="10"/>
      <c r="K25" s="10"/>
      <c r="L25" s="10">
        <f>B25</f>
        <v>3239300</v>
      </c>
      <c r="M25" s="10"/>
      <c r="N25" s="55"/>
      <c r="O25" s="56"/>
      <c r="V25" s="55">
        <f t="shared" si="101"/>
        <v>0</v>
      </c>
      <c r="W25" s="55">
        <f t="shared" si="100"/>
        <v>0</v>
      </c>
      <c r="X25" s="55">
        <f t="shared" si="100"/>
        <v>0</v>
      </c>
      <c r="Y25" s="55">
        <v>0</v>
      </c>
      <c r="Z25" s="55">
        <f t="shared" si="100"/>
        <v>0</v>
      </c>
      <c r="AA25" s="55">
        <f t="shared" si="13"/>
        <v>0</v>
      </c>
      <c r="AB25" s="56" t="str">
        <f t="shared" si="10"/>
        <v>OK</v>
      </c>
    </row>
    <row r="26" spans="1:28" s="57" customFormat="1" x14ac:dyDescent="0.3">
      <c r="A26" s="54" t="s">
        <v>22</v>
      </c>
      <c r="B26" s="10">
        <v>2500000</v>
      </c>
      <c r="C26" s="10"/>
      <c r="D26" s="10">
        <f>B26*0.27</f>
        <v>675000</v>
      </c>
      <c r="E26" s="10">
        <f t="shared" si="11"/>
        <v>2500000</v>
      </c>
      <c r="F26" s="10">
        <f t="shared" si="99"/>
        <v>0</v>
      </c>
      <c r="G26" s="10">
        <f t="shared" si="14"/>
        <v>2500000</v>
      </c>
      <c r="H26" s="11">
        <f t="shared" si="12"/>
        <v>0</v>
      </c>
      <c r="I26" s="10"/>
      <c r="J26" s="10"/>
      <c r="K26" s="10"/>
      <c r="L26" s="10"/>
      <c r="M26" s="10">
        <f>B26</f>
        <v>2500000</v>
      </c>
      <c r="N26" s="55">
        <f t="shared" ref="N26:N32" si="102">SUM(I26:M26)</f>
        <v>2500000</v>
      </c>
      <c r="O26" s="56" t="str">
        <f t="shared" ref="O26:O32" si="103">IF(N26=B26,"Ok","Nem jó")</f>
        <v>Ok</v>
      </c>
      <c r="V26" s="55">
        <f t="shared" si="101"/>
        <v>0</v>
      </c>
      <c r="W26" s="55">
        <f t="shared" si="100"/>
        <v>0</v>
      </c>
      <c r="X26" s="55">
        <f t="shared" si="100"/>
        <v>0</v>
      </c>
      <c r="Y26" s="55">
        <f t="shared" si="100"/>
        <v>0</v>
      </c>
      <c r="Z26" s="55">
        <f t="shared" si="100"/>
        <v>675000</v>
      </c>
      <c r="AA26" s="55">
        <f t="shared" si="13"/>
        <v>675000</v>
      </c>
      <c r="AB26" s="56" t="str">
        <f t="shared" si="10"/>
        <v>OK</v>
      </c>
    </row>
    <row r="27" spans="1:28" s="57" customFormat="1" x14ac:dyDescent="0.3">
      <c r="A27" s="54" t="s">
        <v>23</v>
      </c>
      <c r="B27" s="10">
        <v>3000000</v>
      </c>
      <c r="C27" s="10">
        <f>B27*0.27</f>
        <v>810000</v>
      </c>
      <c r="D27" s="10"/>
      <c r="E27" s="10">
        <f t="shared" si="11"/>
        <v>3000000</v>
      </c>
      <c r="F27" s="10">
        <v>0</v>
      </c>
      <c r="G27" s="10">
        <f t="shared" si="14"/>
        <v>3000000</v>
      </c>
      <c r="H27" s="11">
        <f t="shared" si="12"/>
        <v>0</v>
      </c>
      <c r="I27" s="10"/>
      <c r="J27" s="10"/>
      <c r="K27" s="10"/>
      <c r="L27" s="10"/>
      <c r="M27" s="10">
        <f>G27</f>
        <v>3000000</v>
      </c>
      <c r="N27" s="55">
        <f t="shared" si="102"/>
        <v>3000000</v>
      </c>
      <c r="O27" s="56" t="str">
        <f t="shared" si="103"/>
        <v>Ok</v>
      </c>
      <c r="Q27" s="55">
        <f>I27*0.27</f>
        <v>0</v>
      </c>
      <c r="R27" s="55">
        <f t="shared" ref="R27:U27" si="104">J27*0.27</f>
        <v>0</v>
      </c>
      <c r="S27" s="55">
        <f t="shared" si="104"/>
        <v>0</v>
      </c>
      <c r="T27" s="55">
        <f t="shared" si="104"/>
        <v>0</v>
      </c>
      <c r="U27" s="55">
        <f t="shared" si="104"/>
        <v>810000</v>
      </c>
      <c r="AA27" s="55">
        <f t="shared" si="13"/>
        <v>0</v>
      </c>
      <c r="AB27" s="56" t="str">
        <f t="shared" si="10"/>
        <v>OK</v>
      </c>
    </row>
    <row r="28" spans="1:28" x14ac:dyDescent="0.3">
      <c r="A28" s="16" t="s">
        <v>25</v>
      </c>
      <c r="B28" s="20">
        <v>0</v>
      </c>
      <c r="C28" s="20"/>
      <c r="D28" s="20"/>
      <c r="E28" s="7">
        <f t="shared" si="11"/>
        <v>0</v>
      </c>
      <c r="F28" s="7">
        <f t="shared" si="99"/>
        <v>0</v>
      </c>
      <c r="G28" s="7">
        <f t="shared" si="14"/>
        <v>0</v>
      </c>
      <c r="H28" s="21" t="e">
        <f t="shared" si="12"/>
        <v>#DIV/0!</v>
      </c>
      <c r="I28" s="7"/>
      <c r="J28" s="7"/>
      <c r="K28" s="7"/>
      <c r="L28" s="7"/>
      <c r="M28" s="7"/>
      <c r="N28" s="1">
        <f t="shared" si="102"/>
        <v>0</v>
      </c>
      <c r="O28" s="30" t="str">
        <f t="shared" si="103"/>
        <v>Ok</v>
      </c>
      <c r="AA28" s="1">
        <f t="shared" si="13"/>
        <v>0</v>
      </c>
      <c r="AB28" s="30" t="str">
        <f t="shared" si="10"/>
        <v>OK</v>
      </c>
    </row>
    <row r="29" spans="1:28" x14ac:dyDescent="0.3">
      <c r="A29" s="22" t="s">
        <v>24</v>
      </c>
      <c r="B29" s="31">
        <f>B9+B3+B17</f>
        <v>696046515</v>
      </c>
      <c r="C29" s="31">
        <f>C9+C3+C17</f>
        <v>129573239.49000001</v>
      </c>
      <c r="D29" s="31">
        <f t="shared" ref="D29:E29" si="105">D9+D3+D17</f>
        <v>53499319.710000001</v>
      </c>
      <c r="E29" s="31">
        <f t="shared" si="105"/>
        <v>696046515</v>
      </c>
      <c r="F29" s="27">
        <f>F9+F3+F17</f>
        <v>0</v>
      </c>
      <c r="G29" s="31">
        <f>G9+G3+G17</f>
        <v>696046515</v>
      </c>
      <c r="H29" s="24">
        <f t="shared" si="12"/>
        <v>0</v>
      </c>
      <c r="I29" s="31">
        <f>I9+I3+I17</f>
        <v>16100000</v>
      </c>
      <c r="J29" s="31">
        <f>J9+J3+J17</f>
        <v>0</v>
      </c>
      <c r="K29" s="31">
        <f>K9+K3+K17</f>
        <v>5204500</v>
      </c>
      <c r="L29" s="31">
        <f>L9+L3+L17</f>
        <v>70760810</v>
      </c>
      <c r="M29" s="31">
        <f>M9+M3+M17</f>
        <v>603981205</v>
      </c>
      <c r="N29" s="1">
        <f t="shared" si="102"/>
        <v>696046515</v>
      </c>
      <c r="O29" s="30" t="str">
        <f t="shared" si="103"/>
        <v>Ok</v>
      </c>
      <c r="Q29" s="31">
        <f t="shared" ref="Q29:Z29" si="106">Q9+Q3+Q17</f>
        <v>945000.00000000012</v>
      </c>
      <c r="R29" s="31">
        <f t="shared" si="106"/>
        <v>0</v>
      </c>
      <c r="S29" s="31">
        <f t="shared" si="106"/>
        <v>0</v>
      </c>
      <c r="T29" s="31">
        <f t="shared" si="106"/>
        <v>17339386.5</v>
      </c>
      <c r="U29" s="31">
        <f t="shared" si="106"/>
        <v>111288852.99000001</v>
      </c>
      <c r="V29" s="31">
        <f t="shared" si="106"/>
        <v>3402000</v>
      </c>
      <c r="W29" s="31">
        <f t="shared" si="106"/>
        <v>0</v>
      </c>
      <c r="X29" s="31">
        <f t="shared" si="106"/>
        <v>1405215</v>
      </c>
      <c r="Y29" s="31">
        <f t="shared" si="106"/>
        <v>0</v>
      </c>
      <c r="Z29" s="31">
        <f t="shared" si="106"/>
        <v>48692104.710000001</v>
      </c>
      <c r="AA29" s="1">
        <f t="shared" si="13"/>
        <v>53499319.710000001</v>
      </c>
      <c r="AB29" s="30" t="str">
        <f t="shared" si="10"/>
        <v>OK</v>
      </c>
    </row>
    <row r="30" spans="1:28" ht="13.8" customHeight="1" x14ac:dyDescent="0.3">
      <c r="A30" s="25" t="s">
        <v>26</v>
      </c>
      <c r="B30" s="28">
        <f>SUM(B31:B32)</f>
        <v>0</v>
      </c>
      <c r="C30" s="28"/>
      <c r="D30" s="28"/>
      <c r="E30" s="28"/>
      <c r="F30" s="28">
        <f t="shared" ref="F30:G30" si="107">SUM(F31:F32)</f>
        <v>129573239.49000001</v>
      </c>
      <c r="G30" s="28">
        <f t="shared" si="107"/>
        <v>53499319.710000001</v>
      </c>
      <c r="H30" s="26" t="e">
        <f t="shared" si="12"/>
        <v>#DIV/0!</v>
      </c>
      <c r="I30" s="32">
        <f>SUM(I31:I32)</f>
        <v>4347000</v>
      </c>
      <c r="J30" s="32">
        <f t="shared" ref="J30:M30" si="108">SUM(J31:J32)</f>
        <v>0</v>
      </c>
      <c r="K30" s="32">
        <f t="shared" si="108"/>
        <v>1405215</v>
      </c>
      <c r="L30" s="32">
        <f t="shared" si="108"/>
        <v>17339386.5</v>
      </c>
      <c r="M30" s="32">
        <f t="shared" si="108"/>
        <v>159980957.70000002</v>
      </c>
      <c r="N30" s="1">
        <f t="shared" si="102"/>
        <v>183072559.20000002</v>
      </c>
      <c r="O30" s="30" t="str">
        <f t="shared" si="103"/>
        <v>Nem jó</v>
      </c>
      <c r="Q30" s="28">
        <f>SUM(Q31:Q32)</f>
        <v>0</v>
      </c>
      <c r="R30" s="28">
        <f t="shared" ref="R30:Z30" si="109">SUM(R31:R32)</f>
        <v>0</v>
      </c>
      <c r="S30" s="28">
        <f t="shared" si="109"/>
        <v>0</v>
      </c>
      <c r="T30" s="28">
        <f t="shared" si="109"/>
        <v>0</v>
      </c>
      <c r="U30" s="28">
        <f t="shared" si="109"/>
        <v>0</v>
      </c>
      <c r="V30" s="28">
        <f t="shared" si="109"/>
        <v>0</v>
      </c>
      <c r="W30" s="28">
        <f t="shared" si="109"/>
        <v>0</v>
      </c>
      <c r="X30" s="28">
        <f t="shared" si="109"/>
        <v>0</v>
      </c>
      <c r="Y30" s="28">
        <f t="shared" si="109"/>
        <v>0</v>
      </c>
      <c r="Z30" s="28">
        <f t="shared" si="109"/>
        <v>0</v>
      </c>
      <c r="AB30" s="30" t="str">
        <f t="shared" si="10"/>
        <v>OK</v>
      </c>
    </row>
    <row r="31" spans="1:28" x14ac:dyDescent="0.3">
      <c r="A31" s="6" t="s">
        <v>27</v>
      </c>
      <c r="B31" s="7"/>
      <c r="C31" s="7"/>
      <c r="D31" s="7"/>
      <c r="E31" s="7">
        <f>C29</f>
        <v>129573239.49000001</v>
      </c>
      <c r="F31" s="7">
        <f>E31</f>
        <v>129573239.49000001</v>
      </c>
      <c r="G31" s="7">
        <v>0</v>
      </c>
      <c r="H31" s="8" t="e">
        <f t="shared" si="12"/>
        <v>#DIV/0!</v>
      </c>
      <c r="I31" s="7">
        <f>Q29</f>
        <v>945000.00000000012</v>
      </c>
      <c r="J31" s="7">
        <f t="shared" ref="J31:M31" si="110">R29</f>
        <v>0</v>
      </c>
      <c r="K31" s="7">
        <f t="shared" si="110"/>
        <v>0</v>
      </c>
      <c r="L31" s="7">
        <f t="shared" si="110"/>
        <v>17339386.5</v>
      </c>
      <c r="M31" s="7">
        <f t="shared" si="110"/>
        <v>111288852.99000001</v>
      </c>
      <c r="N31" s="1">
        <f t="shared" si="102"/>
        <v>129573239.49000001</v>
      </c>
      <c r="O31" s="30" t="str">
        <f t="shared" si="103"/>
        <v>Nem jó</v>
      </c>
      <c r="AB31" s="30" t="str">
        <f t="shared" si="10"/>
        <v>OK</v>
      </c>
    </row>
    <row r="32" spans="1:28" x14ac:dyDescent="0.3">
      <c r="A32" s="6" t="s">
        <v>28</v>
      </c>
      <c r="B32" s="7"/>
      <c r="C32" s="7"/>
      <c r="D32" s="7"/>
      <c r="E32" s="7">
        <f>D29</f>
        <v>53499319.710000001</v>
      </c>
      <c r="F32" s="7">
        <v>0</v>
      </c>
      <c r="G32" s="7">
        <f>E32</f>
        <v>53499319.710000001</v>
      </c>
      <c r="H32" s="8" t="e">
        <f t="shared" si="12"/>
        <v>#DIV/0!</v>
      </c>
      <c r="I32" s="7">
        <f>V29</f>
        <v>3402000</v>
      </c>
      <c r="J32" s="7">
        <f t="shared" ref="J32:M32" si="111">W29</f>
        <v>0</v>
      </c>
      <c r="K32" s="7">
        <f t="shared" si="111"/>
        <v>1405215</v>
      </c>
      <c r="L32" s="7">
        <f t="shared" si="111"/>
        <v>0</v>
      </c>
      <c r="M32" s="7">
        <f t="shared" si="111"/>
        <v>48692104.710000001</v>
      </c>
      <c r="N32" s="1">
        <f t="shared" si="102"/>
        <v>53499319.710000001</v>
      </c>
      <c r="O32" s="30" t="str">
        <f t="shared" si="103"/>
        <v>Nem jó</v>
      </c>
      <c r="AB32" s="30" t="str">
        <f t="shared" si="10"/>
        <v>OK</v>
      </c>
    </row>
    <row r="33" spans="1:28" x14ac:dyDescent="0.3">
      <c r="A33" s="22" t="s">
        <v>29</v>
      </c>
      <c r="B33" s="23">
        <f>B29+B30</f>
        <v>696046515</v>
      </c>
      <c r="C33" s="23"/>
      <c r="D33" s="23"/>
      <c r="E33" s="23"/>
      <c r="F33" s="23">
        <f t="shared" ref="F33:M33" si="112">F29+F30</f>
        <v>129573239.49000001</v>
      </c>
      <c r="G33" s="23">
        <f t="shared" si="112"/>
        <v>749545834.71000004</v>
      </c>
      <c r="H33" s="24">
        <f t="shared" si="12"/>
        <v>0.18615600638414231</v>
      </c>
      <c r="I33" s="23">
        <f t="shared" si="112"/>
        <v>20447000</v>
      </c>
      <c r="J33" s="23">
        <f t="shared" si="112"/>
        <v>0</v>
      </c>
      <c r="K33" s="23">
        <f t="shared" si="112"/>
        <v>6609715</v>
      </c>
      <c r="L33" s="23">
        <f t="shared" si="112"/>
        <v>88100196.5</v>
      </c>
      <c r="M33" s="23">
        <f t="shared" si="112"/>
        <v>763962162.70000005</v>
      </c>
      <c r="Q33" s="23">
        <f>Q29+Q30</f>
        <v>945000.00000000012</v>
      </c>
      <c r="R33" s="23">
        <f t="shared" ref="R33:Z33" si="113">R29+R30</f>
        <v>0</v>
      </c>
      <c r="S33" s="23">
        <f t="shared" si="113"/>
        <v>0</v>
      </c>
      <c r="T33" s="23">
        <f t="shared" si="113"/>
        <v>17339386.5</v>
      </c>
      <c r="U33" s="23">
        <f t="shared" si="113"/>
        <v>111288852.99000001</v>
      </c>
      <c r="V33" s="23">
        <f t="shared" si="113"/>
        <v>3402000</v>
      </c>
      <c r="W33" s="23">
        <f t="shared" si="113"/>
        <v>0</v>
      </c>
      <c r="X33" s="23">
        <f t="shared" si="113"/>
        <v>1405215</v>
      </c>
      <c r="Y33" s="23">
        <f t="shared" si="113"/>
        <v>0</v>
      </c>
      <c r="Z33" s="23">
        <f t="shared" si="113"/>
        <v>48692104.710000001</v>
      </c>
      <c r="AB33" s="30" t="str">
        <f t="shared" si="10"/>
        <v>OK</v>
      </c>
    </row>
    <row r="35" spans="1:28" x14ac:dyDescent="0.3">
      <c r="B35" s="1"/>
      <c r="C35" s="1"/>
      <c r="D35" s="1"/>
    </row>
    <row r="36" spans="1:28" x14ac:dyDescent="0.3">
      <c r="D36" s="42"/>
    </row>
    <row r="37" spans="1:28" x14ac:dyDescent="0.3">
      <c r="D37" s="1"/>
    </row>
  </sheetData>
  <mergeCells count="2">
    <mergeCell ref="Q1:U1"/>
    <mergeCell ref="V1:Z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9B0A-44A1-46CF-BA87-E2B2CEE4D3C0}">
  <dimension ref="A1:Q10"/>
  <sheetViews>
    <sheetView workbookViewId="0">
      <selection activeCell="D17" sqref="D17"/>
    </sheetView>
  </sheetViews>
  <sheetFormatPr defaultRowHeight="14.4" x14ac:dyDescent="0.3"/>
  <cols>
    <col min="1" max="1" width="41.109375" bestFit="1" customWidth="1"/>
    <col min="2" max="2" width="11.5546875" bestFit="1" customWidth="1"/>
    <col min="3" max="7" width="9" bestFit="1" customWidth="1"/>
    <col min="8" max="17" width="13.6640625" bestFit="1" customWidth="1"/>
  </cols>
  <sheetData>
    <row r="1" spans="1:17" x14ac:dyDescent="0.3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x14ac:dyDescent="0.3">
      <c r="A2" s="3" t="s">
        <v>0</v>
      </c>
      <c r="B2" s="3" t="s">
        <v>33</v>
      </c>
      <c r="C2" s="3">
        <v>2022</v>
      </c>
      <c r="D2" s="3">
        <v>2023</v>
      </c>
      <c r="E2" s="3">
        <v>2024</v>
      </c>
      <c r="F2" s="3">
        <v>2025</v>
      </c>
      <c r="G2" s="3">
        <v>2026</v>
      </c>
      <c r="H2" s="3">
        <v>2027</v>
      </c>
      <c r="I2" s="3">
        <v>2028</v>
      </c>
      <c r="J2" s="3">
        <v>2029</v>
      </c>
      <c r="K2" s="3">
        <v>2030</v>
      </c>
      <c r="L2" s="3">
        <v>2031</v>
      </c>
      <c r="M2" s="3">
        <v>2032</v>
      </c>
      <c r="N2" s="3">
        <v>2033</v>
      </c>
      <c r="O2" s="3">
        <v>2034</v>
      </c>
      <c r="P2" s="3">
        <v>2035</v>
      </c>
      <c r="Q2" s="3">
        <v>2036</v>
      </c>
    </row>
    <row r="3" spans="1:17" x14ac:dyDescent="0.3">
      <c r="A3" s="6" t="s">
        <v>34</v>
      </c>
      <c r="B3" s="33">
        <f t="shared" ref="B3:B9" si="0">NPV(7.24%,D3:Q3)+C3</f>
        <v>20798054.588411115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3960000</v>
      </c>
      <c r="I3" s="7">
        <f>H3</f>
        <v>3960000</v>
      </c>
      <c r="J3" s="7">
        <f t="shared" ref="J3:Q3" si="1">I3</f>
        <v>3960000</v>
      </c>
      <c r="K3" s="7">
        <f t="shared" si="1"/>
        <v>3960000</v>
      </c>
      <c r="L3" s="7">
        <f t="shared" si="1"/>
        <v>3960000</v>
      </c>
      <c r="M3" s="7">
        <f t="shared" si="1"/>
        <v>3960000</v>
      </c>
      <c r="N3" s="7">
        <f t="shared" si="1"/>
        <v>3960000</v>
      </c>
      <c r="O3" s="7">
        <f t="shared" si="1"/>
        <v>3960000</v>
      </c>
      <c r="P3" s="7">
        <f t="shared" si="1"/>
        <v>3960000</v>
      </c>
      <c r="Q3" s="7">
        <f t="shared" si="1"/>
        <v>3960000</v>
      </c>
    </row>
    <row r="4" spans="1:17" x14ac:dyDescent="0.3">
      <c r="A4" s="6" t="s">
        <v>35</v>
      </c>
      <c r="B4" s="33">
        <f t="shared" si="0"/>
        <v>27100495.372778118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f>430000*12</f>
        <v>5160000</v>
      </c>
      <c r="I4" s="7">
        <f>H4</f>
        <v>5160000</v>
      </c>
      <c r="J4" s="7">
        <f t="shared" ref="J4:Q4" si="2">I4</f>
        <v>5160000</v>
      </c>
      <c r="K4" s="7">
        <f t="shared" si="2"/>
        <v>5160000</v>
      </c>
      <c r="L4" s="7">
        <f t="shared" si="2"/>
        <v>5160000</v>
      </c>
      <c r="M4" s="7">
        <f t="shared" si="2"/>
        <v>5160000</v>
      </c>
      <c r="N4" s="7">
        <f t="shared" si="2"/>
        <v>5160000</v>
      </c>
      <c r="O4" s="7">
        <f t="shared" si="2"/>
        <v>5160000</v>
      </c>
      <c r="P4" s="7">
        <f t="shared" si="2"/>
        <v>5160000</v>
      </c>
      <c r="Q4" s="7">
        <f t="shared" si="2"/>
        <v>5160000</v>
      </c>
    </row>
    <row r="5" spans="1:17" x14ac:dyDescent="0.3">
      <c r="A5" s="6" t="s">
        <v>36</v>
      </c>
      <c r="B5" s="33">
        <f t="shared" si="0"/>
        <v>2520976.3137468016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480000</v>
      </c>
      <c r="I5" s="7">
        <f>H5</f>
        <v>480000</v>
      </c>
      <c r="J5" s="7">
        <f t="shared" ref="J5:Q5" si="3">I5</f>
        <v>480000</v>
      </c>
      <c r="K5" s="7">
        <f t="shared" si="3"/>
        <v>480000</v>
      </c>
      <c r="L5" s="7">
        <f t="shared" si="3"/>
        <v>480000</v>
      </c>
      <c r="M5" s="7">
        <f t="shared" si="3"/>
        <v>480000</v>
      </c>
      <c r="N5" s="7">
        <f t="shared" si="3"/>
        <v>480000</v>
      </c>
      <c r="O5" s="7">
        <f t="shared" si="3"/>
        <v>480000</v>
      </c>
      <c r="P5" s="7">
        <f t="shared" si="3"/>
        <v>480000</v>
      </c>
      <c r="Q5" s="7">
        <f t="shared" si="3"/>
        <v>480000</v>
      </c>
    </row>
    <row r="6" spans="1:17" x14ac:dyDescent="0.3">
      <c r="A6" s="12" t="s">
        <v>39</v>
      </c>
      <c r="B6" s="13">
        <f t="shared" si="0"/>
        <v>50419526.274936043</v>
      </c>
      <c r="C6" s="13">
        <f t="shared" ref="C6:G6" si="4">SUM(C3:C5)</f>
        <v>0</v>
      </c>
      <c r="D6" s="13">
        <f t="shared" si="4"/>
        <v>0</v>
      </c>
      <c r="E6" s="13">
        <f t="shared" si="4"/>
        <v>0</v>
      </c>
      <c r="F6" s="13">
        <f t="shared" si="4"/>
        <v>0</v>
      </c>
      <c r="G6" s="13">
        <f t="shared" si="4"/>
        <v>0</v>
      </c>
      <c r="H6" s="13">
        <f>SUM(H3:H5)</f>
        <v>9600000</v>
      </c>
      <c r="I6" s="13">
        <f t="shared" ref="I6" si="5">SUM(I3:I5)</f>
        <v>9600000</v>
      </c>
      <c r="J6" s="13">
        <f t="shared" ref="J6" si="6">SUM(J3:J5)</f>
        <v>9600000</v>
      </c>
      <c r="K6" s="13">
        <f t="shared" ref="K6" si="7">SUM(K3:K5)</f>
        <v>9600000</v>
      </c>
      <c r="L6" s="13">
        <f t="shared" ref="L6" si="8">SUM(L3:L5)</f>
        <v>9600000</v>
      </c>
      <c r="M6" s="13">
        <f t="shared" ref="M6:N6" si="9">SUM(M3:M5)</f>
        <v>9600000</v>
      </c>
      <c r="N6" s="13">
        <f t="shared" si="9"/>
        <v>9600000</v>
      </c>
      <c r="O6" s="13">
        <f t="shared" ref="O6" si="10">SUM(O3:O5)</f>
        <v>9600000</v>
      </c>
      <c r="P6" s="13">
        <f t="shared" ref="P6" si="11">SUM(P3:P5)</f>
        <v>9600000</v>
      </c>
      <c r="Q6" s="13">
        <f t="shared" ref="Q6" si="12">SUM(Q3:Q5)</f>
        <v>9600000</v>
      </c>
    </row>
    <row r="7" spans="1:17" x14ac:dyDescent="0.3">
      <c r="A7" s="6" t="s">
        <v>38</v>
      </c>
      <c r="B7" s="33">
        <f t="shared" si="0"/>
        <v>787805.09804587567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150000</v>
      </c>
      <c r="I7" s="7">
        <v>150000</v>
      </c>
      <c r="J7" s="7">
        <v>150000</v>
      </c>
      <c r="K7" s="7">
        <v>150000</v>
      </c>
      <c r="L7" s="7">
        <v>150000</v>
      </c>
      <c r="M7" s="7">
        <v>150000</v>
      </c>
      <c r="N7" s="7">
        <v>150000</v>
      </c>
      <c r="O7" s="7">
        <v>150000</v>
      </c>
      <c r="P7" s="7">
        <v>150000</v>
      </c>
      <c r="Q7" s="7">
        <v>150000</v>
      </c>
    </row>
    <row r="8" spans="1:17" x14ac:dyDescent="0.3">
      <c r="A8" s="12" t="s">
        <v>40</v>
      </c>
      <c r="B8" s="37">
        <f t="shared" si="0"/>
        <v>787805.09804587567</v>
      </c>
      <c r="C8" s="13">
        <f>C7</f>
        <v>0</v>
      </c>
      <c r="D8" s="13">
        <f t="shared" ref="D8:Q8" si="13">D7</f>
        <v>0</v>
      </c>
      <c r="E8" s="13">
        <f t="shared" si="13"/>
        <v>0</v>
      </c>
      <c r="F8" s="13">
        <f t="shared" si="13"/>
        <v>0</v>
      </c>
      <c r="G8" s="13">
        <f t="shared" si="13"/>
        <v>0</v>
      </c>
      <c r="H8" s="13">
        <f t="shared" si="13"/>
        <v>150000</v>
      </c>
      <c r="I8" s="13">
        <f t="shared" si="13"/>
        <v>150000</v>
      </c>
      <c r="J8" s="13">
        <f t="shared" si="13"/>
        <v>150000</v>
      </c>
      <c r="K8" s="13">
        <f t="shared" si="13"/>
        <v>150000</v>
      </c>
      <c r="L8" s="13">
        <f t="shared" si="13"/>
        <v>150000</v>
      </c>
      <c r="M8" s="13">
        <f t="shared" si="13"/>
        <v>150000</v>
      </c>
      <c r="N8" s="13">
        <f t="shared" si="13"/>
        <v>150000</v>
      </c>
      <c r="O8" s="13">
        <f t="shared" si="13"/>
        <v>150000</v>
      </c>
      <c r="P8" s="13">
        <f t="shared" si="13"/>
        <v>150000</v>
      </c>
      <c r="Q8" s="13">
        <f t="shared" si="13"/>
        <v>150000</v>
      </c>
    </row>
    <row r="9" spans="1:17" x14ac:dyDescent="0.3">
      <c r="A9" s="16" t="s">
        <v>37</v>
      </c>
      <c r="B9" s="34">
        <f t="shared" si="0"/>
        <v>51207331.372981906</v>
      </c>
      <c r="C9" s="17">
        <f>C6+C8</f>
        <v>0</v>
      </c>
      <c r="D9" s="17">
        <f t="shared" ref="D9:Q9" si="14">D6+D8</f>
        <v>0</v>
      </c>
      <c r="E9" s="17">
        <f t="shared" si="14"/>
        <v>0</v>
      </c>
      <c r="F9" s="17">
        <f t="shared" si="14"/>
        <v>0</v>
      </c>
      <c r="G9" s="17">
        <f t="shared" si="14"/>
        <v>0</v>
      </c>
      <c r="H9" s="17">
        <f t="shared" si="14"/>
        <v>9750000</v>
      </c>
      <c r="I9" s="17">
        <f t="shared" si="14"/>
        <v>9750000</v>
      </c>
      <c r="J9" s="17">
        <f t="shared" si="14"/>
        <v>9750000</v>
      </c>
      <c r="K9" s="17">
        <f t="shared" si="14"/>
        <v>9750000</v>
      </c>
      <c r="L9" s="17">
        <f t="shared" si="14"/>
        <v>9750000</v>
      </c>
      <c r="M9" s="17">
        <f t="shared" si="14"/>
        <v>9750000</v>
      </c>
      <c r="N9" s="17">
        <f t="shared" si="14"/>
        <v>9750000</v>
      </c>
      <c r="O9" s="17">
        <f t="shared" si="14"/>
        <v>9750000</v>
      </c>
      <c r="P9" s="17">
        <f t="shared" si="14"/>
        <v>9750000</v>
      </c>
      <c r="Q9" s="17">
        <f t="shared" si="14"/>
        <v>9750000</v>
      </c>
    </row>
    <row r="10" spans="1:17" x14ac:dyDescent="0.3">
      <c r="B10" s="3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28F5-5FA6-4843-AD17-0222ECC5ADC5}">
  <dimension ref="A1:Q3"/>
  <sheetViews>
    <sheetView workbookViewId="0">
      <selection activeCell="B2" sqref="B2"/>
    </sheetView>
  </sheetViews>
  <sheetFormatPr defaultRowHeight="14.4" x14ac:dyDescent="0.3"/>
  <cols>
    <col min="1" max="1" width="11" bestFit="1" customWidth="1"/>
    <col min="2" max="2" width="13.6640625" bestFit="1" customWidth="1"/>
    <col min="3" max="7" width="9" bestFit="1" customWidth="1"/>
    <col min="8" max="17" width="12.5546875" bestFit="1" customWidth="1"/>
  </cols>
  <sheetData>
    <row r="1" spans="1:17" x14ac:dyDescent="0.3">
      <c r="A1" s="22" t="s">
        <v>0</v>
      </c>
      <c r="B1" s="22" t="s">
        <v>33</v>
      </c>
      <c r="C1" s="22">
        <v>2022</v>
      </c>
      <c r="D1" s="22">
        <v>2023</v>
      </c>
      <c r="E1" s="22">
        <v>2024</v>
      </c>
      <c r="F1" s="22">
        <v>2025</v>
      </c>
      <c r="G1" s="22">
        <v>2026</v>
      </c>
      <c r="H1" s="22">
        <v>2027</v>
      </c>
      <c r="I1" s="22">
        <v>2028</v>
      </c>
      <c r="J1" s="22">
        <v>2029</v>
      </c>
      <c r="K1" s="22">
        <v>2030</v>
      </c>
      <c r="L1" s="22">
        <v>2031</v>
      </c>
      <c r="M1" s="22">
        <v>2032</v>
      </c>
      <c r="N1" s="22">
        <v>2033</v>
      </c>
      <c r="O1" s="22">
        <v>2034</v>
      </c>
      <c r="P1" s="22">
        <v>2035</v>
      </c>
      <c r="Q1" s="22">
        <v>2036</v>
      </c>
    </row>
    <row r="2" spans="1:17" x14ac:dyDescent="0.3">
      <c r="A2" s="6" t="s">
        <v>41</v>
      </c>
      <c r="B2" s="17">
        <f t="shared" ref="B2:B3" si="0">NPV(7.24%,D2:Q2)+C2</f>
        <v>51207331.372981906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f>812500*12</f>
        <v>9750000</v>
      </c>
      <c r="I2" s="7">
        <f t="shared" ref="I2:P2" si="1">812500*12</f>
        <v>9750000</v>
      </c>
      <c r="J2" s="7">
        <f t="shared" si="1"/>
        <v>9750000</v>
      </c>
      <c r="K2" s="7">
        <f t="shared" si="1"/>
        <v>9750000</v>
      </c>
      <c r="L2" s="7">
        <f t="shared" si="1"/>
        <v>9750000</v>
      </c>
      <c r="M2" s="7">
        <f t="shared" si="1"/>
        <v>9750000</v>
      </c>
      <c r="N2" s="7">
        <f t="shared" si="1"/>
        <v>9750000</v>
      </c>
      <c r="O2" s="7">
        <f t="shared" si="1"/>
        <v>9750000</v>
      </c>
      <c r="P2" s="7">
        <f t="shared" si="1"/>
        <v>9750000</v>
      </c>
      <c r="Q2" s="7">
        <f>812500*12</f>
        <v>9750000</v>
      </c>
    </row>
    <row r="3" spans="1:17" x14ac:dyDescent="0.3">
      <c r="A3" s="36" t="s">
        <v>29</v>
      </c>
      <c r="B3" s="38">
        <f t="shared" si="0"/>
        <v>51207331.372981906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f>H2</f>
        <v>9750000</v>
      </c>
      <c r="I3" s="38">
        <f t="shared" ref="I3:Q3" si="2">I2</f>
        <v>9750000</v>
      </c>
      <c r="J3" s="38">
        <f t="shared" si="2"/>
        <v>9750000</v>
      </c>
      <c r="K3" s="38">
        <f t="shared" si="2"/>
        <v>9750000</v>
      </c>
      <c r="L3" s="38">
        <f t="shared" si="2"/>
        <v>9750000</v>
      </c>
      <c r="M3" s="38">
        <f t="shared" si="2"/>
        <v>9750000</v>
      </c>
      <c r="N3" s="38">
        <f t="shared" si="2"/>
        <v>9750000</v>
      </c>
      <c r="O3" s="38">
        <f t="shared" si="2"/>
        <v>9750000</v>
      </c>
      <c r="P3" s="38">
        <f t="shared" si="2"/>
        <v>9750000</v>
      </c>
      <c r="Q3" s="38">
        <f t="shared" si="2"/>
        <v>9750000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9958-0E62-4D58-AC77-B13F30B48338}">
  <dimension ref="A1:Q16"/>
  <sheetViews>
    <sheetView workbookViewId="0">
      <selection activeCell="G2" sqref="G2"/>
    </sheetView>
  </sheetViews>
  <sheetFormatPr defaultRowHeight="14.4" x14ac:dyDescent="0.3"/>
  <cols>
    <col min="1" max="1" width="35.44140625" bestFit="1" customWidth="1"/>
    <col min="2" max="2" width="12" bestFit="1" customWidth="1"/>
    <col min="3" max="3" width="13.6640625" bestFit="1" customWidth="1"/>
    <col min="4" max="4" width="9" bestFit="1" customWidth="1"/>
    <col min="5" max="5" width="12.5546875" bestFit="1" customWidth="1"/>
    <col min="6" max="6" width="13.6640625" bestFit="1" customWidth="1"/>
    <col min="7" max="7" width="14.6640625" bestFit="1" customWidth="1"/>
    <col min="8" max="17" width="12.5546875" bestFit="1" customWidth="1"/>
  </cols>
  <sheetData>
    <row r="1" spans="1:17" x14ac:dyDescent="0.3">
      <c r="A1" s="22" t="s">
        <v>0</v>
      </c>
      <c r="B1" s="22" t="s">
        <v>33</v>
      </c>
      <c r="C1" s="22">
        <v>2022</v>
      </c>
      <c r="D1" s="22">
        <v>2023</v>
      </c>
      <c r="E1" s="22">
        <v>2024</v>
      </c>
      <c r="F1" s="22">
        <v>2025</v>
      </c>
      <c r="G1" s="22">
        <v>2026</v>
      </c>
      <c r="H1" s="22">
        <v>2027</v>
      </c>
      <c r="I1" s="22">
        <v>2028</v>
      </c>
      <c r="J1" s="22">
        <v>2029</v>
      </c>
      <c r="K1" s="22">
        <v>2030</v>
      </c>
      <c r="L1" s="22">
        <v>2031</v>
      </c>
      <c r="M1" s="22">
        <v>2032</v>
      </c>
      <c r="N1" s="22">
        <v>2033</v>
      </c>
      <c r="O1" s="22">
        <v>2034</v>
      </c>
      <c r="P1" s="22">
        <v>2035</v>
      </c>
      <c r="Q1" s="22">
        <v>2036</v>
      </c>
    </row>
    <row r="2" spans="1:17" x14ac:dyDescent="0.3">
      <c r="A2" s="6" t="s">
        <v>42</v>
      </c>
      <c r="B2" s="17">
        <f t="shared" ref="B2:B9" si="0">NPV(7.24%,D2:Q2)+C2</f>
        <v>675251815.01966941</v>
      </c>
      <c r="C2" s="7">
        <f>Beruházás!I33</f>
        <v>20447000</v>
      </c>
      <c r="D2" s="7">
        <f>Beruházás!J33</f>
        <v>0</v>
      </c>
      <c r="E2" s="7">
        <f>Beruházás!K33</f>
        <v>6609715</v>
      </c>
      <c r="F2" s="7">
        <f>Beruházás!L33</f>
        <v>88100196.5</v>
      </c>
      <c r="G2" s="7">
        <f>Beruházás!M33</f>
        <v>763962162.70000005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</row>
    <row r="3" spans="1:17" x14ac:dyDescent="0.3">
      <c r="A3" s="6" t="s">
        <v>43</v>
      </c>
      <c r="B3" s="17">
        <f t="shared" si="0"/>
        <v>51207331.372981906</v>
      </c>
      <c r="C3" s="7">
        <f>C4+C5</f>
        <v>0</v>
      </c>
      <c r="D3" s="7">
        <f t="shared" ref="D3:Q3" si="1">D4+D5</f>
        <v>0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9750000</v>
      </c>
      <c r="I3" s="7">
        <f t="shared" si="1"/>
        <v>9750000</v>
      </c>
      <c r="J3" s="7">
        <f t="shared" si="1"/>
        <v>9750000</v>
      </c>
      <c r="K3" s="7">
        <f t="shared" si="1"/>
        <v>9750000</v>
      </c>
      <c r="L3" s="7">
        <f t="shared" si="1"/>
        <v>9750000</v>
      </c>
      <c r="M3" s="7">
        <f t="shared" si="1"/>
        <v>9750000</v>
      </c>
      <c r="N3" s="7">
        <f t="shared" si="1"/>
        <v>9750000</v>
      </c>
      <c r="O3" s="7">
        <f t="shared" si="1"/>
        <v>9750000</v>
      </c>
      <c r="P3" s="7">
        <f t="shared" si="1"/>
        <v>9750000</v>
      </c>
      <c r="Q3" s="7">
        <f t="shared" si="1"/>
        <v>9750000</v>
      </c>
    </row>
    <row r="4" spans="1:17" x14ac:dyDescent="0.3">
      <c r="A4" s="6" t="s">
        <v>44</v>
      </c>
      <c r="B4" s="17">
        <f t="shared" si="0"/>
        <v>51207331.372981906</v>
      </c>
      <c r="C4" s="7">
        <f>Működés!C9</f>
        <v>0</v>
      </c>
      <c r="D4" s="7">
        <f>Működés!D9</f>
        <v>0</v>
      </c>
      <c r="E4" s="7">
        <f>Működés!E9</f>
        <v>0</v>
      </c>
      <c r="F4" s="7">
        <f>Működés!F9</f>
        <v>0</v>
      </c>
      <c r="G4" s="7">
        <f>Működés!G9</f>
        <v>0</v>
      </c>
      <c r="H4" s="7">
        <f>Működés!H9</f>
        <v>9750000</v>
      </c>
      <c r="I4" s="7">
        <f>Működés!I9</f>
        <v>9750000</v>
      </c>
      <c r="J4" s="7">
        <f>Működés!J9</f>
        <v>9750000</v>
      </c>
      <c r="K4" s="7">
        <f>Működés!K9</f>
        <v>9750000</v>
      </c>
      <c r="L4" s="7">
        <f>Működés!L9</f>
        <v>9750000</v>
      </c>
      <c r="M4" s="7">
        <f>Működés!M9</f>
        <v>9750000</v>
      </c>
      <c r="N4" s="7">
        <f>Működés!N9</f>
        <v>9750000</v>
      </c>
      <c r="O4" s="7">
        <f>Működés!O9</f>
        <v>9750000</v>
      </c>
      <c r="P4" s="7">
        <f>Működés!P9</f>
        <v>9750000</v>
      </c>
      <c r="Q4" s="7">
        <f>Működés!Q9</f>
        <v>9750000</v>
      </c>
    </row>
    <row r="5" spans="1:17" x14ac:dyDescent="0.3">
      <c r="A5" s="6" t="s">
        <v>45</v>
      </c>
      <c r="B5" s="17">
        <f t="shared" si="0"/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</row>
    <row r="6" spans="1:17" x14ac:dyDescent="0.3">
      <c r="A6" s="6" t="s">
        <v>46</v>
      </c>
      <c r="B6" s="17">
        <f t="shared" si="0"/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  <row r="7" spans="1:17" x14ac:dyDescent="0.3">
      <c r="A7" s="39" t="s">
        <v>47</v>
      </c>
      <c r="B7" s="17">
        <f t="shared" si="0"/>
        <v>726459146.39265132</v>
      </c>
      <c r="C7" s="7">
        <f>C2+C3+C6</f>
        <v>20447000</v>
      </c>
      <c r="D7" s="7">
        <f t="shared" ref="D7:Q7" si="2">D2+D3+D6</f>
        <v>0</v>
      </c>
      <c r="E7" s="7">
        <f t="shared" si="2"/>
        <v>6609715</v>
      </c>
      <c r="F7" s="7">
        <f t="shared" si="2"/>
        <v>88100196.5</v>
      </c>
      <c r="G7" s="7">
        <f t="shared" si="2"/>
        <v>763962162.70000005</v>
      </c>
      <c r="H7" s="7">
        <f t="shared" si="2"/>
        <v>9750000</v>
      </c>
      <c r="I7" s="7">
        <f t="shared" si="2"/>
        <v>9750000</v>
      </c>
      <c r="J7" s="7">
        <f t="shared" si="2"/>
        <v>9750000</v>
      </c>
      <c r="K7" s="7">
        <f t="shared" si="2"/>
        <v>9750000</v>
      </c>
      <c r="L7" s="7">
        <f t="shared" si="2"/>
        <v>9750000</v>
      </c>
      <c r="M7" s="7">
        <f t="shared" si="2"/>
        <v>9750000</v>
      </c>
      <c r="N7" s="7">
        <f t="shared" si="2"/>
        <v>9750000</v>
      </c>
      <c r="O7" s="7">
        <f t="shared" si="2"/>
        <v>9750000</v>
      </c>
      <c r="P7" s="7">
        <f t="shared" si="2"/>
        <v>9750000</v>
      </c>
      <c r="Q7" s="7">
        <f t="shared" si="2"/>
        <v>9750000</v>
      </c>
    </row>
    <row r="8" spans="1:17" x14ac:dyDescent="0.3">
      <c r="A8" s="6" t="s">
        <v>48</v>
      </c>
      <c r="B8" s="17">
        <f t="shared" si="0"/>
        <v>51207331.372981906</v>
      </c>
      <c r="C8" s="7">
        <f>Bevételek!C3</f>
        <v>0</v>
      </c>
      <c r="D8" s="7">
        <f>Bevételek!D3</f>
        <v>0</v>
      </c>
      <c r="E8" s="7">
        <f>Bevételek!E3</f>
        <v>0</v>
      </c>
      <c r="F8" s="7">
        <f>Bevételek!F3</f>
        <v>0</v>
      </c>
      <c r="G8" s="7">
        <f>Bevételek!G3</f>
        <v>0</v>
      </c>
      <c r="H8" s="7">
        <f>Bevételek!H3</f>
        <v>9750000</v>
      </c>
      <c r="I8" s="7">
        <f>Bevételek!I3</f>
        <v>9750000</v>
      </c>
      <c r="J8" s="7">
        <f>Bevételek!J3</f>
        <v>9750000</v>
      </c>
      <c r="K8" s="7">
        <f>Bevételek!K3</f>
        <v>9750000</v>
      </c>
      <c r="L8" s="7">
        <f>Bevételek!L3</f>
        <v>9750000</v>
      </c>
      <c r="M8" s="7">
        <f>Bevételek!M3</f>
        <v>9750000</v>
      </c>
      <c r="N8" s="7">
        <f>Bevételek!N3</f>
        <v>9750000</v>
      </c>
      <c r="O8" s="7">
        <f>Bevételek!O3</f>
        <v>9750000</v>
      </c>
      <c r="P8" s="7">
        <f>Bevételek!P3</f>
        <v>9750000</v>
      </c>
      <c r="Q8" s="7">
        <f>Bevételek!Q3</f>
        <v>9750000</v>
      </c>
    </row>
    <row r="9" spans="1:17" x14ac:dyDescent="0.3">
      <c r="A9" s="39" t="s">
        <v>49</v>
      </c>
      <c r="B9" s="17">
        <f t="shared" si="0"/>
        <v>-675251815.01966941</v>
      </c>
      <c r="C9" s="40">
        <f>C8-C7</f>
        <v>-20447000</v>
      </c>
      <c r="D9" s="7">
        <f t="shared" ref="D9:Q9" si="3">D8-D7</f>
        <v>0</v>
      </c>
      <c r="E9" s="7">
        <f t="shared" si="3"/>
        <v>-6609715</v>
      </c>
      <c r="F9" s="7">
        <f t="shared" si="3"/>
        <v>-88100196.5</v>
      </c>
      <c r="G9" s="7">
        <f t="shared" si="3"/>
        <v>-763962162.70000005</v>
      </c>
      <c r="H9" s="7">
        <f t="shared" si="3"/>
        <v>0</v>
      </c>
      <c r="I9" s="7">
        <f t="shared" si="3"/>
        <v>0</v>
      </c>
      <c r="J9" s="7">
        <f t="shared" si="3"/>
        <v>0</v>
      </c>
      <c r="K9" s="7">
        <f t="shared" si="3"/>
        <v>0</v>
      </c>
      <c r="L9" s="7">
        <f t="shared" si="3"/>
        <v>0</v>
      </c>
      <c r="M9" s="7">
        <f t="shared" si="3"/>
        <v>0</v>
      </c>
      <c r="N9" s="7">
        <f t="shared" si="3"/>
        <v>0</v>
      </c>
      <c r="O9" s="7">
        <f t="shared" si="3"/>
        <v>0</v>
      </c>
      <c r="P9" s="7">
        <f t="shared" si="3"/>
        <v>0</v>
      </c>
      <c r="Q9" s="7">
        <f t="shared" si="3"/>
        <v>0</v>
      </c>
    </row>
    <row r="10" spans="1:17" x14ac:dyDescent="0.3">
      <c r="A10" s="16" t="s">
        <v>50</v>
      </c>
      <c r="B10" s="41" t="e">
        <f>IRR(C9:Q9,0.1)</f>
        <v>#NUM!</v>
      </c>
    </row>
    <row r="14" spans="1:17" x14ac:dyDescent="0.3">
      <c r="A14" t="s">
        <v>104</v>
      </c>
    </row>
    <row r="15" spans="1:17" x14ac:dyDescent="0.3">
      <c r="A15" s="22" t="s">
        <v>0</v>
      </c>
      <c r="B15" s="22" t="s">
        <v>33</v>
      </c>
      <c r="C15" s="22">
        <v>2022</v>
      </c>
      <c r="D15" s="22">
        <v>2023</v>
      </c>
      <c r="E15" s="22">
        <v>2024</v>
      </c>
      <c r="F15" s="22">
        <v>2025</v>
      </c>
      <c r="G15" s="22">
        <v>2026</v>
      </c>
      <c r="H15" s="22">
        <v>2027</v>
      </c>
      <c r="I15" s="22">
        <v>2028</v>
      </c>
      <c r="J15" s="22">
        <v>2029</v>
      </c>
      <c r="K15" s="22">
        <v>2030</v>
      </c>
      <c r="L15" s="22">
        <v>2031</v>
      </c>
      <c r="M15" s="22">
        <v>2032</v>
      </c>
      <c r="N15" s="22">
        <v>2033</v>
      </c>
      <c r="O15" s="22">
        <v>2034</v>
      </c>
      <c r="P15" s="22">
        <v>2035</v>
      </c>
      <c r="Q15" s="22">
        <v>2036</v>
      </c>
    </row>
    <row r="16" spans="1:17" x14ac:dyDescent="0.3">
      <c r="A16" s="6" t="s">
        <v>42</v>
      </c>
      <c r="B16" s="17">
        <f t="shared" ref="B16" si="4">NPV(7.24%,D16:Q16)+C16</f>
        <v>634107662.03740156</v>
      </c>
      <c r="C16" s="7">
        <f>Beruházás!I33-Beruházás!I18-Beruházás!Q18-Beruházás!V18</f>
        <v>7747000</v>
      </c>
      <c r="D16" s="7">
        <f>Beruházás!J33-Beruházás!J18-Beruházás!R18-Beruházás!W18</f>
        <v>0</v>
      </c>
      <c r="E16" s="7">
        <f>Beruházás!K33-Beruházás!K18-Beruházás!S18-Beruházás!X18</f>
        <v>6604000</v>
      </c>
      <c r="F16" s="7">
        <f>Beruházás!L33-Beruházás!L18-Beruházás!T18-Beruházás!Y18</f>
        <v>81559336.5</v>
      </c>
      <c r="G16" s="7">
        <f>Beruházás!M33-Beruházás!M18-Beruházás!U18-Beruházás!Z18</f>
        <v>733363029.08000004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EE1F-0E94-4736-A854-7A66D2605177}">
  <dimension ref="A1:I27"/>
  <sheetViews>
    <sheetView workbookViewId="0">
      <selection activeCell="E19" sqref="E19"/>
    </sheetView>
  </sheetViews>
  <sheetFormatPr defaultRowHeight="14.4" x14ac:dyDescent="0.3"/>
  <cols>
    <col min="1" max="1" width="42.88671875" bestFit="1" customWidth="1"/>
    <col min="2" max="2" width="13.6640625" bestFit="1" customWidth="1"/>
    <col min="3" max="3" width="16.5546875" bestFit="1" customWidth="1"/>
    <col min="6" max="6" width="17.33203125" bestFit="1" customWidth="1"/>
    <col min="7" max="7" width="20.5546875" bestFit="1" customWidth="1"/>
    <col min="8" max="8" width="12.5546875" customWidth="1"/>
    <col min="9" max="9" width="11.77734375" customWidth="1"/>
  </cols>
  <sheetData>
    <row r="1" spans="1:9" x14ac:dyDescent="0.3">
      <c r="A1" t="s">
        <v>53</v>
      </c>
    </row>
    <row r="2" spans="1:9" x14ac:dyDescent="0.3">
      <c r="A2" s="22" t="s">
        <v>0</v>
      </c>
      <c r="B2" s="22" t="s">
        <v>54</v>
      </c>
    </row>
    <row r="3" spans="1:9" x14ac:dyDescent="0.3">
      <c r="A3" s="6" t="s">
        <v>55</v>
      </c>
      <c r="B3" s="7">
        <f>Összegzés!B8</f>
        <v>51207331.372981906</v>
      </c>
    </row>
    <row r="4" spans="1:9" x14ac:dyDescent="0.3">
      <c r="A4" s="6" t="s">
        <v>56</v>
      </c>
      <c r="B4" s="7">
        <f>Összegzés!B4</f>
        <v>51207331.372981906</v>
      </c>
    </row>
    <row r="5" spans="1:9" x14ac:dyDescent="0.3">
      <c r="A5" s="6" t="s">
        <v>57</v>
      </c>
      <c r="B5" s="6">
        <f>Összegzés!B5</f>
        <v>0</v>
      </c>
    </row>
    <row r="6" spans="1:9" x14ac:dyDescent="0.3">
      <c r="A6" s="6" t="s">
        <v>58</v>
      </c>
      <c r="B6" s="19">
        <f>B3-B4-B5</f>
        <v>0</v>
      </c>
    </row>
    <row r="9" spans="1:9" x14ac:dyDescent="0.3">
      <c r="A9" s="52" t="s">
        <v>59</v>
      </c>
      <c r="B9" s="52"/>
      <c r="C9" s="52"/>
      <c r="F9" s="46" t="s">
        <v>105</v>
      </c>
      <c r="G9" s="46"/>
      <c r="H9" s="46"/>
    </row>
    <row r="10" spans="1:9" ht="28.8" x14ac:dyDescent="0.3">
      <c r="A10" s="22" t="s">
        <v>0</v>
      </c>
      <c r="B10" s="22" t="s">
        <v>60</v>
      </c>
      <c r="C10" s="22" t="s">
        <v>54</v>
      </c>
      <c r="F10" s="36"/>
      <c r="G10" s="36" t="s">
        <v>107</v>
      </c>
      <c r="H10" s="51" t="s">
        <v>108</v>
      </c>
      <c r="I10" s="51" t="s">
        <v>109</v>
      </c>
    </row>
    <row r="11" spans="1:9" x14ac:dyDescent="0.3">
      <c r="A11" s="6" t="s">
        <v>61</v>
      </c>
      <c r="B11" s="47"/>
      <c r="C11" s="7">
        <f>Beruházás!G18+Beruházás!D18</f>
        <v>49035708.619999997</v>
      </c>
      <c r="F11" s="50" t="s">
        <v>106</v>
      </c>
      <c r="G11" t="s">
        <v>59</v>
      </c>
      <c r="H11" s="1">
        <f>C11</f>
        <v>49035708.619999997</v>
      </c>
      <c r="I11" s="1">
        <f>C14</f>
        <v>49035708.619999997</v>
      </c>
    </row>
    <row r="12" spans="1:9" ht="43.2" x14ac:dyDescent="0.3">
      <c r="A12" s="6" t="s">
        <v>62</v>
      </c>
      <c r="B12" s="47"/>
      <c r="C12" s="7">
        <f>Beruházás!C18</f>
        <v>810000</v>
      </c>
      <c r="G12" s="44" t="s">
        <v>98</v>
      </c>
      <c r="H12" s="1">
        <f>C24</f>
        <v>700510126.09000003</v>
      </c>
      <c r="I12" s="1">
        <f>C26</f>
        <v>700510126.09000003</v>
      </c>
    </row>
    <row r="13" spans="1:9" x14ac:dyDescent="0.3">
      <c r="A13" s="6" t="s">
        <v>63</v>
      </c>
      <c r="B13" s="6">
        <v>100</v>
      </c>
      <c r="C13" s="47"/>
      <c r="F13" s="52" t="s">
        <v>29</v>
      </c>
      <c r="G13" s="52"/>
      <c r="H13" s="1">
        <f>SUM(H11:H12)</f>
        <v>749545834.71000004</v>
      </c>
      <c r="I13" s="1">
        <f>SUM(I11:I12)</f>
        <v>749545834.71000004</v>
      </c>
    </row>
    <row r="14" spans="1:9" x14ac:dyDescent="0.3">
      <c r="A14" s="6" t="s">
        <v>64</v>
      </c>
      <c r="B14" s="6">
        <v>100</v>
      </c>
      <c r="C14" s="19">
        <f>C11</f>
        <v>49035708.619999997</v>
      </c>
    </row>
    <row r="15" spans="1:9" ht="28.8" x14ac:dyDescent="0.3">
      <c r="A15" s="9" t="s">
        <v>65</v>
      </c>
      <c r="B15" s="6">
        <v>85</v>
      </c>
      <c r="C15" s="19">
        <f>C14*0.85</f>
        <v>41680352.327</v>
      </c>
    </row>
    <row r="16" spans="1:9" x14ac:dyDescent="0.3">
      <c r="A16" s="6" t="s">
        <v>66</v>
      </c>
      <c r="B16" s="6">
        <v>15</v>
      </c>
      <c r="C16" s="19">
        <f>C14*0.15</f>
        <v>7355356.2929999996</v>
      </c>
    </row>
    <row r="17" spans="1:3" x14ac:dyDescent="0.3">
      <c r="A17" s="6" t="s">
        <v>67</v>
      </c>
      <c r="B17" s="47"/>
      <c r="C17" s="19">
        <f>C11-C14+C12</f>
        <v>810000</v>
      </c>
    </row>
    <row r="19" spans="1:3" x14ac:dyDescent="0.3">
      <c r="A19" s="52" t="s">
        <v>98</v>
      </c>
      <c r="B19" s="52"/>
      <c r="C19" s="52"/>
    </row>
    <row r="20" spans="1:3" x14ac:dyDescent="0.3">
      <c r="A20" s="22" t="s">
        <v>0</v>
      </c>
      <c r="B20" s="22" t="s">
        <v>60</v>
      </c>
      <c r="C20" s="22" t="s">
        <v>54</v>
      </c>
    </row>
    <row r="21" spans="1:3" x14ac:dyDescent="0.3">
      <c r="A21" t="s">
        <v>99</v>
      </c>
      <c r="B21" s="43"/>
      <c r="C21" s="42">
        <f>Összegzés!B16</f>
        <v>634107662.03740156</v>
      </c>
    </row>
    <row r="22" spans="1:3" x14ac:dyDescent="0.3">
      <c r="A22" t="s">
        <v>100</v>
      </c>
      <c r="B22" s="43"/>
      <c r="C22" s="1">
        <f>B6</f>
        <v>0</v>
      </c>
    </row>
    <row r="23" spans="1:3" x14ac:dyDescent="0.3">
      <c r="A23" t="s">
        <v>101</v>
      </c>
      <c r="B23" s="49">
        <f>(C21-C22)/C21</f>
        <v>1</v>
      </c>
      <c r="C23" s="43"/>
    </row>
    <row r="24" spans="1:3" x14ac:dyDescent="0.3">
      <c r="A24" s="48" t="s">
        <v>61</v>
      </c>
      <c r="B24" s="43"/>
      <c r="C24" s="42">
        <f>Beruházás!G29-Beruházás!G18+Beruházás!D29-Beruházás!D18</f>
        <v>700510126.09000003</v>
      </c>
    </row>
    <row r="25" spans="1:3" x14ac:dyDescent="0.3">
      <c r="A25" t="s">
        <v>62</v>
      </c>
      <c r="B25" s="43"/>
      <c r="C25" s="42">
        <f>Beruházás!F29-Beruházás!F18+Beruházás!C29-Beruházás!C18</f>
        <v>128763239.49000001</v>
      </c>
    </row>
    <row r="26" spans="1:3" x14ac:dyDescent="0.3">
      <c r="A26" t="s">
        <v>102</v>
      </c>
      <c r="C26" s="1">
        <f>C24*B23</f>
        <v>700510126.09000003</v>
      </c>
    </row>
    <row r="27" spans="1:3" x14ac:dyDescent="0.3">
      <c r="A27" t="s">
        <v>103</v>
      </c>
      <c r="C27" s="1">
        <f>C24-C26+C25</f>
        <v>128763239.49000001</v>
      </c>
    </row>
  </sheetData>
  <mergeCells count="3">
    <mergeCell ref="A9:C9"/>
    <mergeCell ref="A19:C19"/>
    <mergeCell ref="F13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F3D0-511E-480F-99BF-E9515611BD97}">
  <dimension ref="A1:P21"/>
  <sheetViews>
    <sheetView workbookViewId="0">
      <selection sqref="A1:P21"/>
    </sheetView>
  </sheetViews>
  <sheetFormatPr defaultRowHeight="14.4" x14ac:dyDescent="0.3"/>
  <cols>
    <col min="1" max="1" width="41.5546875" bestFit="1" customWidth="1"/>
    <col min="2" max="2" width="13.77734375" bestFit="1" customWidth="1"/>
    <col min="3" max="3" width="9.109375" bestFit="1" customWidth="1"/>
    <col min="4" max="4" width="12.6640625" bestFit="1" customWidth="1"/>
    <col min="5" max="5" width="13.77734375" bestFit="1" customWidth="1"/>
    <col min="6" max="6" width="14.77734375" bestFit="1" customWidth="1"/>
    <col min="7" max="16" width="12.5546875" bestFit="1" customWidth="1"/>
  </cols>
  <sheetData>
    <row r="1" spans="1:16" x14ac:dyDescent="0.3">
      <c r="A1" s="22" t="s">
        <v>0</v>
      </c>
      <c r="B1" s="22">
        <v>2022</v>
      </c>
      <c r="C1" s="22">
        <v>2023</v>
      </c>
      <c r="D1" s="22">
        <v>2024</v>
      </c>
      <c r="E1" s="22">
        <v>2025</v>
      </c>
      <c r="F1" s="22">
        <v>2026</v>
      </c>
      <c r="G1" s="22">
        <v>2027</v>
      </c>
      <c r="H1" s="22">
        <v>2028</v>
      </c>
      <c r="I1" s="22">
        <v>2029</v>
      </c>
      <c r="J1" s="22">
        <v>2030</v>
      </c>
      <c r="K1" s="22">
        <v>2031</v>
      </c>
      <c r="L1" s="22">
        <v>2032</v>
      </c>
      <c r="M1" s="22">
        <v>2033</v>
      </c>
      <c r="N1" s="22">
        <v>2034</v>
      </c>
      <c r="O1" s="22">
        <v>2035</v>
      </c>
      <c r="P1" s="22">
        <v>2036</v>
      </c>
    </row>
    <row r="2" spans="1:16" x14ac:dyDescent="0.3">
      <c r="A2" s="6" t="s">
        <v>68</v>
      </c>
      <c r="B2" s="7">
        <f>Beruházás!I29+Beruházás!I32</f>
        <v>19502000</v>
      </c>
      <c r="C2" s="7">
        <f>Beruházás!J29+Beruházás!J32</f>
        <v>0</v>
      </c>
      <c r="D2" s="7">
        <f>Beruházás!K29+Beruházás!K32</f>
        <v>6609715</v>
      </c>
      <c r="E2" s="7">
        <f>Beruházás!L29+Beruházás!L32</f>
        <v>70760810</v>
      </c>
      <c r="F2" s="7">
        <f>Beruházás!M29+Beruházás!M32</f>
        <v>652673309.71000004</v>
      </c>
      <c r="G2" s="7">
        <f>Összegzés!H2</f>
        <v>0</v>
      </c>
      <c r="H2" s="7">
        <f>Összegzés!I2</f>
        <v>0</v>
      </c>
      <c r="I2" s="7">
        <f>Összegzés!J2</f>
        <v>0</v>
      </c>
      <c r="J2" s="7">
        <f>Összegzés!K2</f>
        <v>0</v>
      </c>
      <c r="K2" s="7">
        <f>Összegzés!L2</f>
        <v>0</v>
      </c>
      <c r="L2" s="7">
        <f>Összegzés!M2</f>
        <v>0</v>
      </c>
      <c r="M2" s="7">
        <f>Összegzés!N2</f>
        <v>0</v>
      </c>
      <c r="N2" s="7">
        <f>Összegzés!O2</f>
        <v>0</v>
      </c>
      <c r="O2" s="7">
        <f>Összegzés!P2</f>
        <v>0</v>
      </c>
      <c r="P2" s="7">
        <f>Összegzés!Q2</f>
        <v>0</v>
      </c>
    </row>
    <row r="3" spans="1:16" x14ac:dyDescent="0.3">
      <c r="A3" s="6" t="s">
        <v>69</v>
      </c>
      <c r="B3" s="7">
        <f>Összegzés!C3</f>
        <v>0</v>
      </c>
      <c r="C3" s="7">
        <f>Összegzés!D3</f>
        <v>0</v>
      </c>
      <c r="D3" s="7">
        <f>Összegzés!E3</f>
        <v>0</v>
      </c>
      <c r="E3" s="7">
        <f>Összegzés!F3</f>
        <v>0</v>
      </c>
      <c r="F3" s="7">
        <f>Összegzés!G3</f>
        <v>0</v>
      </c>
      <c r="G3" s="7">
        <f>Összegzés!H3</f>
        <v>9750000</v>
      </c>
      <c r="H3" s="7">
        <f>Összegzés!I3</f>
        <v>9750000</v>
      </c>
      <c r="I3" s="7">
        <f>Összegzés!J3</f>
        <v>9750000</v>
      </c>
      <c r="J3" s="7">
        <f>Összegzés!K3</f>
        <v>9750000</v>
      </c>
      <c r="K3" s="7">
        <f>Összegzés!L3</f>
        <v>9750000</v>
      </c>
      <c r="L3" s="7">
        <f>Összegzés!M3</f>
        <v>9750000</v>
      </c>
      <c r="M3" s="7">
        <f>Összegzés!N3</f>
        <v>9750000</v>
      </c>
      <c r="N3" s="7">
        <f>Összegzés!O3</f>
        <v>9750000</v>
      </c>
      <c r="O3" s="7">
        <f>Összegzés!P3</f>
        <v>9750000</v>
      </c>
      <c r="P3" s="7">
        <f>Összegzés!Q3</f>
        <v>9750000</v>
      </c>
    </row>
    <row r="4" spans="1:16" x14ac:dyDescent="0.3">
      <c r="A4" s="6" t="s">
        <v>70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x14ac:dyDescent="0.3">
      <c r="A5" s="6" t="s">
        <v>71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</row>
    <row r="6" spans="1:16" x14ac:dyDescent="0.3">
      <c r="A6" s="6" t="s">
        <v>72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</row>
    <row r="7" spans="1:16" x14ac:dyDescent="0.3">
      <c r="A7" s="39" t="s">
        <v>73</v>
      </c>
      <c r="B7" s="7">
        <f>B2+B3+B4+B5+B6</f>
        <v>19502000</v>
      </c>
      <c r="C7" s="7">
        <f t="shared" ref="C7:P7" si="0">C2+C3+C4+C5+C6</f>
        <v>0</v>
      </c>
      <c r="D7" s="7">
        <f t="shared" si="0"/>
        <v>6609715</v>
      </c>
      <c r="E7" s="7">
        <f t="shared" si="0"/>
        <v>70760810</v>
      </c>
      <c r="F7" s="7">
        <f t="shared" si="0"/>
        <v>652673309.71000004</v>
      </c>
      <c r="G7" s="7">
        <f t="shared" si="0"/>
        <v>9750000</v>
      </c>
      <c r="H7" s="7">
        <f t="shared" si="0"/>
        <v>9750000</v>
      </c>
      <c r="I7" s="7">
        <f t="shared" si="0"/>
        <v>9750000</v>
      </c>
      <c r="J7" s="7">
        <f t="shared" si="0"/>
        <v>9750000</v>
      </c>
      <c r="K7" s="7">
        <f t="shared" si="0"/>
        <v>9750000</v>
      </c>
      <c r="L7" s="7">
        <f t="shared" si="0"/>
        <v>9750000</v>
      </c>
      <c r="M7" s="7">
        <f t="shared" si="0"/>
        <v>9750000</v>
      </c>
      <c r="N7" s="7">
        <f t="shared" si="0"/>
        <v>9750000</v>
      </c>
      <c r="O7" s="7">
        <f t="shared" si="0"/>
        <v>9750000</v>
      </c>
      <c r="P7" s="7">
        <f t="shared" si="0"/>
        <v>9750000</v>
      </c>
    </row>
    <row r="8" spans="1:16" x14ac:dyDescent="0.3">
      <c r="A8" s="6" t="s">
        <v>74</v>
      </c>
      <c r="B8" s="7">
        <f>Összegzés!C8</f>
        <v>0</v>
      </c>
      <c r="C8" s="7">
        <f>Összegzés!D8</f>
        <v>0</v>
      </c>
      <c r="D8" s="7">
        <f>Összegzés!E8</f>
        <v>0</v>
      </c>
      <c r="E8" s="7">
        <f>Összegzés!F8</f>
        <v>0</v>
      </c>
      <c r="F8" s="7">
        <f>Összegzés!G8</f>
        <v>0</v>
      </c>
      <c r="G8" s="7">
        <f>Összegzés!H8</f>
        <v>9750000</v>
      </c>
      <c r="H8" s="7">
        <f>Összegzés!I8</f>
        <v>9750000</v>
      </c>
      <c r="I8" s="7">
        <f>Összegzés!J8</f>
        <v>9750000</v>
      </c>
      <c r="J8" s="7">
        <f>Összegzés!K8</f>
        <v>9750000</v>
      </c>
      <c r="K8" s="7">
        <f>Összegzés!L8</f>
        <v>9750000</v>
      </c>
      <c r="L8" s="7">
        <f>Összegzés!M8</f>
        <v>9750000</v>
      </c>
      <c r="M8" s="7">
        <f>Összegzés!N8</f>
        <v>9750000</v>
      </c>
      <c r="N8" s="7">
        <f>Összegzés!O8</f>
        <v>9750000</v>
      </c>
      <c r="O8" s="7">
        <f>Összegzés!P8</f>
        <v>9750000</v>
      </c>
      <c r="P8" s="7">
        <f>Összegzés!Q8</f>
        <v>9750000</v>
      </c>
    </row>
    <row r="9" spans="1:16" x14ac:dyDescent="0.3">
      <c r="A9" s="6" t="s">
        <v>75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</row>
    <row r="10" spans="1:16" x14ac:dyDescent="0.3">
      <c r="A10" s="6" t="s">
        <v>76</v>
      </c>
      <c r="B10" s="7">
        <f>B2*0.85</f>
        <v>16576700</v>
      </c>
      <c r="C10" s="7">
        <f t="shared" ref="C10:F10" si="1">C2*0.85</f>
        <v>0</v>
      </c>
      <c r="D10" s="7">
        <f t="shared" si="1"/>
        <v>5618257.75</v>
      </c>
      <c r="E10" s="7">
        <f t="shared" si="1"/>
        <v>60146688.5</v>
      </c>
      <c r="F10" s="7">
        <f t="shared" si="1"/>
        <v>554772313.25349998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3">
      <c r="A11" s="6" t="s">
        <v>77</v>
      </c>
      <c r="B11" s="7">
        <f>B12+B13</f>
        <v>2925300</v>
      </c>
      <c r="C11" s="7">
        <f t="shared" ref="C11:P11" si="2">C12+C13</f>
        <v>0</v>
      </c>
      <c r="D11" s="7">
        <f t="shared" si="2"/>
        <v>991457.25</v>
      </c>
      <c r="E11" s="7">
        <f t="shared" si="2"/>
        <v>10614121.5</v>
      </c>
      <c r="F11" s="7">
        <f t="shared" si="2"/>
        <v>97900996.456500009</v>
      </c>
      <c r="G11" s="7">
        <f t="shared" si="2"/>
        <v>0</v>
      </c>
      <c r="H11" s="7">
        <f t="shared" si="2"/>
        <v>0</v>
      </c>
      <c r="I11" s="7">
        <f t="shared" si="2"/>
        <v>0</v>
      </c>
      <c r="J11" s="7">
        <f t="shared" si="2"/>
        <v>0</v>
      </c>
      <c r="K11" s="7">
        <f t="shared" si="2"/>
        <v>0</v>
      </c>
      <c r="L11" s="7">
        <f t="shared" si="2"/>
        <v>0</v>
      </c>
      <c r="M11" s="7">
        <f t="shared" si="2"/>
        <v>0</v>
      </c>
      <c r="N11" s="7">
        <f t="shared" si="2"/>
        <v>0</v>
      </c>
      <c r="O11" s="7">
        <f t="shared" si="2"/>
        <v>0</v>
      </c>
      <c r="P11" s="7">
        <f t="shared" si="2"/>
        <v>0</v>
      </c>
    </row>
    <row r="12" spans="1:16" x14ac:dyDescent="0.3">
      <c r="A12" s="6" t="s">
        <v>78</v>
      </c>
      <c r="B12" s="7">
        <f>B2*0.15</f>
        <v>2925300</v>
      </c>
      <c r="C12" s="7">
        <f t="shared" ref="C12:F12" si="3">C2*0.15</f>
        <v>0</v>
      </c>
      <c r="D12" s="7">
        <f t="shared" si="3"/>
        <v>991457.25</v>
      </c>
      <c r="E12" s="7">
        <f t="shared" si="3"/>
        <v>10614121.5</v>
      </c>
      <c r="F12" s="7">
        <f t="shared" si="3"/>
        <v>97900996.456500009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3">
      <c r="A13" s="6" t="s">
        <v>79</v>
      </c>
      <c r="B13" s="7">
        <f>B14+B15</f>
        <v>0</v>
      </c>
      <c r="C13" s="7">
        <f t="shared" ref="C13:P13" si="4">C14+C15</f>
        <v>0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0</v>
      </c>
      <c r="I13" s="7">
        <f t="shared" si="4"/>
        <v>0</v>
      </c>
      <c r="J13" s="7">
        <f t="shared" si="4"/>
        <v>0</v>
      </c>
      <c r="K13" s="7">
        <f t="shared" si="4"/>
        <v>0</v>
      </c>
      <c r="L13" s="7">
        <f t="shared" si="4"/>
        <v>0</v>
      </c>
      <c r="M13" s="7">
        <f t="shared" si="4"/>
        <v>0</v>
      </c>
      <c r="N13" s="7">
        <f t="shared" si="4"/>
        <v>0</v>
      </c>
      <c r="O13" s="7">
        <f t="shared" si="4"/>
        <v>0</v>
      </c>
      <c r="P13" s="7">
        <f t="shared" si="4"/>
        <v>0</v>
      </c>
    </row>
    <row r="14" spans="1:16" x14ac:dyDescent="0.3">
      <c r="A14" s="6" t="s">
        <v>80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x14ac:dyDescent="0.3">
      <c r="A15" s="6" t="s">
        <v>81</v>
      </c>
      <c r="B15" s="7">
        <f>B16+B17</f>
        <v>0</v>
      </c>
      <c r="C15" s="7">
        <f t="shared" ref="C15:P15" si="5">C16+C17</f>
        <v>0</v>
      </c>
      <c r="D15" s="7">
        <f t="shared" si="5"/>
        <v>0</v>
      </c>
      <c r="E15" s="7">
        <f t="shared" si="5"/>
        <v>0</v>
      </c>
      <c r="F15" s="7">
        <f t="shared" si="5"/>
        <v>0</v>
      </c>
      <c r="G15" s="7">
        <f t="shared" si="5"/>
        <v>0</v>
      </c>
      <c r="H15" s="7">
        <f t="shared" si="5"/>
        <v>0</v>
      </c>
      <c r="I15" s="7">
        <f t="shared" si="5"/>
        <v>0</v>
      </c>
      <c r="J15" s="7">
        <f t="shared" si="5"/>
        <v>0</v>
      </c>
      <c r="K15" s="7">
        <f t="shared" si="5"/>
        <v>0</v>
      </c>
      <c r="L15" s="7">
        <f t="shared" si="5"/>
        <v>0</v>
      </c>
      <c r="M15" s="7">
        <f t="shared" si="5"/>
        <v>0</v>
      </c>
      <c r="N15" s="7">
        <f t="shared" si="5"/>
        <v>0</v>
      </c>
      <c r="O15" s="7">
        <f t="shared" si="5"/>
        <v>0</v>
      </c>
      <c r="P15" s="7">
        <f t="shared" si="5"/>
        <v>0</v>
      </c>
    </row>
    <row r="16" spans="1:16" x14ac:dyDescent="0.3">
      <c r="A16" s="6" t="s">
        <v>82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x14ac:dyDescent="0.3">
      <c r="A17" s="6" t="s">
        <v>83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</row>
    <row r="18" spans="1:16" x14ac:dyDescent="0.3">
      <c r="A18" s="6" t="s">
        <v>84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3">
      <c r="A19" s="39" t="s">
        <v>85</v>
      </c>
      <c r="B19" s="7">
        <f>B8+B9+B10+B11</f>
        <v>19502000</v>
      </c>
      <c r="C19" s="7">
        <f t="shared" ref="C19:P19" si="6">C8+C9+C10+C11</f>
        <v>0</v>
      </c>
      <c r="D19" s="7">
        <f t="shared" si="6"/>
        <v>6609715</v>
      </c>
      <c r="E19" s="7">
        <f t="shared" si="6"/>
        <v>70760810</v>
      </c>
      <c r="F19" s="7">
        <f t="shared" si="6"/>
        <v>652673309.71000004</v>
      </c>
      <c r="G19" s="7">
        <f t="shared" si="6"/>
        <v>9750000</v>
      </c>
      <c r="H19" s="7">
        <f t="shared" si="6"/>
        <v>9750000</v>
      </c>
      <c r="I19" s="7">
        <f t="shared" si="6"/>
        <v>9750000</v>
      </c>
      <c r="J19" s="7">
        <f t="shared" si="6"/>
        <v>9750000</v>
      </c>
      <c r="K19" s="7">
        <f t="shared" si="6"/>
        <v>9750000</v>
      </c>
      <c r="L19" s="7">
        <f t="shared" si="6"/>
        <v>9750000</v>
      </c>
      <c r="M19" s="7">
        <f t="shared" si="6"/>
        <v>9750000</v>
      </c>
      <c r="N19" s="7">
        <f t="shared" si="6"/>
        <v>9750000</v>
      </c>
      <c r="O19" s="7">
        <f t="shared" si="6"/>
        <v>9750000</v>
      </c>
      <c r="P19" s="7">
        <f t="shared" si="6"/>
        <v>9750000</v>
      </c>
    </row>
    <row r="20" spans="1:16" x14ac:dyDescent="0.3">
      <c r="A20" s="6" t="s">
        <v>97</v>
      </c>
      <c r="B20" s="7">
        <f>B19-B7</f>
        <v>0</v>
      </c>
      <c r="C20" s="7">
        <f t="shared" ref="C20:P20" si="7">C19-C7</f>
        <v>0</v>
      </c>
      <c r="D20" s="7">
        <f t="shared" si="7"/>
        <v>0</v>
      </c>
      <c r="E20" s="7">
        <f t="shared" si="7"/>
        <v>0</v>
      </c>
      <c r="F20" s="7">
        <f t="shared" si="7"/>
        <v>0</v>
      </c>
      <c r="G20" s="7">
        <f t="shared" si="7"/>
        <v>0</v>
      </c>
      <c r="H20" s="7">
        <f t="shared" si="7"/>
        <v>0</v>
      </c>
      <c r="I20" s="7">
        <f t="shared" si="7"/>
        <v>0</v>
      </c>
      <c r="J20" s="7">
        <f t="shared" si="7"/>
        <v>0</v>
      </c>
      <c r="K20" s="7">
        <f t="shared" si="7"/>
        <v>0</v>
      </c>
      <c r="L20" s="7">
        <f t="shared" si="7"/>
        <v>0</v>
      </c>
      <c r="M20" s="7">
        <f t="shared" si="7"/>
        <v>0</v>
      </c>
      <c r="N20" s="7">
        <f t="shared" si="7"/>
        <v>0</v>
      </c>
      <c r="O20" s="7">
        <f t="shared" si="7"/>
        <v>0</v>
      </c>
      <c r="P20" s="7">
        <f t="shared" si="7"/>
        <v>0</v>
      </c>
    </row>
    <row r="21" spans="1:16" x14ac:dyDescent="0.3">
      <c r="A21" s="39" t="s">
        <v>86</v>
      </c>
      <c r="B21" s="7">
        <f>B20</f>
        <v>0</v>
      </c>
      <c r="C21" s="7">
        <f>C20+B21</f>
        <v>0</v>
      </c>
      <c r="D21" s="7">
        <f t="shared" ref="D21:P21" si="8">D20+C21</f>
        <v>0</v>
      </c>
      <c r="E21" s="7">
        <f t="shared" si="8"/>
        <v>0</v>
      </c>
      <c r="F21" s="7">
        <f t="shared" si="8"/>
        <v>0</v>
      </c>
      <c r="G21" s="7">
        <f t="shared" si="8"/>
        <v>0</v>
      </c>
      <c r="H21" s="7">
        <f t="shared" si="8"/>
        <v>0</v>
      </c>
      <c r="I21" s="7">
        <f t="shared" si="8"/>
        <v>0</v>
      </c>
      <c r="J21" s="7">
        <f t="shared" si="8"/>
        <v>0</v>
      </c>
      <c r="K21" s="7">
        <f t="shared" si="8"/>
        <v>0</v>
      </c>
      <c r="L21" s="7">
        <f t="shared" si="8"/>
        <v>0</v>
      </c>
      <c r="M21" s="7">
        <f t="shared" si="8"/>
        <v>0</v>
      </c>
      <c r="N21" s="7">
        <f t="shared" si="8"/>
        <v>0</v>
      </c>
      <c r="O21" s="7">
        <f t="shared" si="8"/>
        <v>0</v>
      </c>
      <c r="P21" s="7">
        <f t="shared" si="8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7049-3C66-4B95-A622-BFEA98029D75}">
  <dimension ref="B1:E2"/>
  <sheetViews>
    <sheetView workbookViewId="0">
      <selection activeCell="G15" sqref="G15"/>
    </sheetView>
  </sheetViews>
  <sheetFormatPr defaultRowHeight="14.4" x14ac:dyDescent="0.3"/>
  <cols>
    <col min="3" max="3" width="33.5546875" customWidth="1"/>
  </cols>
  <sheetData>
    <row r="1" spans="2:5" x14ac:dyDescent="0.3">
      <c r="C1" t="s">
        <v>93</v>
      </c>
    </row>
    <row r="2" spans="2:5" x14ac:dyDescent="0.3">
      <c r="B2" t="s">
        <v>92</v>
      </c>
      <c r="C2" t="s">
        <v>94</v>
      </c>
      <c r="D2" t="s">
        <v>95</v>
      </c>
      <c r="E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Beruházás</vt:lpstr>
      <vt:lpstr>Működés</vt:lpstr>
      <vt:lpstr>Bevételek</vt:lpstr>
      <vt:lpstr>Összegzés</vt:lpstr>
      <vt:lpstr>Támogatási összeg </vt:lpstr>
      <vt:lpstr>Pénzügyi Fenntarthatóság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Juhász</dc:creator>
  <cp:lastModifiedBy>Attila Juhász</cp:lastModifiedBy>
  <dcterms:created xsi:type="dcterms:W3CDTF">2026-03-23T04:51:41Z</dcterms:created>
  <dcterms:modified xsi:type="dcterms:W3CDTF">2026-03-31T09:04:13Z</dcterms:modified>
</cp:coreProperties>
</file>