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trcw-my.sharepoint.com/personal/bbe_trenecon_hu/Documents/Desktop/"/>
    </mc:Choice>
  </mc:AlternateContent>
  <xr:revisionPtr revIDLastSave="8654" documentId="13_ncr:10020001_{91A8859B-3FBC-4A74-BA9A-51DBD53E49C7}" xr6:coauthVersionLast="47" xr6:coauthVersionMax="47" xr10:uidLastSave="{26EB2FB3-6658-45B9-8D2E-9BD1FC904828}"/>
  <bookViews>
    <workbookView xWindow="-108" yWindow="-108" windowWidth="30936" windowHeight="16776" tabRatio="779" firstSheet="1" activeTab="2" xr2:uid="{E919BDD4-BE94-4338-9A47-BAAC4AD9353E}"/>
  </bookViews>
  <sheets>
    <sheet name="Háttér_listák" sheetId="9" state="veryHidden" r:id="rId1"/>
    <sheet name="Ábra" sheetId="45" r:id="rId2"/>
    <sheet name="Főoldal" sheetId="8" r:id="rId3"/>
    <sheet name="Beruházási_ktg_input" sheetId="10" r:id="rId4"/>
    <sheet name="Működési_input" sheetId="17" r:id="rId5"/>
    <sheet name="Pénzügyi elemzés" sheetId="40" r:id="rId6"/>
    <sheet name="Közgazdasági elemzés" sheetId="46" r:id="rId7"/>
    <sheet name="Érzékenység" sheetId="61" r:id="rId8"/>
    <sheet name="Háttérszámítások" sheetId="50" r:id="rId9"/>
    <sheet name="nem_áll_fin_hiány" sheetId="18" r:id="rId10"/>
    <sheet name="nem_áll_egyszerű" sheetId="13" r:id="rId11"/>
    <sheet name="áll_tám_egyszerű" sheetId="21" r:id="rId12"/>
    <sheet name="áll_tám_műk_eredmény" sheetId="27" r:id="rId13"/>
    <sheet name="nem_áll_fin_hiány_t" sheetId="52" r:id="rId14"/>
    <sheet name="áll_tám_egyszerű_csekély_t" sheetId="53" r:id="rId15"/>
    <sheet name="áll_tám_egyszerű_körny_70_I_t" sheetId="55" r:id="rId16"/>
    <sheet name="áll_tám_egyszerű_körny_70_II_t" sheetId="56" r:id="rId17"/>
    <sheet name="áll_tám_egyszerű_E-H_töltő_t" sheetId="57" r:id="rId18"/>
    <sheet name="áll_tám_egyszerű_megújuló_I_t" sheetId="58" r:id="rId19"/>
    <sheet name="áll_tám_egyszerű_regionális_t" sheetId="59" r:id="rId20"/>
    <sheet name="áll_tám_műk_eredmény_közszolg_t" sheetId="60" r:id="rId21"/>
  </sheets>
  <definedNames>
    <definedName name="afa_visszaig">Háttér_listák!$B$129:$B$130</definedName>
    <definedName name="áll_tám_i">Háttér_listák!$B$84</definedName>
    <definedName name="áll_tám_n">Háttér_listák!$B$85</definedName>
    <definedName name="áll_tám_rel">Főoldal!$F$20</definedName>
    <definedName name="azon_valaszt">Háttér_listák!$B$9</definedName>
    <definedName name="edr">Főoldal!$D$90</definedName>
    <definedName name="elozo_valasz">Háttér_listák!$B$77</definedName>
    <definedName name="elsz_nem_elsz_ktg">Háttér_listák!$B$125:$B$126</definedName>
    <definedName name="eur">Főoldal!$D$79</definedName>
    <definedName name="fdr_áll">Főoldal!$D$88</definedName>
    <definedName name="fdr_nem_áll">Főoldal!$D$89</definedName>
    <definedName name="Felh_azon">Háttér_listák!$B$89:$B$117</definedName>
    <definedName name="Felh_cím">Háttér_listák!$C$89:$C$117</definedName>
    <definedName name="felh_valaszt">Háttér_listák!$B$42:$B$43</definedName>
    <definedName name="felh_valaszt_list">Háttér_listák!$B$47:$B$75</definedName>
    <definedName name="gazd_tev">Főoldal!$E$20</definedName>
    <definedName name="i_n_list">Háttér_listák!$B$3:$B$5</definedName>
    <definedName name="ker_hat">Főoldal!$E$22</definedName>
    <definedName name="kiv_tam_jogcim">Főoldal!$C$59:$C$76</definedName>
    <definedName name="korny_kar_list">Háttér_listák!$B$178:$B$181</definedName>
    <definedName name="köv_valaszoljon">Háttér_listák!$B$78</definedName>
    <definedName name="közc_tev">Főoldal!$E$24</definedName>
    <definedName name="ktg_sor">Háttér_listák!$B$121:$B$122</definedName>
    <definedName name="last_year">Főoldal!$D$86</definedName>
    <definedName name="megujulo_energia">Háttér_listák!$B$172:$B$173</definedName>
    <definedName name="muk_tam_cs">Működési_input!$C$58</definedName>
    <definedName name="ne_valaszoljon">Háttér_listák!$B$79</definedName>
    <definedName name="nem_áll_tám">Háttér_listák!#REF!</definedName>
    <definedName name="nem_rel">Háttér_listák!$B$143</definedName>
    <definedName name="null_data">Háttér_listák!#REF!</definedName>
    <definedName name="oke">Háttér_listák!$B$82</definedName>
    <definedName name="op_start">Főoldal!$D$83</definedName>
    <definedName name="penz_fennt__i">Háttér_listák!$C$146</definedName>
    <definedName name="penz_fennt_n">Háttér_listák!$C$147</definedName>
    <definedName name="pü_bev_nem_áll">Működési_input!$D$11:$AG$11</definedName>
    <definedName name="pü_egyéb_pá_nem_áll">Működési_input!$D$13:$AG$13</definedName>
    <definedName name="pü_OM_nem_áll">Működési_input!$D$27:$AG$27</definedName>
    <definedName name="pü_önerő_nem_áll">Működési_input!$D$48:$AG$52</definedName>
    <definedName name="pü_pótl_nem_áll">Működési_input!$D$28:$AG$28</definedName>
    <definedName name="reg_tam_arany_onkorm">Háttér_listák!$D$19:$D$38</definedName>
    <definedName name="start_year">Főoldal!$D$81</definedName>
    <definedName name="Szerv_form">Háttér_listák!$B$13:$B$16</definedName>
    <definedName name="Tam_jogcim">Háttér_listák!$B$155:$B$167</definedName>
    <definedName name="torolje">Háttér_listák!$B$80</definedName>
    <definedName name="valaszoljon">Háttér_listák!$B$81</definedName>
    <definedName name="Varmegye">Háttér_listák!$B$19:$B$38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8" i="10" l="1"/>
  <c r="C179" i="27"/>
  <c r="C192" i="18"/>
  <c r="C164" i="13"/>
  <c r="C177" i="21"/>
  <c r="D137" i="18" l="1"/>
  <c r="D136" i="18"/>
  <c r="D135" i="18"/>
  <c r="D134" i="18"/>
  <c r="D133" i="18"/>
  <c r="D125" i="18"/>
  <c r="D124" i="18"/>
  <c r="D123" i="18"/>
  <c r="D122" i="18"/>
  <c r="D114" i="18"/>
  <c r="D113" i="18"/>
  <c r="D112" i="18"/>
  <c r="D111" i="18"/>
  <c r="D110" i="18"/>
  <c r="D89" i="18"/>
  <c r="D88" i="18"/>
  <c r="D87" i="18"/>
  <c r="D81" i="18"/>
  <c r="D75" i="18"/>
  <c r="D67" i="18"/>
  <c r="D66" i="18"/>
  <c r="D65" i="18"/>
  <c r="D64" i="18"/>
  <c r="D63" i="18"/>
  <c r="D62" i="18"/>
  <c r="D61" i="18"/>
  <c r="D60" i="18"/>
  <c r="D59" i="18"/>
  <c r="D58" i="18"/>
  <c r="D57" i="18"/>
  <c r="D56" i="18"/>
  <c r="D52" i="18"/>
  <c r="D51" i="18"/>
  <c r="D50" i="18"/>
  <c r="D49" i="18"/>
  <c r="D48" i="18"/>
  <c r="D47" i="18"/>
  <c r="D46" i="18"/>
  <c r="D45" i="18"/>
  <c r="D44" i="18"/>
  <c r="D43" i="18"/>
  <c r="D42" i="18"/>
  <c r="D41" i="18"/>
  <c r="D37" i="18"/>
  <c r="D36" i="18"/>
  <c r="D35" i="18"/>
  <c r="D34" i="18"/>
  <c r="D33" i="18"/>
  <c r="D32" i="18"/>
  <c r="D31" i="18"/>
  <c r="D30" i="18"/>
  <c r="D29" i="18"/>
  <c r="D28" i="18"/>
  <c r="D27" i="18"/>
  <c r="D26" i="18"/>
  <c r="D116" i="13"/>
  <c r="D115" i="13"/>
  <c r="D114" i="13"/>
  <c r="D113" i="13"/>
  <c r="D99" i="13"/>
  <c r="D98" i="13"/>
  <c r="D97" i="13"/>
  <c r="D96" i="13"/>
  <c r="D95" i="13"/>
  <c r="D89" i="13"/>
  <c r="D86" i="13"/>
  <c r="D80" i="13"/>
  <c r="D75" i="13"/>
  <c r="D67" i="13"/>
  <c r="D66" i="13"/>
  <c r="D65" i="13"/>
  <c r="D64" i="13"/>
  <c r="D63" i="13"/>
  <c r="D62" i="13"/>
  <c r="D61" i="13"/>
  <c r="D60" i="13"/>
  <c r="D59" i="13"/>
  <c r="D58" i="13"/>
  <c r="D57" i="13"/>
  <c r="D56" i="13"/>
  <c r="D52" i="13"/>
  <c r="D51" i="13"/>
  <c r="D50" i="13"/>
  <c r="D49" i="13"/>
  <c r="D48" i="13"/>
  <c r="D47" i="13"/>
  <c r="D46" i="13"/>
  <c r="D45" i="13"/>
  <c r="D44" i="13"/>
  <c r="D43" i="13"/>
  <c r="D42" i="13"/>
  <c r="D41" i="13"/>
  <c r="D37" i="13"/>
  <c r="D36" i="13"/>
  <c r="D35" i="13"/>
  <c r="D34" i="13"/>
  <c r="D33" i="13"/>
  <c r="D32" i="13"/>
  <c r="D31" i="13"/>
  <c r="D30" i="13"/>
  <c r="D29" i="13"/>
  <c r="D28" i="13"/>
  <c r="D27" i="13"/>
  <c r="D26" i="13"/>
  <c r="D105" i="40"/>
  <c r="AF171" i="27"/>
  <c r="AE171" i="27"/>
  <c r="AD171" i="27"/>
  <c r="AC171" i="27"/>
  <c r="AB171" i="27"/>
  <c r="AA171" i="27"/>
  <c r="Z171" i="27"/>
  <c r="Y171" i="27"/>
  <c r="X171" i="27"/>
  <c r="W171" i="27"/>
  <c r="V171" i="27"/>
  <c r="U171" i="27"/>
  <c r="T171" i="27"/>
  <c r="S171" i="27"/>
  <c r="R171" i="27"/>
  <c r="Q171" i="27"/>
  <c r="P171" i="27"/>
  <c r="O171" i="27"/>
  <c r="N171" i="27"/>
  <c r="M171" i="27"/>
  <c r="L171" i="27"/>
  <c r="K171" i="27"/>
  <c r="J171" i="27"/>
  <c r="I171" i="27"/>
  <c r="H171" i="27"/>
  <c r="G171" i="27"/>
  <c r="F171" i="27"/>
  <c r="E171" i="27"/>
  <c r="D171" i="27"/>
  <c r="AF170" i="27"/>
  <c r="AE170" i="27"/>
  <c r="AD170" i="27"/>
  <c r="AC170" i="27"/>
  <c r="AB170" i="27"/>
  <c r="AA170" i="27"/>
  <c r="Z170" i="27"/>
  <c r="Y170" i="27"/>
  <c r="X170" i="27"/>
  <c r="W170" i="27"/>
  <c r="V170" i="27"/>
  <c r="U170" i="27"/>
  <c r="T170" i="27"/>
  <c r="S170" i="27"/>
  <c r="R170" i="27"/>
  <c r="Q170" i="27"/>
  <c r="P170" i="27"/>
  <c r="O170" i="27"/>
  <c r="N170" i="27"/>
  <c r="M170" i="27"/>
  <c r="L170" i="27"/>
  <c r="K170" i="27"/>
  <c r="J170" i="27"/>
  <c r="I170" i="27"/>
  <c r="H170" i="27"/>
  <c r="G170" i="27"/>
  <c r="F170" i="27"/>
  <c r="E170" i="27"/>
  <c r="D170" i="27"/>
  <c r="C171" i="27"/>
  <c r="C170" i="27"/>
  <c r="AF168" i="27"/>
  <c r="AE168" i="27"/>
  <c r="AD168" i="27"/>
  <c r="AC168" i="27"/>
  <c r="AB168" i="27"/>
  <c r="AA168" i="27"/>
  <c r="Z168" i="27"/>
  <c r="Y168" i="27"/>
  <c r="X168" i="27"/>
  <c r="W168" i="27"/>
  <c r="V168" i="27"/>
  <c r="U168" i="27"/>
  <c r="T168" i="27"/>
  <c r="S168" i="27"/>
  <c r="R168" i="27"/>
  <c r="Q168" i="27"/>
  <c r="P168" i="27"/>
  <c r="O168" i="27"/>
  <c r="N168" i="27"/>
  <c r="M168" i="27"/>
  <c r="L168" i="27"/>
  <c r="K168" i="27"/>
  <c r="J168" i="27"/>
  <c r="I168" i="27"/>
  <c r="H168" i="27"/>
  <c r="G168" i="27"/>
  <c r="F168" i="27"/>
  <c r="E168" i="27"/>
  <c r="D168" i="27"/>
  <c r="C168" i="27"/>
  <c r="AF166" i="27"/>
  <c r="AE166" i="27"/>
  <c r="AD166" i="27"/>
  <c r="AC166" i="27"/>
  <c r="AB166" i="27"/>
  <c r="AA166" i="27"/>
  <c r="Z166" i="27"/>
  <c r="Y166" i="27"/>
  <c r="X166" i="27"/>
  <c r="W166" i="27"/>
  <c r="V166" i="27"/>
  <c r="U166" i="27"/>
  <c r="T166" i="27"/>
  <c r="S166" i="27"/>
  <c r="R166" i="27"/>
  <c r="Q166" i="27"/>
  <c r="P166" i="27"/>
  <c r="O166" i="27"/>
  <c r="N166" i="27"/>
  <c r="M166" i="27"/>
  <c r="L166" i="27"/>
  <c r="K166" i="27"/>
  <c r="J166" i="27"/>
  <c r="I166" i="27"/>
  <c r="H166" i="27"/>
  <c r="G166" i="27"/>
  <c r="F166" i="27"/>
  <c r="E166" i="27"/>
  <c r="D166" i="27"/>
  <c r="C166" i="27"/>
  <c r="AF162" i="27"/>
  <c r="AE162" i="27"/>
  <c r="AD162" i="27"/>
  <c r="AC162" i="27"/>
  <c r="AB162" i="27"/>
  <c r="AA162" i="27"/>
  <c r="X162" i="27"/>
  <c r="W162" i="27"/>
  <c r="V162" i="27"/>
  <c r="U162" i="27"/>
  <c r="T162" i="27"/>
  <c r="S162" i="27"/>
  <c r="R162" i="27"/>
  <c r="Q162" i="27"/>
  <c r="P162" i="27"/>
  <c r="O162" i="27"/>
  <c r="L162" i="27"/>
  <c r="K162" i="27"/>
  <c r="J162" i="27"/>
  <c r="I162" i="27"/>
  <c r="H162" i="27"/>
  <c r="G162" i="27"/>
  <c r="F162" i="27"/>
  <c r="E162" i="27"/>
  <c r="D162" i="27"/>
  <c r="G164" i="27"/>
  <c r="F164" i="27"/>
  <c r="E164" i="27"/>
  <c r="D164" i="27"/>
  <c r="C164" i="27"/>
  <c r="AF159" i="27"/>
  <c r="AE159" i="27"/>
  <c r="AD159" i="27"/>
  <c r="AC159" i="27"/>
  <c r="AB159" i="27"/>
  <c r="AA159" i="27"/>
  <c r="Z159" i="27"/>
  <c r="Y159" i="27"/>
  <c r="X159" i="27"/>
  <c r="W159" i="27"/>
  <c r="V159" i="27"/>
  <c r="U159" i="27"/>
  <c r="T159" i="27"/>
  <c r="S159" i="27"/>
  <c r="R159" i="27"/>
  <c r="Q159" i="27"/>
  <c r="P159" i="27"/>
  <c r="O159" i="27"/>
  <c r="N159" i="27"/>
  <c r="M159" i="27"/>
  <c r="L159" i="27"/>
  <c r="K159" i="27"/>
  <c r="J159" i="27"/>
  <c r="I159" i="27"/>
  <c r="H159" i="27"/>
  <c r="G159" i="27"/>
  <c r="F159" i="27"/>
  <c r="E159" i="27"/>
  <c r="D159" i="27"/>
  <c r="AF158" i="27"/>
  <c r="AE158" i="27"/>
  <c r="AD158" i="27"/>
  <c r="AC158" i="27"/>
  <c r="AB158" i="27"/>
  <c r="AA158" i="27"/>
  <c r="Z158" i="27"/>
  <c r="Y158" i="27"/>
  <c r="X158" i="27"/>
  <c r="W158" i="27"/>
  <c r="V158" i="27"/>
  <c r="U158" i="27"/>
  <c r="T158" i="27"/>
  <c r="S158" i="27"/>
  <c r="R158" i="27"/>
  <c r="Q158" i="27"/>
  <c r="P158" i="27"/>
  <c r="O158" i="27"/>
  <c r="N158" i="27"/>
  <c r="M158" i="27"/>
  <c r="L158" i="27"/>
  <c r="K158" i="27"/>
  <c r="J158" i="27"/>
  <c r="I158" i="27"/>
  <c r="H158" i="27"/>
  <c r="G158" i="27"/>
  <c r="F158" i="27"/>
  <c r="E158" i="27"/>
  <c r="D158" i="27"/>
  <c r="AF156" i="27"/>
  <c r="AE156" i="27"/>
  <c r="AD156" i="27"/>
  <c r="AC156" i="27"/>
  <c r="AB156" i="27"/>
  <c r="AA156" i="27"/>
  <c r="Z156" i="27"/>
  <c r="Y156" i="27"/>
  <c r="X156" i="27"/>
  <c r="W156" i="27"/>
  <c r="V156" i="27"/>
  <c r="U156" i="27"/>
  <c r="T156" i="27"/>
  <c r="S156" i="27"/>
  <c r="R156" i="27"/>
  <c r="Q156" i="27"/>
  <c r="P156" i="27"/>
  <c r="O156" i="27"/>
  <c r="N156" i="27"/>
  <c r="M156" i="27"/>
  <c r="L156" i="27"/>
  <c r="K156" i="27"/>
  <c r="J156" i="27"/>
  <c r="I156" i="27"/>
  <c r="H156" i="27"/>
  <c r="G156" i="27"/>
  <c r="F156" i="27"/>
  <c r="E156" i="27"/>
  <c r="D156" i="27"/>
  <c r="C159" i="27"/>
  <c r="C158" i="27"/>
  <c r="C156" i="27"/>
  <c r="D149" i="27"/>
  <c r="D148" i="27"/>
  <c r="D147" i="27"/>
  <c r="E147" i="27" s="1"/>
  <c r="D146" i="27"/>
  <c r="E146" i="27" s="1"/>
  <c r="D143" i="27"/>
  <c r="D142" i="27"/>
  <c r="E142" i="27" s="1"/>
  <c r="D141" i="27"/>
  <c r="E141" i="27" s="1"/>
  <c r="Z128" i="27"/>
  <c r="X128" i="27"/>
  <c r="T128" i="27"/>
  <c r="AH127" i="27"/>
  <c r="AH128" i="27" s="1"/>
  <c r="AG127" i="27"/>
  <c r="AG128" i="27" s="1"/>
  <c r="AF127" i="27"/>
  <c r="AF128" i="27" s="1"/>
  <c r="AE127" i="27"/>
  <c r="AE128" i="27" s="1"/>
  <c r="AD127" i="27"/>
  <c r="AD128" i="27" s="1"/>
  <c r="AC127" i="27"/>
  <c r="AC128" i="27" s="1"/>
  <c r="AB127" i="27"/>
  <c r="Z162" i="27" s="1"/>
  <c r="AA127" i="27"/>
  <c r="Y162" i="27" s="1"/>
  <c r="Z127" i="27"/>
  <c r="Y127" i="27"/>
  <c r="Y128" i="27" s="1"/>
  <c r="X127" i="27"/>
  <c r="W127" i="27"/>
  <c r="W128" i="27" s="1"/>
  <c r="V127" i="27"/>
  <c r="V128" i="27" s="1"/>
  <c r="U127" i="27"/>
  <c r="U128" i="27" s="1"/>
  <c r="T127" i="27"/>
  <c r="S127" i="27"/>
  <c r="S128" i="27" s="1"/>
  <c r="R127" i="27"/>
  <c r="R128" i="27" s="1"/>
  <c r="Q127" i="27"/>
  <c r="Q128" i="27" s="1"/>
  <c r="P127" i="27"/>
  <c r="N162" i="27" s="1"/>
  <c r="O127" i="27"/>
  <c r="M162" i="27" s="1"/>
  <c r="N127" i="27"/>
  <c r="N128" i="27" s="1"/>
  <c r="M127" i="27"/>
  <c r="M128" i="27" s="1"/>
  <c r="L127" i="27"/>
  <c r="L128" i="27" s="1"/>
  <c r="K127" i="27"/>
  <c r="K128" i="27" s="1"/>
  <c r="J127" i="27"/>
  <c r="J128" i="27" s="1"/>
  <c r="I127" i="27"/>
  <c r="I128" i="27" s="1"/>
  <c r="H127" i="27"/>
  <c r="H128" i="27" s="1"/>
  <c r="G127" i="27"/>
  <c r="G128" i="27" s="1"/>
  <c r="F127" i="27"/>
  <c r="F128" i="27" s="1"/>
  <c r="E127" i="27"/>
  <c r="C162" i="27" s="1"/>
  <c r="AH124" i="27"/>
  <c r="AG124" i="27"/>
  <c r="AF124" i="27"/>
  <c r="AE124" i="27"/>
  <c r="AD124" i="27"/>
  <c r="AC124" i="27"/>
  <c r="AB124" i="27"/>
  <c r="AA124" i="27"/>
  <c r="Z124" i="27"/>
  <c r="Y124" i="27"/>
  <c r="X124" i="27"/>
  <c r="W124" i="27"/>
  <c r="V124" i="27"/>
  <c r="U124" i="27"/>
  <c r="T124" i="27"/>
  <c r="S124" i="27"/>
  <c r="R124" i="27"/>
  <c r="Q124" i="27"/>
  <c r="P124" i="27"/>
  <c r="O124" i="27"/>
  <c r="N124" i="27"/>
  <c r="M124" i="27"/>
  <c r="L124" i="27"/>
  <c r="K124" i="27"/>
  <c r="J124" i="27"/>
  <c r="I124" i="27"/>
  <c r="H124" i="27"/>
  <c r="G124" i="27"/>
  <c r="F124" i="27"/>
  <c r="E124" i="27"/>
  <c r="I113" i="27"/>
  <c r="H113" i="27"/>
  <c r="G113" i="27"/>
  <c r="F113" i="27"/>
  <c r="E113" i="27"/>
  <c r="E149" i="27"/>
  <c r="E148" i="27"/>
  <c r="E143" i="27"/>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9" i="21"/>
  <c r="C168"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AF160" i="21"/>
  <c r="AE160" i="21"/>
  <c r="AB160" i="21"/>
  <c r="AA160" i="21"/>
  <c r="Z160" i="21"/>
  <c r="Y160" i="21"/>
  <c r="X160" i="21"/>
  <c r="W160" i="21"/>
  <c r="V160" i="21"/>
  <c r="U160" i="21"/>
  <c r="T160" i="21"/>
  <c r="S160" i="21"/>
  <c r="P160" i="21"/>
  <c r="O160" i="21"/>
  <c r="N160" i="21"/>
  <c r="M160" i="21"/>
  <c r="L160" i="21"/>
  <c r="K160" i="21"/>
  <c r="J160" i="21"/>
  <c r="I160" i="21"/>
  <c r="H160" i="21"/>
  <c r="G160" i="21"/>
  <c r="D160" i="21"/>
  <c r="C162" i="21"/>
  <c r="C160"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7" i="21"/>
  <c r="C156" i="21"/>
  <c r="C154" i="21"/>
  <c r="D147" i="21"/>
  <c r="E147" i="21" s="1"/>
  <c r="D146" i="21"/>
  <c r="E146" i="21" s="1"/>
  <c r="D145" i="21"/>
  <c r="E145" i="21" s="1"/>
  <c r="D144" i="21"/>
  <c r="E144" i="21" s="1"/>
  <c r="D141" i="21"/>
  <c r="E141" i="21" s="1"/>
  <c r="E139" i="21"/>
  <c r="E138" i="21"/>
  <c r="D139" i="21"/>
  <c r="D138" i="21"/>
  <c r="AD128" i="21"/>
  <c r="AC128" i="21"/>
  <c r="AB128" i="21"/>
  <c r="R128" i="21"/>
  <c r="Q128" i="21"/>
  <c r="P128" i="21"/>
  <c r="F128" i="21"/>
  <c r="AH127" i="21"/>
  <c r="AH128" i="21" s="1"/>
  <c r="AG127" i="21"/>
  <c r="AG128" i="21" s="1"/>
  <c r="AF127" i="21"/>
  <c r="AD160" i="21" s="1"/>
  <c r="AE127" i="21"/>
  <c r="AC160" i="21" s="1"/>
  <c r="AD127" i="21"/>
  <c r="AC127" i="21"/>
  <c r="AB127" i="21"/>
  <c r="AA127" i="21"/>
  <c r="AA128" i="21" s="1"/>
  <c r="Z127" i="21"/>
  <c r="Z128" i="21" s="1"/>
  <c r="Y127" i="21"/>
  <c r="Y128" i="21" s="1"/>
  <c r="X127" i="21"/>
  <c r="X128" i="21" s="1"/>
  <c r="W127" i="21"/>
  <c r="W128" i="21" s="1"/>
  <c r="V127" i="21"/>
  <c r="V128" i="21" s="1"/>
  <c r="U127" i="21"/>
  <c r="U128" i="21" s="1"/>
  <c r="T127" i="21"/>
  <c r="R160" i="21" s="1"/>
  <c r="S127" i="21"/>
  <c r="Q160" i="21" s="1"/>
  <c r="R127" i="21"/>
  <c r="Q127" i="21"/>
  <c r="P127" i="21"/>
  <c r="O127" i="21"/>
  <c r="O128" i="21" s="1"/>
  <c r="N127" i="21"/>
  <c r="N128" i="21" s="1"/>
  <c r="M127" i="21"/>
  <c r="M128" i="21" s="1"/>
  <c r="L127" i="21"/>
  <c r="L128" i="21" s="1"/>
  <c r="K127" i="21"/>
  <c r="K128" i="21" s="1"/>
  <c r="J127" i="21"/>
  <c r="J128" i="21" s="1"/>
  <c r="I127" i="21"/>
  <c r="I128" i="21" s="1"/>
  <c r="H127" i="21"/>
  <c r="F160" i="21" s="1"/>
  <c r="G127" i="21"/>
  <c r="E160" i="21" s="1"/>
  <c r="F127" i="21"/>
  <c r="E127" i="21"/>
  <c r="E128" i="21" s="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6" i="21"/>
  <c r="E115" i="21"/>
  <c r="I113" i="21"/>
  <c r="H113" i="21"/>
  <c r="G113" i="21"/>
  <c r="F113" i="21"/>
  <c r="E113" i="21"/>
  <c r="AF184" i="18"/>
  <c r="AF182" i="18" s="1"/>
  <c r="AF180" i="18" s="1"/>
  <c r="AE184" i="18"/>
  <c r="AE182" i="18" s="1"/>
  <c r="AE180" i="18" s="1"/>
  <c r="AD184" i="18"/>
  <c r="AD182" i="18" s="1"/>
  <c r="AD180" i="18" s="1"/>
  <c r="AC184" i="18"/>
  <c r="AC182" i="18" s="1"/>
  <c r="AB184" i="18"/>
  <c r="AA184" i="18"/>
  <c r="Z184" i="18"/>
  <c r="Y184" i="18"/>
  <c r="X184" i="18"/>
  <c r="W184" i="18"/>
  <c r="V184" i="18"/>
  <c r="U184" i="18"/>
  <c r="T184" i="18"/>
  <c r="T182" i="18" s="1"/>
  <c r="T180" i="18" s="1"/>
  <c r="S184" i="18"/>
  <c r="S182" i="18" s="1"/>
  <c r="S180" i="18" s="1"/>
  <c r="R184" i="18"/>
  <c r="R182" i="18" s="1"/>
  <c r="R180" i="18" s="1"/>
  <c r="Q184" i="18"/>
  <c r="Q182" i="18" s="1"/>
  <c r="Q180" i="18" s="1"/>
  <c r="P184" i="18"/>
  <c r="O184" i="18"/>
  <c r="N184" i="18"/>
  <c r="M184" i="18"/>
  <c r="L184" i="18"/>
  <c r="K184" i="18"/>
  <c r="J184" i="18"/>
  <c r="I184" i="18"/>
  <c r="I182" i="18" s="1"/>
  <c r="H184" i="18"/>
  <c r="H182" i="18" s="1"/>
  <c r="G184" i="18"/>
  <c r="G182" i="18" s="1"/>
  <c r="F184" i="18"/>
  <c r="F182" i="18" s="1"/>
  <c r="E184" i="18"/>
  <c r="E182" i="18" s="1"/>
  <c r="D184" i="18"/>
  <c r="AF183" i="18"/>
  <c r="AE183" i="18"/>
  <c r="AD183" i="18"/>
  <c r="AC183" i="18"/>
  <c r="AB183" i="18"/>
  <c r="AA183" i="18"/>
  <c r="Z183" i="18"/>
  <c r="Z182" i="18" s="1"/>
  <c r="Y183" i="18"/>
  <c r="Y182" i="18" s="1"/>
  <c r="X183" i="18"/>
  <c r="X182" i="18" s="1"/>
  <c r="W183" i="18"/>
  <c r="W182" i="18" s="1"/>
  <c r="V183" i="18"/>
  <c r="V182" i="18" s="1"/>
  <c r="U183" i="18"/>
  <c r="T183" i="18"/>
  <c r="S183" i="18"/>
  <c r="R183" i="18"/>
  <c r="Q183" i="18"/>
  <c r="P183" i="18"/>
  <c r="O183" i="18"/>
  <c r="N183" i="18"/>
  <c r="N182" i="18" s="1"/>
  <c r="N180" i="18" s="1"/>
  <c r="M183" i="18"/>
  <c r="M182" i="18" s="1"/>
  <c r="M180" i="18" s="1"/>
  <c r="L183" i="18"/>
  <c r="L182" i="18" s="1"/>
  <c r="K183" i="18"/>
  <c r="K182" i="18" s="1"/>
  <c r="J183" i="18"/>
  <c r="J182" i="18" s="1"/>
  <c r="I183" i="18"/>
  <c r="H183" i="18"/>
  <c r="G183" i="18"/>
  <c r="F183" i="18"/>
  <c r="E183" i="18"/>
  <c r="D183" i="18"/>
  <c r="AB182" i="18"/>
  <c r="AA182" i="18"/>
  <c r="U182" i="18"/>
  <c r="P182" i="18"/>
  <c r="O182" i="18"/>
  <c r="D182" i="18"/>
  <c r="AF181" i="18"/>
  <c r="AE181" i="18"/>
  <c r="AD181" i="18"/>
  <c r="AC181" i="18"/>
  <c r="AB181" i="18"/>
  <c r="AA181" i="18"/>
  <c r="Z181" i="18"/>
  <c r="Y181" i="18"/>
  <c r="X181" i="18"/>
  <c r="W181" i="18"/>
  <c r="V181" i="18"/>
  <c r="U181" i="18"/>
  <c r="T181" i="18"/>
  <c r="S181" i="18"/>
  <c r="R181" i="18"/>
  <c r="Q181" i="18"/>
  <c r="P181" i="18"/>
  <c r="O181" i="18"/>
  <c r="O180" i="18" s="1"/>
  <c r="N181" i="18"/>
  <c r="M181" i="18"/>
  <c r="L181" i="18"/>
  <c r="K181" i="18"/>
  <c r="J181" i="18"/>
  <c r="I181" i="18"/>
  <c r="H181" i="18"/>
  <c r="G181" i="18"/>
  <c r="F181" i="18"/>
  <c r="E181" i="18"/>
  <c r="D181" i="18"/>
  <c r="Z180" i="18"/>
  <c r="V179" i="18"/>
  <c r="U179" i="18"/>
  <c r="T179" i="18"/>
  <c r="AF177" i="18"/>
  <c r="AE177" i="18"/>
  <c r="AD177" i="18"/>
  <c r="AC177" i="18"/>
  <c r="AB177" i="18"/>
  <c r="AA177" i="18"/>
  <c r="Z177" i="18"/>
  <c r="Z179" i="18" s="1"/>
  <c r="Y177" i="18"/>
  <c r="Y179" i="18" s="1"/>
  <c r="X177" i="18"/>
  <c r="X179" i="18" s="1"/>
  <c r="W177" i="18"/>
  <c r="W179" i="18" s="1"/>
  <c r="V177" i="18"/>
  <c r="U177" i="18"/>
  <c r="T177" i="18"/>
  <c r="S177" i="18"/>
  <c r="R177" i="18"/>
  <c r="Q177" i="18"/>
  <c r="P177" i="18"/>
  <c r="O177" i="18"/>
  <c r="N177" i="18"/>
  <c r="N179" i="18" s="1"/>
  <c r="M177" i="18"/>
  <c r="M179" i="18" s="1"/>
  <c r="L177" i="18"/>
  <c r="L179" i="18" s="1"/>
  <c r="K177" i="18"/>
  <c r="K179" i="18" s="1"/>
  <c r="J177" i="18"/>
  <c r="J179" i="18" s="1"/>
  <c r="I177" i="18"/>
  <c r="I179" i="18" s="1"/>
  <c r="H177" i="18"/>
  <c r="H179" i="18" s="1"/>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C184" i="18"/>
  <c r="C183" i="18"/>
  <c r="C181" i="18"/>
  <c r="C172" i="18"/>
  <c r="C171" i="18"/>
  <c r="O128" i="27" l="1"/>
  <c r="E128" i="27"/>
  <c r="P128" i="27"/>
  <c r="AA128" i="27"/>
  <c r="AB128" i="27"/>
  <c r="AE128" i="21"/>
  <c r="AF128" i="21"/>
  <c r="G128" i="21"/>
  <c r="H128" i="21"/>
  <c r="S128" i="21"/>
  <c r="T128" i="21"/>
  <c r="P180" i="18"/>
  <c r="G180" i="18"/>
  <c r="H180" i="18"/>
  <c r="I180" i="18"/>
  <c r="I178" i="18" s="1"/>
  <c r="N178" i="18"/>
  <c r="U180" i="18"/>
  <c r="J180" i="18"/>
  <c r="J178" i="18" s="1"/>
  <c r="V180" i="18"/>
  <c r="V178" i="18" s="1"/>
  <c r="K180" i="18"/>
  <c r="W180" i="18"/>
  <c r="W178" i="18" s="1"/>
  <c r="K178" i="18"/>
  <c r="L180" i="18"/>
  <c r="L178" i="18" s="1"/>
  <c r="X180" i="18"/>
  <c r="X178" i="18" s="1"/>
  <c r="Y180" i="18"/>
  <c r="Y178" i="18" s="1"/>
  <c r="M178" i="18"/>
  <c r="AA180" i="18"/>
  <c r="AB180" i="18"/>
  <c r="AC180" i="18"/>
  <c r="D180" i="18"/>
  <c r="E180" i="18"/>
  <c r="F180" i="18"/>
  <c r="Z178" i="18"/>
  <c r="AE179" i="18"/>
  <c r="AE178" i="18" s="1"/>
  <c r="AF179" i="18"/>
  <c r="T178" i="18"/>
  <c r="U178" i="18"/>
  <c r="O179" i="18"/>
  <c r="O178" i="18" s="1"/>
  <c r="AA179" i="18"/>
  <c r="P179" i="18"/>
  <c r="P178" i="18" s="1"/>
  <c r="AB179" i="18"/>
  <c r="Q179" i="18"/>
  <c r="Q178" i="18" s="1"/>
  <c r="AC179" i="18"/>
  <c r="AC178" i="18" s="1"/>
  <c r="R179" i="18"/>
  <c r="R178" i="18" s="1"/>
  <c r="AD179" i="18"/>
  <c r="AD178" i="18" s="1"/>
  <c r="H178" i="18"/>
  <c r="S179" i="18"/>
  <c r="S178" i="18" s="1"/>
  <c r="AF178" i="18"/>
  <c r="AA178" i="18" l="1"/>
  <c r="AB178" i="18"/>
  <c r="AH136" i="18" l="1"/>
  <c r="AF175" i="18" s="1"/>
  <c r="AG136" i="18"/>
  <c r="AE175" i="18" s="1"/>
  <c r="AF136" i="18"/>
  <c r="AE136" i="18"/>
  <c r="AD136" i="18"/>
  <c r="AC136" i="18"/>
  <c r="AB136" i="18"/>
  <c r="AA136" i="18"/>
  <c r="Z136" i="18"/>
  <c r="Y136" i="18"/>
  <c r="W175" i="18" s="1"/>
  <c r="X136" i="18"/>
  <c r="V175" i="18" s="1"/>
  <c r="W136" i="18"/>
  <c r="U175" i="18" s="1"/>
  <c r="V136" i="18"/>
  <c r="T175" i="18" s="1"/>
  <c r="U136" i="18"/>
  <c r="S175" i="18" s="1"/>
  <c r="T136" i="18"/>
  <c r="S136" i="18"/>
  <c r="R136" i="18"/>
  <c r="Q136" i="18"/>
  <c r="P136" i="18"/>
  <c r="O136" i="18"/>
  <c r="N136" i="18"/>
  <c r="M136" i="18"/>
  <c r="K175" i="18" s="1"/>
  <c r="L136" i="18"/>
  <c r="J175" i="18" s="1"/>
  <c r="K136" i="18"/>
  <c r="I175" i="18" s="1"/>
  <c r="J136" i="18"/>
  <c r="H175" i="18" s="1"/>
  <c r="I136" i="18"/>
  <c r="G175" i="18" s="1"/>
  <c r="H136" i="18"/>
  <c r="G136" i="18"/>
  <c r="F136"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E136" i="18"/>
  <c r="C175" i="18" s="1"/>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5" i="18"/>
  <c r="E124" i="18"/>
  <c r="E25" i="27"/>
  <c r="F25" i="27" s="1"/>
  <c r="G25" i="27" s="1"/>
  <c r="H25" i="27" s="1"/>
  <c r="I25" i="27" s="1"/>
  <c r="E40" i="27"/>
  <c r="F40" i="27" s="1"/>
  <c r="G40" i="27" s="1"/>
  <c r="H40" i="27" s="1"/>
  <c r="I40" i="27" s="1"/>
  <c r="E55" i="27"/>
  <c r="F55" i="27" s="1"/>
  <c r="G55" i="27" s="1"/>
  <c r="H55" i="27" s="1"/>
  <c r="I55" i="27" s="1"/>
  <c r="E72" i="27"/>
  <c r="F72" i="27" s="1"/>
  <c r="G72" i="27" s="1"/>
  <c r="H72" i="27" s="1"/>
  <c r="I72" i="27" s="1"/>
  <c r="J72" i="27" s="1"/>
  <c r="K72" i="27" s="1"/>
  <c r="L72" i="27" s="1"/>
  <c r="M72" i="27" s="1"/>
  <c r="N72" i="27" s="1"/>
  <c r="O72" i="27" s="1"/>
  <c r="P72" i="27" s="1"/>
  <c r="Q72" i="27" s="1"/>
  <c r="R72" i="27" s="1"/>
  <c r="S72" i="27" s="1"/>
  <c r="T72" i="27" s="1"/>
  <c r="U72" i="27" s="1"/>
  <c r="V72" i="27" s="1"/>
  <c r="W72" i="27" s="1"/>
  <c r="X72" i="27" s="1"/>
  <c r="Y72" i="27" s="1"/>
  <c r="Z72" i="27" s="1"/>
  <c r="AA72" i="27" s="1"/>
  <c r="AB72" i="27" s="1"/>
  <c r="AC72" i="27" s="1"/>
  <c r="AD72" i="27" s="1"/>
  <c r="AE72" i="27" s="1"/>
  <c r="AF72" i="27" s="1"/>
  <c r="AG72" i="27" s="1"/>
  <c r="AH72" i="27" s="1"/>
  <c r="E79" i="27"/>
  <c r="F79" i="27" s="1"/>
  <c r="G79" i="27" s="1"/>
  <c r="H79" i="27" s="1"/>
  <c r="I79" i="27" s="1"/>
  <c r="J79" i="27" s="1"/>
  <c r="K79" i="27" s="1"/>
  <c r="L79" i="27" s="1"/>
  <c r="M79" i="27" s="1"/>
  <c r="N79" i="27" s="1"/>
  <c r="O79" i="27" s="1"/>
  <c r="P79" i="27" s="1"/>
  <c r="Q79" i="27" s="1"/>
  <c r="R79" i="27" s="1"/>
  <c r="S79" i="27" s="1"/>
  <c r="T79" i="27" s="1"/>
  <c r="U79" i="27" s="1"/>
  <c r="V79" i="27" s="1"/>
  <c r="W79" i="27" s="1"/>
  <c r="X79" i="27" s="1"/>
  <c r="Y79" i="27" s="1"/>
  <c r="Z79" i="27" s="1"/>
  <c r="AA79" i="27" s="1"/>
  <c r="AB79" i="27" s="1"/>
  <c r="AC79" i="27" s="1"/>
  <c r="AD79" i="27" s="1"/>
  <c r="AE79" i="27" s="1"/>
  <c r="AF79" i="27" s="1"/>
  <c r="AG79" i="27" s="1"/>
  <c r="AH79" i="27" s="1"/>
  <c r="E88" i="27"/>
  <c r="F88" i="27" s="1"/>
  <c r="G88" i="27" s="1"/>
  <c r="H88" i="27" s="1"/>
  <c r="I88" i="27" s="1"/>
  <c r="J88" i="27" s="1"/>
  <c r="K88" i="27" s="1"/>
  <c r="L88" i="27" s="1"/>
  <c r="M88" i="27" s="1"/>
  <c r="N88" i="27" s="1"/>
  <c r="O88" i="27" s="1"/>
  <c r="P88" i="27" s="1"/>
  <c r="Q88" i="27" s="1"/>
  <c r="R88" i="27" s="1"/>
  <c r="S88" i="27" s="1"/>
  <c r="T88" i="27" s="1"/>
  <c r="U88" i="27" s="1"/>
  <c r="V88" i="27" s="1"/>
  <c r="W88" i="27" s="1"/>
  <c r="X88" i="27" s="1"/>
  <c r="Y88" i="27" s="1"/>
  <c r="Z88" i="27" s="1"/>
  <c r="AA88" i="27" s="1"/>
  <c r="AB88" i="27" s="1"/>
  <c r="AC88" i="27" s="1"/>
  <c r="AD88" i="27" s="1"/>
  <c r="AE88" i="27" s="1"/>
  <c r="AF88" i="27" s="1"/>
  <c r="AG88" i="27" s="1"/>
  <c r="AH88" i="27" s="1"/>
  <c r="E94" i="27"/>
  <c r="F94" i="27" s="1"/>
  <c r="G94" i="27" s="1"/>
  <c r="H94" i="27" s="1"/>
  <c r="I94" i="27" s="1"/>
  <c r="J94" i="27" s="1"/>
  <c r="K94" i="27" s="1"/>
  <c r="L94" i="27" s="1"/>
  <c r="M94" i="27" s="1"/>
  <c r="N94" i="27" s="1"/>
  <c r="O94" i="27" s="1"/>
  <c r="P94" i="27" s="1"/>
  <c r="Q94" i="27" s="1"/>
  <c r="R94" i="27" s="1"/>
  <c r="S94" i="27" s="1"/>
  <c r="T94" i="27" s="1"/>
  <c r="U94" i="27" s="1"/>
  <c r="V94" i="27" s="1"/>
  <c r="W94" i="27" s="1"/>
  <c r="X94" i="27" s="1"/>
  <c r="Y94" i="27" s="1"/>
  <c r="Z94" i="27" s="1"/>
  <c r="AA94" i="27" s="1"/>
  <c r="AB94" i="27" s="1"/>
  <c r="AC94" i="27" s="1"/>
  <c r="AD94" i="27" s="1"/>
  <c r="AE94" i="27" s="1"/>
  <c r="AF94" i="27" s="1"/>
  <c r="AG94" i="27" s="1"/>
  <c r="AH94" i="27" s="1"/>
  <c r="E112" i="27"/>
  <c r="F112" i="27" s="1"/>
  <c r="G112" i="27" s="1"/>
  <c r="H112" i="27" s="1"/>
  <c r="I112" i="27" s="1"/>
  <c r="J112" i="27" s="1"/>
  <c r="K112" i="27" s="1"/>
  <c r="L112" i="27" s="1"/>
  <c r="M112" i="27" s="1"/>
  <c r="N112" i="27" s="1"/>
  <c r="O112" i="27" s="1"/>
  <c r="P112" i="27" s="1"/>
  <c r="Q112" i="27" s="1"/>
  <c r="R112" i="27" s="1"/>
  <c r="S112" i="27" s="1"/>
  <c r="T112" i="27" s="1"/>
  <c r="U112" i="27" s="1"/>
  <c r="V112" i="27" s="1"/>
  <c r="W112" i="27" s="1"/>
  <c r="X112" i="27" s="1"/>
  <c r="Y112" i="27" s="1"/>
  <c r="Z112" i="27" s="1"/>
  <c r="AA112" i="27" s="1"/>
  <c r="AB112" i="27" s="1"/>
  <c r="AC112" i="27" s="1"/>
  <c r="AD112" i="27" s="1"/>
  <c r="AE112" i="27" s="1"/>
  <c r="AF112" i="27" s="1"/>
  <c r="AG112" i="27" s="1"/>
  <c r="AH112" i="27" s="1"/>
  <c r="E123" i="27"/>
  <c r="F123" i="27" s="1"/>
  <c r="G123" i="27" s="1"/>
  <c r="H123" i="27" s="1"/>
  <c r="I123" i="27" s="1"/>
  <c r="J123" i="27" s="1"/>
  <c r="K123" i="27" s="1"/>
  <c r="L123" i="27" s="1"/>
  <c r="M123" i="27" s="1"/>
  <c r="N123" i="27" s="1"/>
  <c r="O123" i="27" s="1"/>
  <c r="P123" i="27" s="1"/>
  <c r="Q123" i="27" s="1"/>
  <c r="R123" i="27" s="1"/>
  <c r="S123" i="27" s="1"/>
  <c r="T123" i="27" s="1"/>
  <c r="U123" i="27" s="1"/>
  <c r="V123" i="27" s="1"/>
  <c r="W123" i="27" s="1"/>
  <c r="X123" i="27" s="1"/>
  <c r="Y123" i="27" s="1"/>
  <c r="Z123" i="27" s="1"/>
  <c r="AA123" i="27" s="1"/>
  <c r="AB123" i="27" s="1"/>
  <c r="AC123" i="27" s="1"/>
  <c r="AD123" i="27" s="1"/>
  <c r="AE123" i="27" s="1"/>
  <c r="AF123" i="27" s="1"/>
  <c r="AG123" i="27" s="1"/>
  <c r="AH123" i="27" s="1"/>
  <c r="C155" i="27"/>
  <c r="D155" i="27" s="1"/>
  <c r="E155" i="27" s="1"/>
  <c r="F155" i="27" s="1"/>
  <c r="G155" i="27" s="1"/>
  <c r="H155" i="27" s="1"/>
  <c r="I155" i="27" s="1"/>
  <c r="J155" i="27" s="1"/>
  <c r="K155" i="27" s="1"/>
  <c r="L155" i="27" s="1"/>
  <c r="M155" i="27" s="1"/>
  <c r="N155" i="27" s="1"/>
  <c r="O155" i="27" s="1"/>
  <c r="P155" i="27" s="1"/>
  <c r="Q155" i="27" s="1"/>
  <c r="R155" i="27" s="1"/>
  <c r="S155" i="27" s="1"/>
  <c r="T155" i="27" s="1"/>
  <c r="U155" i="27" s="1"/>
  <c r="V155" i="27" s="1"/>
  <c r="W155" i="27" s="1"/>
  <c r="X155" i="27" s="1"/>
  <c r="Y155" i="27" s="1"/>
  <c r="Z155" i="27" s="1"/>
  <c r="AA155" i="27" s="1"/>
  <c r="AB155" i="27" s="1"/>
  <c r="AC155" i="27" s="1"/>
  <c r="AD155" i="27" s="1"/>
  <c r="AE155" i="27" s="1"/>
  <c r="AF155" i="27" s="1"/>
  <c r="C153" i="21"/>
  <c r="D153" i="21" s="1"/>
  <c r="E153" i="21" s="1"/>
  <c r="F153" i="21" s="1"/>
  <c r="G153" i="21" s="1"/>
  <c r="H153" i="21" s="1"/>
  <c r="I153" i="21" s="1"/>
  <c r="J153" i="21" s="1"/>
  <c r="K153" i="21" s="1"/>
  <c r="L153" i="21" s="1"/>
  <c r="M153" i="21" s="1"/>
  <c r="N153" i="21" s="1"/>
  <c r="O153" i="21" s="1"/>
  <c r="P153" i="21" s="1"/>
  <c r="Q153" i="21" s="1"/>
  <c r="R153" i="21" s="1"/>
  <c r="S153" i="21" s="1"/>
  <c r="T153" i="21" s="1"/>
  <c r="U153" i="21" s="1"/>
  <c r="V153" i="21" s="1"/>
  <c r="W153" i="21" s="1"/>
  <c r="X153" i="21" s="1"/>
  <c r="Y153" i="21" s="1"/>
  <c r="Z153" i="21" s="1"/>
  <c r="AA153" i="21" s="1"/>
  <c r="AB153" i="21" s="1"/>
  <c r="AC153" i="21" s="1"/>
  <c r="AD153" i="21" s="1"/>
  <c r="AE153" i="21" s="1"/>
  <c r="AF153" i="21" s="1"/>
  <c r="E123" i="21"/>
  <c r="F123" i="21" s="1"/>
  <c r="G123" i="21" s="1"/>
  <c r="H123" i="21" s="1"/>
  <c r="I123" i="21" s="1"/>
  <c r="J123" i="21" s="1"/>
  <c r="K123" i="21" s="1"/>
  <c r="L123" i="21" s="1"/>
  <c r="M123" i="21" s="1"/>
  <c r="N123" i="21" s="1"/>
  <c r="O123" i="21" s="1"/>
  <c r="P123" i="21" s="1"/>
  <c r="Q123" i="21" s="1"/>
  <c r="R123" i="21" s="1"/>
  <c r="S123" i="21" s="1"/>
  <c r="T123" i="21" s="1"/>
  <c r="U123" i="21" s="1"/>
  <c r="V123" i="21" s="1"/>
  <c r="W123" i="21" s="1"/>
  <c r="X123" i="21" s="1"/>
  <c r="Y123" i="21" s="1"/>
  <c r="Z123" i="21" s="1"/>
  <c r="AA123" i="21" s="1"/>
  <c r="AB123" i="21" s="1"/>
  <c r="AC123" i="21" s="1"/>
  <c r="AD123" i="21" s="1"/>
  <c r="AE123" i="21" s="1"/>
  <c r="AF123" i="21" s="1"/>
  <c r="AG123" i="21" s="1"/>
  <c r="AH123" i="21" s="1"/>
  <c r="E112" i="21"/>
  <c r="F112" i="21" s="1"/>
  <c r="G112" i="21" s="1"/>
  <c r="H112" i="21" s="1"/>
  <c r="I112" i="21" s="1"/>
  <c r="J112" i="21" s="1"/>
  <c r="K112" i="21" s="1"/>
  <c r="L112" i="21" s="1"/>
  <c r="M112" i="21" s="1"/>
  <c r="N112" i="21" s="1"/>
  <c r="O112" i="21" s="1"/>
  <c r="P112" i="21" s="1"/>
  <c r="Q112" i="21" s="1"/>
  <c r="R112" i="21" s="1"/>
  <c r="S112" i="21" s="1"/>
  <c r="T112" i="21" s="1"/>
  <c r="U112" i="21" s="1"/>
  <c r="V112" i="21" s="1"/>
  <c r="W112" i="21" s="1"/>
  <c r="X112" i="21" s="1"/>
  <c r="Y112" i="21" s="1"/>
  <c r="Z112" i="21" s="1"/>
  <c r="AA112" i="21" s="1"/>
  <c r="AB112" i="21" s="1"/>
  <c r="AC112" i="21" s="1"/>
  <c r="AD112" i="21" s="1"/>
  <c r="AE112" i="21" s="1"/>
  <c r="AF112" i="21" s="1"/>
  <c r="AG112" i="21" s="1"/>
  <c r="AH112" i="21" s="1"/>
  <c r="E94" i="21"/>
  <c r="F94" i="21" s="1"/>
  <c r="G94" i="21" s="1"/>
  <c r="H94" i="21" s="1"/>
  <c r="I94" i="21" s="1"/>
  <c r="J94" i="21" s="1"/>
  <c r="K94" i="21" s="1"/>
  <c r="L94" i="21" s="1"/>
  <c r="M94" i="21" s="1"/>
  <c r="N94" i="21" s="1"/>
  <c r="O94" i="21" s="1"/>
  <c r="P94" i="21" s="1"/>
  <c r="Q94" i="21" s="1"/>
  <c r="R94" i="21" s="1"/>
  <c r="S94" i="21" s="1"/>
  <c r="T94" i="21" s="1"/>
  <c r="U94" i="21" s="1"/>
  <c r="V94" i="21" s="1"/>
  <c r="W94" i="21" s="1"/>
  <c r="X94" i="21" s="1"/>
  <c r="Y94" i="21" s="1"/>
  <c r="Z94" i="21" s="1"/>
  <c r="AA94" i="21" s="1"/>
  <c r="AB94" i="21" s="1"/>
  <c r="AC94" i="21" s="1"/>
  <c r="AD94" i="21" s="1"/>
  <c r="AE94" i="21" s="1"/>
  <c r="AF94" i="21" s="1"/>
  <c r="AG94" i="21" s="1"/>
  <c r="AH94" i="21" s="1"/>
  <c r="E86" i="21"/>
  <c r="F86" i="21" s="1"/>
  <c r="G86" i="21" s="1"/>
  <c r="H86" i="21" s="1"/>
  <c r="I86" i="21" s="1"/>
  <c r="J86" i="21" s="1"/>
  <c r="K86" i="21" s="1"/>
  <c r="L86" i="21" s="1"/>
  <c r="M86" i="21" s="1"/>
  <c r="N86" i="21" s="1"/>
  <c r="O86" i="21" s="1"/>
  <c r="P86" i="21" s="1"/>
  <c r="Q86" i="21" s="1"/>
  <c r="R86" i="21" s="1"/>
  <c r="S86" i="21" s="1"/>
  <c r="T86" i="21" s="1"/>
  <c r="U86" i="21" s="1"/>
  <c r="V86" i="21" s="1"/>
  <c r="W86" i="21" s="1"/>
  <c r="X86" i="21" s="1"/>
  <c r="Y86" i="21" s="1"/>
  <c r="Z86" i="21" s="1"/>
  <c r="AA86" i="21" s="1"/>
  <c r="AB86" i="21" s="1"/>
  <c r="AC86" i="21" s="1"/>
  <c r="AD86" i="21" s="1"/>
  <c r="AE86" i="21" s="1"/>
  <c r="AF86" i="21" s="1"/>
  <c r="AG86" i="21" s="1"/>
  <c r="AH86" i="21" s="1"/>
  <c r="E80" i="21"/>
  <c r="F80" i="21" s="1"/>
  <c r="G80" i="21" s="1"/>
  <c r="H80" i="21" s="1"/>
  <c r="I80" i="21" s="1"/>
  <c r="J80" i="21" s="1"/>
  <c r="K80" i="21" s="1"/>
  <c r="L80" i="21" s="1"/>
  <c r="M80" i="21" s="1"/>
  <c r="N80" i="21" s="1"/>
  <c r="O80" i="21" s="1"/>
  <c r="P80" i="21" s="1"/>
  <c r="Q80" i="21" s="1"/>
  <c r="R80" i="21" s="1"/>
  <c r="S80" i="21" s="1"/>
  <c r="T80" i="21" s="1"/>
  <c r="U80" i="21" s="1"/>
  <c r="V80" i="21" s="1"/>
  <c r="W80" i="21" s="1"/>
  <c r="X80" i="21" s="1"/>
  <c r="Y80" i="21" s="1"/>
  <c r="Z80" i="21" s="1"/>
  <c r="AA80" i="21" s="1"/>
  <c r="AB80" i="21" s="1"/>
  <c r="AC80" i="21" s="1"/>
  <c r="AD80" i="21" s="1"/>
  <c r="AE80" i="21" s="1"/>
  <c r="AF80" i="21" s="1"/>
  <c r="AG80" i="21" s="1"/>
  <c r="AH80" i="21" s="1"/>
  <c r="K74" i="21"/>
  <c r="L74" i="21" s="1"/>
  <c r="M74" i="21" s="1"/>
  <c r="N74" i="21" s="1"/>
  <c r="O74" i="21" s="1"/>
  <c r="P74" i="21" s="1"/>
  <c r="Q74" i="21" s="1"/>
  <c r="R74" i="21" s="1"/>
  <c r="S74" i="21" s="1"/>
  <c r="T74" i="21" s="1"/>
  <c r="U74" i="21" s="1"/>
  <c r="V74" i="21" s="1"/>
  <c r="W74" i="21" s="1"/>
  <c r="X74" i="21" s="1"/>
  <c r="Y74" i="21" s="1"/>
  <c r="Z74" i="21" s="1"/>
  <c r="AA74" i="21" s="1"/>
  <c r="AB74" i="21" s="1"/>
  <c r="AC74" i="21" s="1"/>
  <c r="AD74" i="21" s="1"/>
  <c r="AE74" i="21" s="1"/>
  <c r="AF74" i="21" s="1"/>
  <c r="AG74" i="21" s="1"/>
  <c r="AH74" i="21" s="1"/>
  <c r="J74" i="21"/>
  <c r="E74" i="21"/>
  <c r="F74" i="21" s="1"/>
  <c r="G74" i="21" s="1"/>
  <c r="H74" i="21" s="1"/>
  <c r="I74" i="21" s="1"/>
  <c r="E55" i="21"/>
  <c r="F55" i="21" s="1"/>
  <c r="G55" i="21" s="1"/>
  <c r="H55" i="21" s="1"/>
  <c r="I55" i="21" s="1"/>
  <c r="E40" i="21"/>
  <c r="F40" i="21" s="1"/>
  <c r="G40" i="21" s="1"/>
  <c r="H40" i="21" s="1"/>
  <c r="I40" i="21" s="1"/>
  <c r="E25" i="21"/>
  <c r="F25" i="21" s="1"/>
  <c r="G25" i="21" s="1"/>
  <c r="H25" i="21" s="1"/>
  <c r="I25" i="21" s="1"/>
  <c r="E25" i="18"/>
  <c r="F25" i="18" s="1"/>
  <c r="G25" i="18" s="1"/>
  <c r="H25" i="18" s="1"/>
  <c r="I25" i="18" s="1"/>
  <c r="E40" i="18"/>
  <c r="F40" i="18" s="1"/>
  <c r="G40" i="18" s="1"/>
  <c r="H40" i="18" s="1"/>
  <c r="I40" i="18" s="1"/>
  <c r="G55" i="18"/>
  <c r="H55" i="18" s="1"/>
  <c r="I55" i="18" s="1"/>
  <c r="F55" i="18"/>
  <c r="E55" i="18"/>
  <c r="E74" i="18"/>
  <c r="F74" i="18" s="1"/>
  <c r="G74" i="18" s="1"/>
  <c r="H74" i="18" s="1"/>
  <c r="I74" i="18" s="1"/>
  <c r="J74" i="18" s="1"/>
  <c r="K74" i="18" s="1"/>
  <c r="L74" i="18" s="1"/>
  <c r="M74" i="18" s="1"/>
  <c r="N74" i="18" s="1"/>
  <c r="O74" i="18" s="1"/>
  <c r="P74" i="18" s="1"/>
  <c r="Q74" i="18" s="1"/>
  <c r="R74" i="18" s="1"/>
  <c r="S74" i="18" s="1"/>
  <c r="T74" i="18" s="1"/>
  <c r="U74" i="18" s="1"/>
  <c r="V74" i="18" s="1"/>
  <c r="W74" i="18" s="1"/>
  <c r="X74" i="18" s="1"/>
  <c r="Y74" i="18" s="1"/>
  <c r="Z74" i="18" s="1"/>
  <c r="AA74" i="18" s="1"/>
  <c r="AB74" i="18" s="1"/>
  <c r="AC74" i="18" s="1"/>
  <c r="AD74" i="18" s="1"/>
  <c r="AE74" i="18" s="1"/>
  <c r="AF74" i="18" s="1"/>
  <c r="AG74" i="18" s="1"/>
  <c r="AH74" i="18" s="1"/>
  <c r="E80" i="18"/>
  <c r="F80" i="18" s="1"/>
  <c r="G80" i="18" s="1"/>
  <c r="H80" i="18" s="1"/>
  <c r="I80" i="18" s="1"/>
  <c r="J80" i="18" s="1"/>
  <c r="K80" i="18" s="1"/>
  <c r="L80" i="18" s="1"/>
  <c r="M80" i="18" s="1"/>
  <c r="N80" i="18" s="1"/>
  <c r="O80" i="18" s="1"/>
  <c r="P80" i="18" s="1"/>
  <c r="Q80" i="18" s="1"/>
  <c r="R80" i="18" s="1"/>
  <c r="S80" i="18" s="1"/>
  <c r="T80" i="18" s="1"/>
  <c r="U80" i="18" s="1"/>
  <c r="V80" i="18" s="1"/>
  <c r="W80" i="18" s="1"/>
  <c r="X80" i="18" s="1"/>
  <c r="Y80" i="18" s="1"/>
  <c r="Z80" i="18" s="1"/>
  <c r="AA80" i="18" s="1"/>
  <c r="AB80" i="18" s="1"/>
  <c r="AC80" i="18" s="1"/>
  <c r="AD80" i="18" s="1"/>
  <c r="AE80" i="18" s="1"/>
  <c r="AF80" i="18" s="1"/>
  <c r="AG80" i="18" s="1"/>
  <c r="AH80" i="18" s="1"/>
  <c r="E86" i="18"/>
  <c r="F86" i="18" s="1"/>
  <c r="G86" i="18" s="1"/>
  <c r="H86" i="18" s="1"/>
  <c r="I86" i="18" s="1"/>
  <c r="J86" i="18" s="1"/>
  <c r="K86" i="18" s="1"/>
  <c r="L86" i="18" s="1"/>
  <c r="M86" i="18" s="1"/>
  <c r="N86" i="18" s="1"/>
  <c r="O86" i="18" s="1"/>
  <c r="P86" i="18" s="1"/>
  <c r="Q86" i="18" s="1"/>
  <c r="R86" i="18" s="1"/>
  <c r="S86" i="18" s="1"/>
  <c r="T86" i="18" s="1"/>
  <c r="U86" i="18" s="1"/>
  <c r="V86" i="18" s="1"/>
  <c r="W86" i="18" s="1"/>
  <c r="X86" i="18" s="1"/>
  <c r="Y86" i="18" s="1"/>
  <c r="Z86" i="18" s="1"/>
  <c r="AA86" i="18" s="1"/>
  <c r="AB86" i="18" s="1"/>
  <c r="AC86" i="18" s="1"/>
  <c r="AD86" i="18" s="1"/>
  <c r="AE86" i="18" s="1"/>
  <c r="AF86" i="18" s="1"/>
  <c r="AG86" i="18" s="1"/>
  <c r="AH86" i="18" s="1"/>
  <c r="E109" i="18"/>
  <c r="F109" i="18" s="1"/>
  <c r="G109" i="18" s="1"/>
  <c r="H109" i="18" s="1"/>
  <c r="I109" i="18" s="1"/>
  <c r="J109" i="18" s="1"/>
  <c r="K109" i="18" s="1"/>
  <c r="L109" i="18" s="1"/>
  <c r="M109" i="18" s="1"/>
  <c r="N109" i="18" s="1"/>
  <c r="O109" i="18" s="1"/>
  <c r="P109" i="18" s="1"/>
  <c r="Q109" i="18" s="1"/>
  <c r="R109" i="18" s="1"/>
  <c r="S109" i="18" s="1"/>
  <c r="T109" i="18" s="1"/>
  <c r="U109" i="18" s="1"/>
  <c r="V109" i="18" s="1"/>
  <c r="W109" i="18" s="1"/>
  <c r="X109" i="18" s="1"/>
  <c r="Y109" i="18" s="1"/>
  <c r="Z109" i="18" s="1"/>
  <c r="AA109" i="18" s="1"/>
  <c r="AB109" i="18" s="1"/>
  <c r="AC109" i="18" s="1"/>
  <c r="AD109" i="18" s="1"/>
  <c r="AE109" i="18" s="1"/>
  <c r="AF109" i="18" s="1"/>
  <c r="AG109" i="18" s="1"/>
  <c r="AH109" i="18" s="1"/>
  <c r="E121" i="18"/>
  <c r="F121" i="18" s="1"/>
  <c r="G121" i="18" s="1"/>
  <c r="H121" i="18" s="1"/>
  <c r="I121" i="18" s="1"/>
  <c r="J121" i="18" s="1"/>
  <c r="K121" i="18" s="1"/>
  <c r="L121" i="18" s="1"/>
  <c r="M121" i="18" s="1"/>
  <c r="N121" i="18" s="1"/>
  <c r="O121" i="18" s="1"/>
  <c r="P121" i="18" s="1"/>
  <c r="Q121" i="18" s="1"/>
  <c r="R121" i="18" s="1"/>
  <c r="S121" i="18" s="1"/>
  <c r="T121" i="18" s="1"/>
  <c r="U121" i="18" s="1"/>
  <c r="V121" i="18" s="1"/>
  <c r="W121" i="18" s="1"/>
  <c r="X121" i="18" s="1"/>
  <c r="Y121" i="18" s="1"/>
  <c r="Z121" i="18" s="1"/>
  <c r="AA121" i="18" s="1"/>
  <c r="AB121" i="18" s="1"/>
  <c r="AC121" i="18" s="1"/>
  <c r="AD121" i="18" s="1"/>
  <c r="AE121" i="18" s="1"/>
  <c r="AF121" i="18" s="1"/>
  <c r="AG121" i="18" s="1"/>
  <c r="AH121" i="18" s="1"/>
  <c r="E132" i="18"/>
  <c r="F132" i="18" s="1"/>
  <c r="G132" i="18" s="1"/>
  <c r="H132" i="18" s="1"/>
  <c r="I132" i="18" s="1"/>
  <c r="J132" i="18" s="1"/>
  <c r="K132" i="18" s="1"/>
  <c r="L132" i="18" s="1"/>
  <c r="M132" i="18" s="1"/>
  <c r="N132" i="18" s="1"/>
  <c r="O132" i="18" s="1"/>
  <c r="P132" i="18" s="1"/>
  <c r="Q132" i="18" s="1"/>
  <c r="R132" i="18" s="1"/>
  <c r="S132" i="18" s="1"/>
  <c r="T132" i="18" s="1"/>
  <c r="U132" i="18" s="1"/>
  <c r="V132" i="18" s="1"/>
  <c r="W132" i="18" s="1"/>
  <c r="X132" i="18" s="1"/>
  <c r="Y132" i="18" s="1"/>
  <c r="Z132" i="18" s="1"/>
  <c r="AA132" i="18" s="1"/>
  <c r="AB132" i="18" s="1"/>
  <c r="AC132" i="18" s="1"/>
  <c r="AD132" i="18" s="1"/>
  <c r="AE132" i="18" s="1"/>
  <c r="AF132" i="18" s="1"/>
  <c r="AG132" i="18" s="1"/>
  <c r="AH132" i="18" s="1"/>
  <c r="C168" i="18"/>
  <c r="D168" i="18" s="1"/>
  <c r="E168" i="18" s="1"/>
  <c r="F168" i="18" s="1"/>
  <c r="G168" i="18" s="1"/>
  <c r="H168" i="18" s="1"/>
  <c r="I168" i="18" s="1"/>
  <c r="J168" i="18" s="1"/>
  <c r="K168" i="18" s="1"/>
  <c r="L168" i="18" s="1"/>
  <c r="M168" i="18" s="1"/>
  <c r="N168" i="18" s="1"/>
  <c r="O168" i="18" s="1"/>
  <c r="P168" i="18" s="1"/>
  <c r="Q168" i="18" s="1"/>
  <c r="R168" i="18" s="1"/>
  <c r="S168" i="18" s="1"/>
  <c r="T168" i="18" s="1"/>
  <c r="U168" i="18" s="1"/>
  <c r="V168" i="18" s="1"/>
  <c r="W168" i="18" s="1"/>
  <c r="X168" i="18" s="1"/>
  <c r="Y168" i="18" s="1"/>
  <c r="Z168" i="18" s="1"/>
  <c r="AA168" i="18" s="1"/>
  <c r="AB168" i="18" s="1"/>
  <c r="AC168" i="18" s="1"/>
  <c r="AD168" i="18" s="1"/>
  <c r="AE168" i="18" s="1"/>
  <c r="AF168" i="18" s="1"/>
  <c r="C140" i="13"/>
  <c r="D140" i="13" s="1"/>
  <c r="E140" i="13" s="1"/>
  <c r="F140" i="13" s="1"/>
  <c r="G140" i="13" s="1"/>
  <c r="H140" i="13" s="1"/>
  <c r="I140" i="13" s="1"/>
  <c r="J140" i="13" s="1"/>
  <c r="K140" i="13" s="1"/>
  <c r="L140" i="13" s="1"/>
  <c r="M140" i="13" s="1"/>
  <c r="N140" i="13" s="1"/>
  <c r="O140" i="13" s="1"/>
  <c r="P140" i="13" s="1"/>
  <c r="Q140" i="13" s="1"/>
  <c r="R140" i="13" s="1"/>
  <c r="S140" i="13" s="1"/>
  <c r="T140" i="13" s="1"/>
  <c r="U140" i="13" s="1"/>
  <c r="V140" i="13" s="1"/>
  <c r="W140" i="13" s="1"/>
  <c r="X140" i="13" s="1"/>
  <c r="Y140" i="13" s="1"/>
  <c r="Z140" i="13" s="1"/>
  <c r="AA140" i="13" s="1"/>
  <c r="AB140" i="13" s="1"/>
  <c r="AC140" i="13" s="1"/>
  <c r="AD140" i="13" s="1"/>
  <c r="AE140" i="13" s="1"/>
  <c r="AF140" i="13" s="1"/>
  <c r="E112" i="13"/>
  <c r="F112" i="13" s="1"/>
  <c r="G112" i="13" s="1"/>
  <c r="H112" i="13" s="1"/>
  <c r="I112" i="13" s="1"/>
  <c r="J112" i="13" s="1"/>
  <c r="K112" i="13" s="1"/>
  <c r="L112" i="13" s="1"/>
  <c r="M112" i="13" s="1"/>
  <c r="N112" i="13" s="1"/>
  <c r="O112" i="13" s="1"/>
  <c r="P112" i="13" s="1"/>
  <c r="Q112" i="13" s="1"/>
  <c r="R112" i="13" s="1"/>
  <c r="S112" i="13" s="1"/>
  <c r="T112" i="13" s="1"/>
  <c r="U112" i="13" s="1"/>
  <c r="V112" i="13" s="1"/>
  <c r="W112" i="13" s="1"/>
  <c r="X112" i="13" s="1"/>
  <c r="Y112" i="13" s="1"/>
  <c r="Z112" i="13" s="1"/>
  <c r="AA112" i="13" s="1"/>
  <c r="AB112" i="13" s="1"/>
  <c r="AC112" i="13" s="1"/>
  <c r="AD112" i="13" s="1"/>
  <c r="AE112" i="13" s="1"/>
  <c r="AF112" i="13" s="1"/>
  <c r="AG112" i="13" s="1"/>
  <c r="AH112" i="13" s="1"/>
  <c r="E94" i="13"/>
  <c r="F94" i="13" s="1"/>
  <c r="G94" i="13" s="1"/>
  <c r="H94" i="13" s="1"/>
  <c r="I94" i="13" s="1"/>
  <c r="J94" i="13" s="1"/>
  <c r="K94" i="13" s="1"/>
  <c r="L94" i="13" s="1"/>
  <c r="M94" i="13" s="1"/>
  <c r="N94" i="13" s="1"/>
  <c r="O94" i="13" s="1"/>
  <c r="P94" i="13" s="1"/>
  <c r="Q94" i="13" s="1"/>
  <c r="R94" i="13" s="1"/>
  <c r="S94" i="13" s="1"/>
  <c r="T94" i="13" s="1"/>
  <c r="U94" i="13" s="1"/>
  <c r="V94" i="13" s="1"/>
  <c r="W94" i="13" s="1"/>
  <c r="X94" i="13" s="1"/>
  <c r="Y94" i="13" s="1"/>
  <c r="Z94" i="13" s="1"/>
  <c r="AA94" i="13" s="1"/>
  <c r="AB94" i="13" s="1"/>
  <c r="AC94" i="13" s="1"/>
  <c r="AD94" i="13" s="1"/>
  <c r="AE94" i="13" s="1"/>
  <c r="AF94" i="13" s="1"/>
  <c r="AG94" i="13" s="1"/>
  <c r="AH94" i="13" s="1"/>
  <c r="E88" i="13"/>
  <c r="F88" i="13" s="1"/>
  <c r="G88" i="13" s="1"/>
  <c r="H88" i="13" s="1"/>
  <c r="I88" i="13" s="1"/>
  <c r="J88" i="13" s="1"/>
  <c r="K88" i="13" s="1"/>
  <c r="L88" i="13" s="1"/>
  <c r="M88" i="13" s="1"/>
  <c r="N88" i="13" s="1"/>
  <c r="O88" i="13" s="1"/>
  <c r="P88" i="13" s="1"/>
  <c r="Q88" i="13" s="1"/>
  <c r="R88" i="13" s="1"/>
  <c r="S88" i="13" s="1"/>
  <c r="T88" i="13" s="1"/>
  <c r="U88" i="13" s="1"/>
  <c r="V88" i="13" s="1"/>
  <c r="W88" i="13" s="1"/>
  <c r="X88" i="13" s="1"/>
  <c r="Y88" i="13" s="1"/>
  <c r="Z88" i="13" s="1"/>
  <c r="AA88" i="13" s="1"/>
  <c r="AB88" i="13" s="1"/>
  <c r="AC88" i="13" s="1"/>
  <c r="AD88" i="13" s="1"/>
  <c r="AE88" i="13" s="1"/>
  <c r="AF88" i="13" s="1"/>
  <c r="AG88" i="13" s="1"/>
  <c r="AH88" i="13" s="1"/>
  <c r="E85" i="13"/>
  <c r="F85" i="13" s="1"/>
  <c r="G85" i="13" s="1"/>
  <c r="H85" i="13" s="1"/>
  <c r="I85" i="13" s="1"/>
  <c r="J85" i="13" s="1"/>
  <c r="K85" i="13" s="1"/>
  <c r="L85" i="13" s="1"/>
  <c r="M85" i="13" s="1"/>
  <c r="N85" i="13" s="1"/>
  <c r="O85" i="13" s="1"/>
  <c r="P85" i="13" s="1"/>
  <c r="Q85" i="13" s="1"/>
  <c r="R85" i="13" s="1"/>
  <c r="S85" i="13" s="1"/>
  <c r="T85" i="13" s="1"/>
  <c r="U85" i="13" s="1"/>
  <c r="V85" i="13" s="1"/>
  <c r="W85" i="13" s="1"/>
  <c r="X85" i="13" s="1"/>
  <c r="Y85" i="13" s="1"/>
  <c r="Z85" i="13" s="1"/>
  <c r="AA85" i="13" s="1"/>
  <c r="AB85" i="13" s="1"/>
  <c r="AC85" i="13" s="1"/>
  <c r="AD85" i="13" s="1"/>
  <c r="AE85" i="13" s="1"/>
  <c r="AF85" i="13" s="1"/>
  <c r="AG85" i="13" s="1"/>
  <c r="AH85" i="13" s="1"/>
  <c r="E79" i="13"/>
  <c r="F79" i="13" s="1"/>
  <c r="G79" i="13" s="1"/>
  <c r="H79" i="13" s="1"/>
  <c r="I79" i="13" s="1"/>
  <c r="J79" i="13" s="1"/>
  <c r="K79" i="13" s="1"/>
  <c r="L79" i="13" s="1"/>
  <c r="M79" i="13" s="1"/>
  <c r="N79" i="13" s="1"/>
  <c r="O79" i="13" s="1"/>
  <c r="P79" i="13" s="1"/>
  <c r="Q79" i="13" s="1"/>
  <c r="R79" i="13" s="1"/>
  <c r="S79" i="13" s="1"/>
  <c r="T79" i="13" s="1"/>
  <c r="U79" i="13" s="1"/>
  <c r="V79" i="13" s="1"/>
  <c r="W79" i="13" s="1"/>
  <c r="X79" i="13" s="1"/>
  <c r="Y79" i="13" s="1"/>
  <c r="Z79" i="13" s="1"/>
  <c r="AA79" i="13" s="1"/>
  <c r="AB79" i="13" s="1"/>
  <c r="AC79" i="13" s="1"/>
  <c r="AD79" i="13" s="1"/>
  <c r="AE79" i="13" s="1"/>
  <c r="AF79" i="13" s="1"/>
  <c r="AG79" i="13" s="1"/>
  <c r="AH79" i="13" s="1"/>
  <c r="G74" i="13"/>
  <c r="H74" i="13" s="1"/>
  <c r="I74" i="13" s="1"/>
  <c r="J74" i="13" s="1"/>
  <c r="K74" i="13" s="1"/>
  <c r="L74" i="13" s="1"/>
  <c r="M74" i="13" s="1"/>
  <c r="N74" i="13" s="1"/>
  <c r="O74" i="13" s="1"/>
  <c r="P74" i="13" s="1"/>
  <c r="Q74" i="13" s="1"/>
  <c r="R74" i="13" s="1"/>
  <c r="S74" i="13" s="1"/>
  <c r="T74" i="13" s="1"/>
  <c r="U74" i="13" s="1"/>
  <c r="V74" i="13" s="1"/>
  <c r="W74" i="13" s="1"/>
  <c r="X74" i="13" s="1"/>
  <c r="Y74" i="13" s="1"/>
  <c r="Z74" i="13" s="1"/>
  <c r="AA74" i="13" s="1"/>
  <c r="AB74" i="13" s="1"/>
  <c r="AC74" i="13" s="1"/>
  <c r="AD74" i="13" s="1"/>
  <c r="AE74" i="13" s="1"/>
  <c r="AF74" i="13" s="1"/>
  <c r="AG74" i="13" s="1"/>
  <c r="AH74" i="13" s="1"/>
  <c r="E74" i="13"/>
  <c r="F74" i="13" s="1"/>
  <c r="E55" i="13"/>
  <c r="F55" i="13" s="1"/>
  <c r="G55" i="13" s="1"/>
  <c r="H55" i="13" s="1"/>
  <c r="I55" i="13" s="1"/>
  <c r="E40" i="13"/>
  <c r="F40" i="13" s="1"/>
  <c r="G40" i="13" s="1"/>
  <c r="H40" i="13" s="1"/>
  <c r="I40" i="13" s="1"/>
  <c r="E25" i="13"/>
  <c r="F25" i="13"/>
  <c r="G25" i="13" s="1"/>
  <c r="H25" i="13" s="1"/>
  <c r="I25" i="13" s="1"/>
  <c r="I137" i="18" l="1"/>
  <c r="U137" i="18"/>
  <c r="AA137" i="18"/>
  <c r="Y175" i="18"/>
  <c r="H137" i="18"/>
  <c r="F175" i="18"/>
  <c r="T137" i="18"/>
  <c r="R175" i="18"/>
  <c r="AF137" i="18"/>
  <c r="AD175" i="18"/>
  <c r="Y137" i="18"/>
  <c r="AH137" i="18"/>
  <c r="J137" i="18"/>
  <c r="K137" i="18"/>
  <c r="N137" i="18"/>
  <c r="L175" i="18"/>
  <c r="Z137" i="18"/>
  <c r="X175" i="18"/>
  <c r="L137" i="18"/>
  <c r="E137" i="18"/>
  <c r="O137" i="18"/>
  <c r="M175" i="18"/>
  <c r="M137" i="18"/>
  <c r="P137" i="18"/>
  <c r="N175" i="18"/>
  <c r="AB137" i="18"/>
  <c r="Z175" i="18"/>
  <c r="Q137" i="18"/>
  <c r="O175" i="18"/>
  <c r="AC137" i="18"/>
  <c r="AA175" i="18"/>
  <c r="V137" i="18"/>
  <c r="F137" i="18"/>
  <c r="D175" i="18"/>
  <c r="R137" i="18"/>
  <c r="P175" i="18"/>
  <c r="AD137" i="18"/>
  <c r="AB175" i="18"/>
  <c r="W137" i="18"/>
  <c r="G137" i="18"/>
  <c r="E175" i="18"/>
  <c r="S137" i="18"/>
  <c r="Q175" i="18"/>
  <c r="AE137" i="18"/>
  <c r="AC175" i="18"/>
  <c r="X137" i="18"/>
  <c r="AG137" i="18"/>
  <c r="AF156" i="13" l="1"/>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C156" i="13"/>
  <c r="C155" i="13"/>
  <c r="C153" i="13"/>
  <c r="C147" i="13"/>
  <c r="C144" i="13"/>
  <c r="C143"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6" i="13"/>
  <c r="E115" i="13"/>
  <c r="AF167" i="21" l="1"/>
  <c r="AF165" i="21" s="1"/>
  <c r="AF163" i="21" s="1"/>
  <c r="AE167" i="21"/>
  <c r="AE165" i="21" s="1"/>
  <c r="AE163" i="21" s="1"/>
  <c r="AD167" i="21"/>
  <c r="AD165" i="21" s="1"/>
  <c r="AD163" i="21" s="1"/>
  <c r="AC167" i="21"/>
  <c r="AC165" i="21" s="1"/>
  <c r="AC163" i="21" s="1"/>
  <c r="AB167" i="21"/>
  <c r="AB165" i="21" s="1"/>
  <c r="AB163" i="21" s="1"/>
  <c r="AA167" i="21"/>
  <c r="AA165" i="21" s="1"/>
  <c r="AA163" i="21" s="1"/>
  <c r="Z167" i="21"/>
  <c r="Z165" i="21" s="1"/>
  <c r="Z163" i="21" s="1"/>
  <c r="Y167" i="21"/>
  <c r="Y165" i="21" s="1"/>
  <c r="Y163" i="21" s="1"/>
  <c r="X167" i="21"/>
  <c r="X165" i="21" s="1"/>
  <c r="X163" i="21" s="1"/>
  <c r="W167" i="21"/>
  <c r="W165" i="21" s="1"/>
  <c r="W163" i="21" s="1"/>
  <c r="V167" i="21"/>
  <c r="V165" i="21" s="1"/>
  <c r="V163" i="21" s="1"/>
  <c r="U167" i="21"/>
  <c r="U165" i="21" s="1"/>
  <c r="U163" i="21" s="1"/>
  <c r="T167" i="21"/>
  <c r="S167" i="21"/>
  <c r="S165" i="21" s="1"/>
  <c r="S163" i="21" s="1"/>
  <c r="R167" i="21"/>
  <c r="Q167" i="21"/>
  <c r="Q165" i="21" s="1"/>
  <c r="Q163" i="21" s="1"/>
  <c r="P167" i="21"/>
  <c r="P165" i="21" s="1"/>
  <c r="P163" i="21" s="1"/>
  <c r="O167" i="21"/>
  <c r="O165" i="21" s="1"/>
  <c r="O163" i="21" s="1"/>
  <c r="N167" i="21"/>
  <c r="N165" i="21" s="1"/>
  <c r="N163" i="21" s="1"/>
  <c r="M167" i="21"/>
  <c r="M165" i="21" s="1"/>
  <c r="M163" i="21" s="1"/>
  <c r="L167" i="21"/>
  <c r="L165" i="21" s="1"/>
  <c r="L163" i="21" s="1"/>
  <c r="K167" i="21"/>
  <c r="K165" i="21" s="1"/>
  <c r="K163" i="21" s="1"/>
  <c r="J167" i="21"/>
  <c r="J165" i="21" s="1"/>
  <c r="J163" i="21" s="1"/>
  <c r="I167" i="21"/>
  <c r="I165" i="21" s="1"/>
  <c r="I163" i="21" s="1"/>
  <c r="H167" i="21"/>
  <c r="H165" i="21" s="1"/>
  <c r="H163" i="21" s="1"/>
  <c r="G167" i="21"/>
  <c r="G165" i="21" s="1"/>
  <c r="G163" i="21" s="1"/>
  <c r="F167" i="21"/>
  <c r="F165" i="21" s="1"/>
  <c r="F163" i="21" s="1"/>
  <c r="E167" i="21"/>
  <c r="E165" i="21" s="1"/>
  <c r="E163" i="21" s="1"/>
  <c r="T165" i="21"/>
  <c r="T163" i="21" s="1"/>
  <c r="R165" i="21"/>
  <c r="R163" i="21" s="1"/>
  <c r="D167" i="21"/>
  <c r="D165" i="21" s="1"/>
  <c r="D163" i="21" s="1"/>
  <c r="C167" i="21"/>
  <c r="C165" i="21" s="1"/>
  <c r="C163" i="21" s="1"/>
  <c r="AF169" i="27"/>
  <c r="AF167" i="27" s="1"/>
  <c r="AF165" i="27" s="1"/>
  <c r="AE169" i="27"/>
  <c r="AE167" i="27" s="1"/>
  <c r="AE165" i="27" s="1"/>
  <c r="AD169" i="27"/>
  <c r="AD167" i="27" s="1"/>
  <c r="AD165" i="27" s="1"/>
  <c r="AC169" i="27"/>
  <c r="AC167" i="27" s="1"/>
  <c r="AC165" i="27" s="1"/>
  <c r="AB169" i="27"/>
  <c r="AB167" i="27" s="1"/>
  <c r="AB165" i="27" s="1"/>
  <c r="AA169" i="27"/>
  <c r="AA167" i="27" s="1"/>
  <c r="AA165" i="27" s="1"/>
  <c r="Z169" i="27"/>
  <c r="Z167" i="27" s="1"/>
  <c r="Z165" i="27" s="1"/>
  <c r="Y169" i="27"/>
  <c r="Y167" i="27" s="1"/>
  <c r="Y165" i="27" s="1"/>
  <c r="X169" i="27"/>
  <c r="X167" i="27" s="1"/>
  <c r="X165" i="27" s="1"/>
  <c r="W169" i="27"/>
  <c r="W167" i="27" s="1"/>
  <c r="W165" i="27" s="1"/>
  <c r="V169" i="27"/>
  <c r="V167" i="27" s="1"/>
  <c r="V165" i="27" s="1"/>
  <c r="U169" i="27"/>
  <c r="U167" i="27" s="1"/>
  <c r="U165" i="27" s="1"/>
  <c r="T169" i="27"/>
  <c r="T167" i="27" s="1"/>
  <c r="T165" i="27" s="1"/>
  <c r="S169" i="27"/>
  <c r="S167" i="27" s="1"/>
  <c r="S165" i="27" s="1"/>
  <c r="R169" i="27"/>
  <c r="R167" i="27" s="1"/>
  <c r="R165" i="27" s="1"/>
  <c r="Q169" i="27"/>
  <c r="Q167" i="27" s="1"/>
  <c r="Q165" i="27" s="1"/>
  <c r="P169" i="27"/>
  <c r="O169" i="27"/>
  <c r="O167" i="27" s="1"/>
  <c r="O165" i="27" s="1"/>
  <c r="N169" i="27"/>
  <c r="M169" i="27"/>
  <c r="M167" i="27" s="1"/>
  <c r="M165" i="27" s="1"/>
  <c r="L169" i="27"/>
  <c r="L167" i="27" s="1"/>
  <c r="L165" i="27" s="1"/>
  <c r="K169" i="27"/>
  <c r="K167" i="27" s="1"/>
  <c r="K165" i="27" s="1"/>
  <c r="J169" i="27"/>
  <c r="J167" i="27" s="1"/>
  <c r="J165" i="27" s="1"/>
  <c r="I169" i="27"/>
  <c r="I167" i="27" s="1"/>
  <c r="I165" i="27" s="1"/>
  <c r="H169" i="27"/>
  <c r="H167" i="27" s="1"/>
  <c r="H165" i="27" s="1"/>
  <c r="G169" i="27"/>
  <c r="G167" i="27" s="1"/>
  <c r="G165" i="27" s="1"/>
  <c r="F169" i="27"/>
  <c r="F167" i="27" s="1"/>
  <c r="F165" i="27" s="1"/>
  <c r="E169" i="27"/>
  <c r="E167" i="27" s="1"/>
  <c r="E165" i="27" s="1"/>
  <c r="P167" i="27"/>
  <c r="P165" i="27" s="1"/>
  <c r="N167" i="27"/>
  <c r="N165" i="27" s="1"/>
  <c r="D169" i="27"/>
  <c r="D167" i="27"/>
  <c r="D165" i="27" s="1"/>
  <c r="C169" i="27"/>
  <c r="C167" i="27" s="1"/>
  <c r="C165" i="27" s="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28" i="27"/>
  <c r="C128" i="27"/>
  <c r="D127" i="27"/>
  <c r="C127" i="27"/>
  <c r="D124" i="27"/>
  <c r="D138" i="27" s="1"/>
  <c r="E138" i="27" s="1"/>
  <c r="C124" i="27"/>
  <c r="AH114" i="27"/>
  <c r="AG114" i="27"/>
  <c r="AF114" i="27"/>
  <c r="AE114" i="27"/>
  <c r="AD114" i="27"/>
  <c r="AC114" i="27"/>
  <c r="AB114" i="27"/>
  <c r="AA114" i="27"/>
  <c r="Z114" i="27"/>
  <c r="Y114" i="27"/>
  <c r="X114" i="27"/>
  <c r="W114" i="27"/>
  <c r="V114" i="27"/>
  <c r="U114" i="27"/>
  <c r="T114" i="27"/>
  <c r="S114" i="27"/>
  <c r="R114" i="27"/>
  <c r="Q114" i="27"/>
  <c r="P114" i="27"/>
  <c r="O114" i="27"/>
  <c r="N114" i="27"/>
  <c r="M114" i="27"/>
  <c r="L114" i="27"/>
  <c r="K114" i="27"/>
  <c r="J114" i="27"/>
  <c r="I114" i="27"/>
  <c r="H114" i="27"/>
  <c r="G114" i="27"/>
  <c r="F114" i="27"/>
  <c r="E114" i="27"/>
  <c r="D116" i="27"/>
  <c r="C116" i="27"/>
  <c r="D115" i="27"/>
  <c r="C115" i="27"/>
  <c r="D113" i="27"/>
  <c r="C113" i="27"/>
  <c r="D99" i="27"/>
  <c r="C99" i="27"/>
  <c r="D98" i="27"/>
  <c r="C98" i="27"/>
  <c r="D97" i="27"/>
  <c r="C97" i="27"/>
  <c r="D96" i="27"/>
  <c r="C96" i="27"/>
  <c r="D95" i="27"/>
  <c r="C95" i="27"/>
  <c r="AH82" i="27"/>
  <c r="AH89" i="27" s="1"/>
  <c r="AG82" i="27"/>
  <c r="AG89" i="27" s="1"/>
  <c r="AF82" i="27"/>
  <c r="AF89" i="27" s="1"/>
  <c r="AE82" i="27"/>
  <c r="AE89" i="27" s="1"/>
  <c r="AD82" i="27"/>
  <c r="AD89" i="27" s="1"/>
  <c r="AC82" i="27"/>
  <c r="AC89" i="27" s="1"/>
  <c r="AB82" i="27"/>
  <c r="AB89" i="27" s="1"/>
  <c r="AA82" i="27"/>
  <c r="AA89" i="27" s="1"/>
  <c r="Z82" i="27"/>
  <c r="Z89" i="27" s="1"/>
  <c r="Y82" i="27"/>
  <c r="Y89" i="27" s="1"/>
  <c r="X82" i="27"/>
  <c r="X89" i="27" s="1"/>
  <c r="W82" i="27"/>
  <c r="W89" i="27" s="1"/>
  <c r="V82" i="27"/>
  <c r="V89" i="27" s="1"/>
  <c r="U82" i="27"/>
  <c r="U89" i="27" s="1"/>
  <c r="T82" i="27"/>
  <c r="T89" i="27" s="1"/>
  <c r="S82" i="27"/>
  <c r="S89" i="27" s="1"/>
  <c r="R82" i="27"/>
  <c r="R89" i="27" s="1"/>
  <c r="Q82" i="27"/>
  <c r="Q89" i="27" s="1"/>
  <c r="P82" i="27"/>
  <c r="P89" i="27" s="1"/>
  <c r="O82" i="27"/>
  <c r="O89" i="27" s="1"/>
  <c r="N82" i="27"/>
  <c r="N89" i="27" s="1"/>
  <c r="M82" i="27"/>
  <c r="M89" i="27" s="1"/>
  <c r="L82" i="27"/>
  <c r="L89" i="27" s="1"/>
  <c r="K82" i="27"/>
  <c r="K89" i="27" s="1"/>
  <c r="J82" i="27"/>
  <c r="J89" i="27" s="1"/>
  <c r="I82" i="27"/>
  <c r="I89" i="27" s="1"/>
  <c r="H82" i="27"/>
  <c r="H89" i="27" s="1"/>
  <c r="G82" i="27"/>
  <c r="G89" i="27" s="1"/>
  <c r="F82" i="27"/>
  <c r="F89" i="27" s="1"/>
  <c r="E82" i="27"/>
  <c r="E89" i="27" s="1"/>
  <c r="D81" i="27"/>
  <c r="C81" i="27"/>
  <c r="D80" i="27"/>
  <c r="C80" i="27"/>
  <c r="D73" i="27"/>
  <c r="C73" i="27"/>
  <c r="I65" i="27"/>
  <c r="H65" i="27"/>
  <c r="G65" i="27"/>
  <c r="F65" i="27"/>
  <c r="E65" i="27"/>
  <c r="I64" i="27"/>
  <c r="H64" i="27"/>
  <c r="G64" i="27"/>
  <c r="F64" i="27"/>
  <c r="E64" i="27"/>
  <c r="I63" i="27"/>
  <c r="H63" i="27"/>
  <c r="G63" i="27"/>
  <c r="F63" i="27"/>
  <c r="E63" i="27"/>
  <c r="I62" i="27"/>
  <c r="H62" i="27"/>
  <c r="G62" i="27"/>
  <c r="F62" i="27"/>
  <c r="E62" i="27"/>
  <c r="I61" i="27"/>
  <c r="H61" i="27"/>
  <c r="G61" i="27"/>
  <c r="F61" i="27"/>
  <c r="E61" i="27"/>
  <c r="I60" i="27"/>
  <c r="H60" i="27"/>
  <c r="G60" i="27"/>
  <c r="F60" i="27"/>
  <c r="E60" i="27"/>
  <c r="I59" i="27"/>
  <c r="H59" i="27"/>
  <c r="G59" i="27"/>
  <c r="F59" i="27"/>
  <c r="E59" i="27"/>
  <c r="I58" i="27"/>
  <c r="H58" i="27"/>
  <c r="G58" i="27"/>
  <c r="F58" i="27"/>
  <c r="E58" i="27"/>
  <c r="I57" i="27"/>
  <c r="H57" i="27"/>
  <c r="G57" i="27"/>
  <c r="F57" i="27"/>
  <c r="E57" i="27"/>
  <c r="I56" i="27"/>
  <c r="H56" i="27"/>
  <c r="G56" i="27"/>
  <c r="F56" i="27"/>
  <c r="E56" i="27"/>
  <c r="I52" i="27"/>
  <c r="H52" i="27"/>
  <c r="G52" i="27"/>
  <c r="F52" i="27"/>
  <c r="E52" i="27"/>
  <c r="C52" i="27" s="1"/>
  <c r="I51" i="27"/>
  <c r="H51" i="27"/>
  <c r="G51" i="27"/>
  <c r="F51" i="27"/>
  <c r="E51" i="27"/>
  <c r="D50" i="27"/>
  <c r="C50" i="27"/>
  <c r="D49" i="27"/>
  <c r="C49" i="27"/>
  <c r="D48" i="27"/>
  <c r="C48" i="27"/>
  <c r="D47" i="27"/>
  <c r="C47" i="27"/>
  <c r="D46" i="27"/>
  <c r="C46" i="27"/>
  <c r="D45" i="27"/>
  <c r="C45" i="27"/>
  <c r="D44" i="27"/>
  <c r="C44" i="27"/>
  <c r="D43" i="27"/>
  <c r="C43" i="27"/>
  <c r="D42" i="27"/>
  <c r="C42" i="27"/>
  <c r="D41" i="27"/>
  <c r="C41" i="27"/>
  <c r="I37" i="27"/>
  <c r="H37" i="27"/>
  <c r="G37" i="27"/>
  <c r="F37" i="27"/>
  <c r="E37" i="27"/>
  <c r="I36" i="27"/>
  <c r="H36" i="27"/>
  <c r="G36" i="27"/>
  <c r="F36" i="27"/>
  <c r="E36" i="27"/>
  <c r="D35" i="27"/>
  <c r="C35" i="27"/>
  <c r="D34" i="27"/>
  <c r="C34" i="27"/>
  <c r="D33" i="27"/>
  <c r="C33" i="27"/>
  <c r="D32" i="27"/>
  <c r="C32" i="27"/>
  <c r="D31" i="27"/>
  <c r="C31" i="27"/>
  <c r="D30" i="27"/>
  <c r="C30" i="27"/>
  <c r="D29" i="27"/>
  <c r="C29" i="27"/>
  <c r="D28" i="27"/>
  <c r="C28" i="27"/>
  <c r="D27" i="27"/>
  <c r="C27" i="27"/>
  <c r="D26" i="27"/>
  <c r="C26" i="27"/>
  <c r="D22" i="27"/>
  <c r="C22" i="27"/>
  <c r="D21" i="27"/>
  <c r="C21" i="27"/>
  <c r="E20" i="27"/>
  <c r="E19" i="27"/>
  <c r="E18" i="27"/>
  <c r="E17" i="27"/>
  <c r="E16" i="27"/>
  <c r="E15" i="27"/>
  <c r="E14" i="27"/>
  <c r="E13" i="27"/>
  <c r="E12" i="27"/>
  <c r="E11" i="27"/>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128" i="21"/>
  <c r="C128" i="21"/>
  <c r="D127" i="21"/>
  <c r="C127" i="21"/>
  <c r="D124" i="21"/>
  <c r="C124" i="21"/>
  <c r="D116" i="21"/>
  <c r="C116" i="21"/>
  <c r="D115" i="21"/>
  <c r="C115" i="21"/>
  <c r="D113" i="21"/>
  <c r="C113" i="21"/>
  <c r="D99" i="21"/>
  <c r="C99" i="21"/>
  <c r="D98" i="21"/>
  <c r="C98" i="21"/>
  <c r="D97" i="21"/>
  <c r="C97" i="21"/>
  <c r="D96" i="21"/>
  <c r="C96" i="21"/>
  <c r="D95" i="21"/>
  <c r="C95" i="21"/>
  <c r="D88" i="21"/>
  <c r="C88" i="21"/>
  <c r="D87" i="21"/>
  <c r="C87" i="21"/>
  <c r="D81" i="21"/>
  <c r="C81" i="21"/>
  <c r="D75" i="21"/>
  <c r="C75" i="21"/>
  <c r="I65" i="21"/>
  <c r="H65" i="21"/>
  <c r="G65" i="21"/>
  <c r="F65" i="21"/>
  <c r="E65" i="21"/>
  <c r="I64" i="21"/>
  <c r="H64" i="21"/>
  <c r="G64" i="21"/>
  <c r="F64" i="21"/>
  <c r="E64" i="21"/>
  <c r="I63" i="21"/>
  <c r="H63" i="21"/>
  <c r="G63" i="21"/>
  <c r="F63" i="21"/>
  <c r="E63" i="21"/>
  <c r="I62" i="21"/>
  <c r="H62" i="21"/>
  <c r="G62" i="21"/>
  <c r="F62" i="21"/>
  <c r="E62" i="21"/>
  <c r="I61" i="21"/>
  <c r="H61" i="21"/>
  <c r="G61" i="21"/>
  <c r="F61" i="21"/>
  <c r="E61" i="21"/>
  <c r="I60" i="21"/>
  <c r="H60" i="21"/>
  <c r="G60" i="21"/>
  <c r="F60" i="21"/>
  <c r="E60" i="21"/>
  <c r="I59" i="21"/>
  <c r="H59" i="21"/>
  <c r="G59" i="21"/>
  <c r="F59" i="21"/>
  <c r="E59" i="21"/>
  <c r="I58" i="21"/>
  <c r="H58" i="21"/>
  <c r="G58" i="21"/>
  <c r="F58" i="21"/>
  <c r="E58" i="21"/>
  <c r="I57" i="21"/>
  <c r="H57" i="21"/>
  <c r="G57" i="21"/>
  <c r="F57" i="21"/>
  <c r="E57" i="21"/>
  <c r="I56" i="21"/>
  <c r="H56" i="21"/>
  <c r="G56" i="21"/>
  <c r="F56" i="21"/>
  <c r="E56" i="21"/>
  <c r="I52" i="21"/>
  <c r="H52" i="21"/>
  <c r="G52" i="21"/>
  <c r="F52" i="21"/>
  <c r="E52" i="21"/>
  <c r="I51" i="21"/>
  <c r="H51" i="21"/>
  <c r="G51" i="21"/>
  <c r="F51" i="21"/>
  <c r="E51" i="21"/>
  <c r="D50" i="21"/>
  <c r="C50" i="21"/>
  <c r="D49" i="21"/>
  <c r="C49" i="21"/>
  <c r="D48" i="21"/>
  <c r="C48" i="21"/>
  <c r="D47" i="21"/>
  <c r="C47" i="21"/>
  <c r="D46" i="21"/>
  <c r="C46" i="21"/>
  <c r="D45" i="21"/>
  <c r="C45" i="21"/>
  <c r="D44" i="21"/>
  <c r="C44" i="21"/>
  <c r="D43" i="21"/>
  <c r="C43" i="21"/>
  <c r="D42" i="21"/>
  <c r="C42" i="21"/>
  <c r="D41" i="21"/>
  <c r="C41" i="21"/>
  <c r="D26" i="21"/>
  <c r="D27" i="21"/>
  <c r="D28" i="21"/>
  <c r="D29" i="21"/>
  <c r="D30" i="21"/>
  <c r="D31" i="21"/>
  <c r="D32" i="21"/>
  <c r="D33" i="21"/>
  <c r="D34" i="21"/>
  <c r="D35" i="21"/>
  <c r="I37" i="21"/>
  <c r="H37" i="21"/>
  <c r="G37" i="21"/>
  <c r="F37" i="21"/>
  <c r="E37" i="21"/>
  <c r="I36" i="21"/>
  <c r="H36" i="21"/>
  <c r="G36" i="21"/>
  <c r="F36" i="21"/>
  <c r="E36" i="21"/>
  <c r="C35" i="21"/>
  <c r="C34" i="21"/>
  <c r="C33" i="21"/>
  <c r="C32" i="21"/>
  <c r="C31" i="21"/>
  <c r="C30" i="21"/>
  <c r="C29" i="21"/>
  <c r="C28" i="21"/>
  <c r="C27" i="21"/>
  <c r="C26" i="21"/>
  <c r="D22" i="21"/>
  <c r="C22" i="21"/>
  <c r="D21" i="21"/>
  <c r="C21" i="21"/>
  <c r="E20" i="21"/>
  <c r="E19" i="21"/>
  <c r="E18" i="21"/>
  <c r="E17" i="21"/>
  <c r="E16" i="21"/>
  <c r="E15" i="21"/>
  <c r="E14" i="21"/>
  <c r="E13" i="21"/>
  <c r="E12" i="21"/>
  <c r="E11" i="21"/>
  <c r="C182" i="18"/>
  <c r="C180" i="18" s="1"/>
  <c r="C137" i="18"/>
  <c r="C136"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I134" i="18" s="1"/>
  <c r="G170" i="18" s="1"/>
  <c r="G190" i="18" s="1"/>
  <c r="H123" i="18"/>
  <c r="H134" i="18" s="1"/>
  <c r="F170" i="18" s="1"/>
  <c r="F190" i="18" s="1"/>
  <c r="G123" i="18"/>
  <c r="G134" i="18" s="1"/>
  <c r="E170" i="18" s="1"/>
  <c r="E190" i="18" s="1"/>
  <c r="F123" i="18"/>
  <c r="F134" i="18" s="1"/>
  <c r="D170" i="18" s="1"/>
  <c r="D190" i="18" s="1"/>
  <c r="E123" i="18"/>
  <c r="E134" i="18" s="1"/>
  <c r="C170" i="18" s="1"/>
  <c r="C190" i="18" s="1"/>
  <c r="C191" i="18" s="1"/>
  <c r="C125" i="18"/>
  <c r="C124" i="18"/>
  <c r="C114" i="18"/>
  <c r="C113" i="18"/>
  <c r="C112" i="18"/>
  <c r="C111" i="18"/>
  <c r="C110"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AF154" i="13"/>
  <c r="AF152" i="13" s="1"/>
  <c r="AF150" i="13" s="1"/>
  <c r="AE154" i="13"/>
  <c r="AE152" i="13" s="1"/>
  <c r="AE150" i="13" s="1"/>
  <c r="AD154" i="13"/>
  <c r="AD152" i="13" s="1"/>
  <c r="AD150" i="13" s="1"/>
  <c r="AC154" i="13"/>
  <c r="AC152" i="13" s="1"/>
  <c r="AC150" i="13" s="1"/>
  <c r="AB154" i="13"/>
  <c r="AB152" i="13" s="1"/>
  <c r="AB150" i="13" s="1"/>
  <c r="AA154" i="13"/>
  <c r="AA152" i="13" s="1"/>
  <c r="AA150" i="13" s="1"/>
  <c r="Z154" i="13"/>
  <c r="Z152" i="13" s="1"/>
  <c r="Z150" i="13" s="1"/>
  <c r="Y154" i="13"/>
  <c r="Y152" i="13" s="1"/>
  <c r="Y150" i="13" s="1"/>
  <c r="X154" i="13"/>
  <c r="X152" i="13" s="1"/>
  <c r="X150" i="13" s="1"/>
  <c r="W154" i="13"/>
  <c r="W152" i="13" s="1"/>
  <c r="W150" i="13" s="1"/>
  <c r="V154" i="13"/>
  <c r="V152" i="13" s="1"/>
  <c r="V150" i="13" s="1"/>
  <c r="U154" i="13"/>
  <c r="U152" i="13" s="1"/>
  <c r="U150" i="13" s="1"/>
  <c r="T154" i="13"/>
  <c r="T152" i="13" s="1"/>
  <c r="T150" i="13" s="1"/>
  <c r="S154" i="13"/>
  <c r="S152" i="13" s="1"/>
  <c r="S150" i="13" s="1"/>
  <c r="R154" i="13"/>
  <c r="R152" i="13" s="1"/>
  <c r="R150" i="13" s="1"/>
  <c r="Q154" i="13"/>
  <c r="Q152" i="13" s="1"/>
  <c r="Q150" i="13" s="1"/>
  <c r="P154" i="13"/>
  <c r="P152" i="13" s="1"/>
  <c r="P150" i="13" s="1"/>
  <c r="O154" i="13"/>
  <c r="O152" i="13" s="1"/>
  <c r="O150" i="13" s="1"/>
  <c r="N154" i="13"/>
  <c r="N152" i="13" s="1"/>
  <c r="N150" i="13" s="1"/>
  <c r="M154" i="13"/>
  <c r="M152" i="13" s="1"/>
  <c r="M150" i="13" s="1"/>
  <c r="L154" i="13"/>
  <c r="L152" i="13" s="1"/>
  <c r="L150" i="13" s="1"/>
  <c r="K154" i="13"/>
  <c r="K152" i="13" s="1"/>
  <c r="K150" i="13" s="1"/>
  <c r="J154" i="13"/>
  <c r="J152" i="13" s="1"/>
  <c r="J150" i="13" s="1"/>
  <c r="I154" i="13"/>
  <c r="I152" i="13" s="1"/>
  <c r="I150" i="13" s="1"/>
  <c r="H154" i="13"/>
  <c r="H152" i="13" s="1"/>
  <c r="H150" i="13" s="1"/>
  <c r="G154" i="13"/>
  <c r="G152" i="13" s="1"/>
  <c r="F154" i="13"/>
  <c r="F152" i="13" s="1"/>
  <c r="E154" i="13"/>
  <c r="E152" i="13" s="1"/>
  <c r="D154" i="13"/>
  <c r="D152" i="13" s="1"/>
  <c r="C154" i="13"/>
  <c r="C152" i="13" s="1"/>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C88" i="18"/>
  <c r="C87" i="18"/>
  <c r="C81" i="18"/>
  <c r="C75" i="18"/>
  <c r="I65" i="18"/>
  <c r="H65" i="18"/>
  <c r="G65" i="18"/>
  <c r="F65" i="18"/>
  <c r="E65" i="18"/>
  <c r="I64" i="18"/>
  <c r="H64" i="18"/>
  <c r="G64" i="18"/>
  <c r="F64" i="18"/>
  <c r="E64" i="18"/>
  <c r="I63" i="18"/>
  <c r="H63" i="18"/>
  <c r="G63" i="18"/>
  <c r="F63" i="18"/>
  <c r="E63" i="18"/>
  <c r="I62" i="18"/>
  <c r="H62" i="18"/>
  <c r="G62" i="18"/>
  <c r="F62" i="18"/>
  <c r="E62" i="18"/>
  <c r="I61" i="18"/>
  <c r="H61" i="18"/>
  <c r="G61" i="18"/>
  <c r="F61" i="18"/>
  <c r="E61" i="18"/>
  <c r="I60" i="18"/>
  <c r="H60" i="18"/>
  <c r="G60" i="18"/>
  <c r="F60" i="18"/>
  <c r="E60" i="18"/>
  <c r="I59" i="18"/>
  <c r="H59" i="18"/>
  <c r="G59" i="18"/>
  <c r="F59" i="18"/>
  <c r="E59" i="18"/>
  <c r="I58" i="18"/>
  <c r="H58" i="18"/>
  <c r="G58" i="18"/>
  <c r="F58" i="18"/>
  <c r="E58" i="18"/>
  <c r="I57" i="18"/>
  <c r="H57" i="18"/>
  <c r="G57" i="18"/>
  <c r="F57" i="18"/>
  <c r="E57" i="18"/>
  <c r="I56" i="18"/>
  <c r="H56" i="18"/>
  <c r="G56" i="18"/>
  <c r="F56" i="18"/>
  <c r="E56" i="18"/>
  <c r="I52" i="18"/>
  <c r="H52" i="18"/>
  <c r="G52" i="18"/>
  <c r="F52" i="18"/>
  <c r="E52" i="18"/>
  <c r="C51" i="18"/>
  <c r="C50" i="18"/>
  <c r="C49" i="18"/>
  <c r="C48" i="18"/>
  <c r="C47" i="18"/>
  <c r="C46" i="18"/>
  <c r="C45" i="18"/>
  <c r="C44" i="18"/>
  <c r="C43" i="18"/>
  <c r="C42" i="18"/>
  <c r="C41" i="18"/>
  <c r="I37" i="18"/>
  <c r="G177" i="18" s="1"/>
  <c r="H37" i="18"/>
  <c r="F177" i="18" s="1"/>
  <c r="G37" i="18"/>
  <c r="E177" i="18" s="1"/>
  <c r="F37" i="18"/>
  <c r="D177" i="18" s="1"/>
  <c r="E37" i="18"/>
  <c r="C177" i="18" s="1"/>
  <c r="C35" i="18"/>
  <c r="C34" i="18"/>
  <c r="C33" i="18"/>
  <c r="C32" i="18"/>
  <c r="C31" i="18"/>
  <c r="C30" i="18"/>
  <c r="C29" i="18"/>
  <c r="C28" i="18"/>
  <c r="C27" i="18"/>
  <c r="C26" i="18"/>
  <c r="D22" i="18"/>
  <c r="C22" i="18"/>
  <c r="E20" i="18"/>
  <c r="E19" i="18"/>
  <c r="E18" i="18"/>
  <c r="E17" i="18"/>
  <c r="E16" i="18"/>
  <c r="E15" i="18"/>
  <c r="E14" i="18"/>
  <c r="E13" i="18"/>
  <c r="E12" i="18"/>
  <c r="E11" i="18"/>
  <c r="C116" i="13"/>
  <c r="C115" i="13"/>
  <c r="C99" i="13"/>
  <c r="C98" i="13"/>
  <c r="C97" i="13"/>
  <c r="C96" i="13"/>
  <c r="C95" i="13"/>
  <c r="C89" i="13"/>
  <c r="C86" i="13"/>
  <c r="C80" i="13"/>
  <c r="C75" i="13"/>
  <c r="I65" i="13"/>
  <c r="H65" i="13"/>
  <c r="G65" i="13"/>
  <c r="F65" i="13"/>
  <c r="E65" i="13"/>
  <c r="I64" i="13"/>
  <c r="H64" i="13"/>
  <c r="G64" i="13"/>
  <c r="F64" i="13"/>
  <c r="E64" i="13"/>
  <c r="I63" i="13"/>
  <c r="H63" i="13"/>
  <c r="G63" i="13"/>
  <c r="F63" i="13"/>
  <c r="E63" i="13"/>
  <c r="I62" i="13"/>
  <c r="H62" i="13"/>
  <c r="G62" i="13"/>
  <c r="F62" i="13"/>
  <c r="E62" i="13"/>
  <c r="I61" i="13"/>
  <c r="H61" i="13"/>
  <c r="G61" i="13"/>
  <c r="F61" i="13"/>
  <c r="E61" i="13"/>
  <c r="I60" i="13"/>
  <c r="H60" i="13"/>
  <c r="G60" i="13"/>
  <c r="F60" i="13"/>
  <c r="E60" i="13"/>
  <c r="I59" i="13"/>
  <c r="H59" i="13"/>
  <c r="G59" i="13"/>
  <c r="F59" i="13"/>
  <c r="E59" i="13"/>
  <c r="I58" i="13"/>
  <c r="H58" i="13"/>
  <c r="G58" i="13"/>
  <c r="F58" i="13"/>
  <c r="E58" i="13"/>
  <c r="I57" i="13"/>
  <c r="H57" i="13"/>
  <c r="G57" i="13"/>
  <c r="F57" i="13"/>
  <c r="E57" i="13"/>
  <c r="I56" i="13"/>
  <c r="H56" i="13"/>
  <c r="G56" i="13"/>
  <c r="F56" i="13"/>
  <c r="E56" i="13"/>
  <c r="I52" i="13"/>
  <c r="H52" i="13"/>
  <c r="G52" i="13"/>
  <c r="F52" i="13"/>
  <c r="E52" i="13"/>
  <c r="C51" i="13"/>
  <c r="C50" i="13"/>
  <c r="C49" i="13"/>
  <c r="C48" i="13"/>
  <c r="C47" i="13"/>
  <c r="C46" i="13"/>
  <c r="C45" i="13"/>
  <c r="C44" i="13"/>
  <c r="C43" i="13"/>
  <c r="C42" i="13"/>
  <c r="C41" i="13"/>
  <c r="I36" i="13"/>
  <c r="H36" i="13"/>
  <c r="G36" i="13"/>
  <c r="F36" i="13"/>
  <c r="E36" i="13"/>
  <c r="C35" i="13"/>
  <c r="C34" i="13"/>
  <c r="C33" i="13"/>
  <c r="C32" i="13"/>
  <c r="C30" i="13"/>
  <c r="C28" i="13"/>
  <c r="C27" i="13"/>
  <c r="I37" i="13"/>
  <c r="G149" i="13" s="1"/>
  <c r="H37" i="13"/>
  <c r="F149" i="13" s="1"/>
  <c r="G37" i="13"/>
  <c r="E149" i="13" s="1"/>
  <c r="F37" i="13"/>
  <c r="D149" i="13" s="1"/>
  <c r="C26" i="13"/>
  <c r="E14" i="13"/>
  <c r="C21" i="13"/>
  <c r="D21" i="13"/>
  <c r="D22" i="13"/>
  <c r="E20" i="13"/>
  <c r="E19" i="13"/>
  <c r="E18" i="13"/>
  <c r="E17" i="13"/>
  <c r="E16" i="13"/>
  <c r="E15" i="13"/>
  <c r="E13" i="13"/>
  <c r="E12" i="13"/>
  <c r="C22" i="13"/>
  <c r="E36" i="40"/>
  <c r="F36" i="40" s="1"/>
  <c r="G36" i="40" s="1"/>
  <c r="H36" i="40" s="1"/>
  <c r="I36" i="40" s="1"/>
  <c r="E22" i="40"/>
  <c r="F22" i="40" s="1"/>
  <c r="G22" i="40" s="1"/>
  <c r="H22" i="40" s="1"/>
  <c r="I22" i="40" s="1"/>
  <c r="G8" i="40"/>
  <c r="H8" i="40" s="1"/>
  <c r="I8" i="40" s="1"/>
  <c r="F8" i="40"/>
  <c r="E8" i="40"/>
  <c r="D36" i="8"/>
  <c r="D30" i="8"/>
  <c r="K125" i="21" l="1"/>
  <c r="L125" i="21"/>
  <c r="X125" i="21"/>
  <c r="Y125" i="21"/>
  <c r="N125" i="21"/>
  <c r="Z125" i="21"/>
  <c r="O125" i="21"/>
  <c r="AB125" i="21"/>
  <c r="Q125" i="21"/>
  <c r="R125" i="21"/>
  <c r="AD125" i="21"/>
  <c r="G125" i="21"/>
  <c r="S125" i="21"/>
  <c r="AE125" i="21"/>
  <c r="H125" i="21"/>
  <c r="T125" i="21"/>
  <c r="AF125" i="21"/>
  <c r="I125" i="21"/>
  <c r="U125" i="21"/>
  <c r="AG125" i="21"/>
  <c r="W125" i="21"/>
  <c r="M125" i="21"/>
  <c r="AA125" i="21"/>
  <c r="P125" i="21"/>
  <c r="E125" i="21"/>
  <c r="AC125" i="21"/>
  <c r="F125" i="21"/>
  <c r="J125" i="21"/>
  <c r="V125" i="21"/>
  <c r="AH125" i="21"/>
  <c r="C95" i="18"/>
  <c r="D148" i="18"/>
  <c r="E148" i="18" s="1"/>
  <c r="D150" i="18"/>
  <c r="E150" i="18" s="1"/>
  <c r="C97" i="18"/>
  <c r="Z134" i="18"/>
  <c r="C176" i="18"/>
  <c r="Q134" i="18"/>
  <c r="R134" i="18"/>
  <c r="U134" i="18"/>
  <c r="AG134" i="18"/>
  <c r="J134" i="18"/>
  <c r="V134" i="18"/>
  <c r="AH134" i="18"/>
  <c r="N134" i="18"/>
  <c r="O134" i="18"/>
  <c r="AA134" i="18"/>
  <c r="AB134" i="18"/>
  <c r="AC134" i="18"/>
  <c r="AD134" i="18"/>
  <c r="S134" i="18"/>
  <c r="AE134" i="18"/>
  <c r="T134" i="18"/>
  <c r="AF134" i="18"/>
  <c r="C96" i="18"/>
  <c r="D149" i="18"/>
  <c r="E149" i="18" s="1"/>
  <c r="K134" i="18"/>
  <c r="W134" i="18"/>
  <c r="P134" i="18"/>
  <c r="L134" i="18"/>
  <c r="X134" i="18"/>
  <c r="M134" i="18"/>
  <c r="Y134" i="18"/>
  <c r="J125" i="27"/>
  <c r="V125" i="27"/>
  <c r="AH125" i="27"/>
  <c r="K125" i="27"/>
  <c r="W125" i="27"/>
  <c r="L125" i="27"/>
  <c r="X125" i="27"/>
  <c r="M125" i="27"/>
  <c r="Y125" i="27"/>
  <c r="AA125" i="27"/>
  <c r="AB125" i="27"/>
  <c r="Q125" i="27"/>
  <c r="R125" i="27"/>
  <c r="AD125" i="27"/>
  <c r="G125" i="27"/>
  <c r="S125" i="27"/>
  <c r="AE125" i="27"/>
  <c r="F125" i="27"/>
  <c r="H125" i="27"/>
  <c r="T125" i="27"/>
  <c r="AF125" i="27"/>
  <c r="N125" i="27"/>
  <c r="Z125" i="27"/>
  <c r="O125" i="27"/>
  <c r="P125" i="27"/>
  <c r="E125" i="27"/>
  <c r="C157" i="27" s="1"/>
  <c r="AC125" i="27"/>
  <c r="I125" i="27"/>
  <c r="U125" i="27"/>
  <c r="AG125" i="27"/>
  <c r="L142" i="13"/>
  <c r="X142" i="13"/>
  <c r="M142" i="13"/>
  <c r="Y142" i="13"/>
  <c r="T142" i="13"/>
  <c r="AF142" i="13"/>
  <c r="I142" i="13"/>
  <c r="U142" i="13"/>
  <c r="J142" i="13"/>
  <c r="V142" i="13"/>
  <c r="W142" i="13"/>
  <c r="N142" i="13"/>
  <c r="Z142" i="13"/>
  <c r="O142" i="13"/>
  <c r="AA142" i="13"/>
  <c r="D142" i="13"/>
  <c r="D162" i="13" s="1"/>
  <c r="E142" i="13"/>
  <c r="E162" i="13" s="1"/>
  <c r="Q142" i="13"/>
  <c r="AC142" i="13"/>
  <c r="K142" i="13"/>
  <c r="P142" i="13"/>
  <c r="F142" i="13"/>
  <c r="F162" i="13" s="1"/>
  <c r="R142" i="13"/>
  <c r="AD142" i="13"/>
  <c r="H142" i="13"/>
  <c r="C142" i="13"/>
  <c r="C162" i="13" s="1"/>
  <c r="C163" i="13" s="1"/>
  <c r="AB142" i="13"/>
  <c r="G142" i="13"/>
  <c r="G162" i="13" s="1"/>
  <c r="S142" i="13"/>
  <c r="AE142" i="13"/>
  <c r="D52" i="27"/>
  <c r="D37" i="27"/>
  <c r="E22" i="27"/>
  <c r="D63" i="27"/>
  <c r="D61" i="27"/>
  <c r="C37" i="27"/>
  <c r="D65" i="27"/>
  <c r="D60" i="27"/>
  <c r="D58" i="27"/>
  <c r="C63" i="27"/>
  <c r="C65" i="27"/>
  <c r="G67" i="27"/>
  <c r="C61" i="27"/>
  <c r="I67" i="27"/>
  <c r="E21" i="27"/>
  <c r="E66" i="27"/>
  <c r="D59" i="27"/>
  <c r="D89" i="27"/>
  <c r="D139" i="27" s="1"/>
  <c r="E139" i="27" s="1"/>
  <c r="G66" i="27"/>
  <c r="D57" i="27"/>
  <c r="I66" i="27"/>
  <c r="D51" i="27"/>
  <c r="C56" i="27"/>
  <c r="C58" i="27"/>
  <c r="C60" i="27"/>
  <c r="D56" i="27"/>
  <c r="E67" i="27"/>
  <c r="D82" i="27"/>
  <c r="F67" i="27"/>
  <c r="D67" i="27" s="1"/>
  <c r="D64" i="27"/>
  <c r="D36" i="27"/>
  <c r="H67" i="27"/>
  <c r="D62" i="27"/>
  <c r="E21" i="21"/>
  <c r="D52" i="21"/>
  <c r="D36" i="21"/>
  <c r="C52" i="21"/>
  <c r="D62" i="21"/>
  <c r="E22" i="21"/>
  <c r="C60" i="21"/>
  <c r="C58" i="21"/>
  <c r="D59" i="21"/>
  <c r="C37" i="21"/>
  <c r="D64" i="21"/>
  <c r="C63" i="21"/>
  <c r="D63" i="21"/>
  <c r="C61" i="21"/>
  <c r="D61" i="21"/>
  <c r="G67" i="21"/>
  <c r="C56" i="21"/>
  <c r="D56" i="21"/>
  <c r="H67" i="21"/>
  <c r="D37" i="21"/>
  <c r="I67" i="21"/>
  <c r="D58" i="21"/>
  <c r="D60" i="21"/>
  <c r="E66" i="21"/>
  <c r="D57" i="21"/>
  <c r="C65" i="21"/>
  <c r="D65" i="21"/>
  <c r="G66" i="21"/>
  <c r="I66" i="21"/>
  <c r="D51" i="21"/>
  <c r="E67" i="21"/>
  <c r="D114" i="21"/>
  <c r="F67" i="21"/>
  <c r="C114" i="21"/>
  <c r="E21" i="18"/>
  <c r="E22" i="18"/>
  <c r="C65" i="18"/>
  <c r="C63" i="18"/>
  <c r="C61" i="18"/>
  <c r="C60" i="13"/>
  <c r="C58" i="13"/>
  <c r="C56" i="13"/>
  <c r="C65" i="13"/>
  <c r="C63" i="13"/>
  <c r="E66" i="13"/>
  <c r="C61" i="13"/>
  <c r="H66" i="13"/>
  <c r="I66" i="13"/>
  <c r="D114" i="27"/>
  <c r="C114" i="27"/>
  <c r="C89" i="27"/>
  <c r="C82" i="27"/>
  <c r="F66" i="27"/>
  <c r="H66" i="27"/>
  <c r="C62" i="27"/>
  <c r="C57" i="27"/>
  <c r="C64" i="27"/>
  <c r="C59" i="27"/>
  <c r="C51" i="27"/>
  <c r="C36" i="27"/>
  <c r="D89" i="21"/>
  <c r="C89" i="21"/>
  <c r="F66" i="21"/>
  <c r="H66" i="21"/>
  <c r="C62" i="21"/>
  <c r="C57" i="21"/>
  <c r="C64" i="21"/>
  <c r="C59" i="21"/>
  <c r="C51" i="21"/>
  <c r="C36" i="21"/>
  <c r="C123" i="18"/>
  <c r="F66" i="13"/>
  <c r="G66" i="13"/>
  <c r="E67" i="13"/>
  <c r="E113" i="13" s="1"/>
  <c r="C114" i="13"/>
  <c r="F67" i="13"/>
  <c r="F113" i="13" s="1"/>
  <c r="D141" i="13" s="1"/>
  <c r="G67" i="13"/>
  <c r="G113" i="13" s="1"/>
  <c r="E141" i="13" s="1"/>
  <c r="C52" i="13"/>
  <c r="D125" i="13" s="1"/>
  <c r="E125" i="13" s="1"/>
  <c r="H67" i="13"/>
  <c r="H113" i="13" s="1"/>
  <c r="F141" i="13" s="1"/>
  <c r="F146" i="13" s="1"/>
  <c r="I67" i="13"/>
  <c r="I113" i="13" s="1"/>
  <c r="G141" i="13" s="1"/>
  <c r="C58" i="18"/>
  <c r="C52" i="18"/>
  <c r="D155" i="18" s="1"/>
  <c r="E155" i="18" s="1"/>
  <c r="E66" i="18"/>
  <c r="H67" i="18"/>
  <c r="H122" i="18" s="1"/>
  <c r="H133" i="18" s="1"/>
  <c r="I67" i="18"/>
  <c r="I122" i="18" s="1"/>
  <c r="I133" i="18" s="1"/>
  <c r="G66" i="18"/>
  <c r="I66" i="18"/>
  <c r="C56" i="18"/>
  <c r="C60" i="18"/>
  <c r="E67" i="18"/>
  <c r="E122" i="18" s="1"/>
  <c r="F67" i="18"/>
  <c r="F122" i="18" s="1"/>
  <c r="F133" i="18" s="1"/>
  <c r="C37" i="18"/>
  <c r="D154" i="18" s="1"/>
  <c r="G67" i="18"/>
  <c r="G122" i="18" s="1"/>
  <c r="G133" i="18" s="1"/>
  <c r="C89" i="18"/>
  <c r="F66" i="18"/>
  <c r="H66" i="18"/>
  <c r="C62" i="18"/>
  <c r="C57" i="18"/>
  <c r="C64" i="18"/>
  <c r="C59" i="18"/>
  <c r="C36" i="18"/>
  <c r="C62" i="13"/>
  <c r="C57" i="13"/>
  <c r="C64" i="13"/>
  <c r="C59" i="13"/>
  <c r="C31" i="13"/>
  <c r="E37" i="13"/>
  <c r="C149" i="13" s="1"/>
  <c r="C29" i="13"/>
  <c r="C36" i="13"/>
  <c r="E22" i="13"/>
  <c r="E11" i="13"/>
  <c r="E21" i="13"/>
  <c r="AE28" i="17"/>
  <c r="AD28" i="17"/>
  <c r="AC28" i="17"/>
  <c r="AB28" i="17"/>
  <c r="AA28" i="17"/>
  <c r="Y28" i="17"/>
  <c r="X28" i="17"/>
  <c r="S28" i="17"/>
  <c r="R28" i="17"/>
  <c r="Q28" i="17"/>
  <c r="P28" i="17"/>
  <c r="O28" i="17"/>
  <c r="N28" i="17"/>
  <c r="M28" i="17"/>
  <c r="L28" i="17"/>
  <c r="G28" i="17"/>
  <c r="F28" i="17"/>
  <c r="E28" i="17"/>
  <c r="AC27" i="17"/>
  <c r="X27" i="17"/>
  <c r="Q27" i="17"/>
  <c r="N27" i="17"/>
  <c r="M27" i="17"/>
  <c r="L27" i="17"/>
  <c r="K27" i="17"/>
  <c r="H27" i="17"/>
  <c r="G27" i="17"/>
  <c r="F27" i="17"/>
  <c r="E27" i="17"/>
  <c r="AG22" i="17"/>
  <c r="AF22" i="17"/>
  <c r="AE22" i="17"/>
  <c r="AD22" i="17"/>
  <c r="AC22" i="17"/>
  <c r="AB22" i="17"/>
  <c r="AA22" i="17"/>
  <c r="Z22" i="17"/>
  <c r="Y22" i="17"/>
  <c r="X22" i="17"/>
  <c r="W22" i="17"/>
  <c r="V22" i="17"/>
  <c r="U22" i="17"/>
  <c r="T22" i="17"/>
  <c r="S22" i="17"/>
  <c r="R22" i="17"/>
  <c r="Q22" i="17"/>
  <c r="P22" i="17"/>
  <c r="O22" i="17"/>
  <c r="N22" i="17"/>
  <c r="M22" i="17"/>
  <c r="L22" i="17"/>
  <c r="K22" i="17"/>
  <c r="J22" i="17"/>
  <c r="I22" i="17"/>
  <c r="H22" i="17"/>
  <c r="G22" i="17"/>
  <c r="F22" i="17"/>
  <c r="E22" i="17"/>
  <c r="AG21" i="17"/>
  <c r="AF21" i="17"/>
  <c r="AE21" i="17"/>
  <c r="AD21" i="17"/>
  <c r="AC21" i="17"/>
  <c r="AB21" i="17"/>
  <c r="AA21" i="17"/>
  <c r="Z21" i="17"/>
  <c r="Y21" i="17"/>
  <c r="X21" i="17"/>
  <c r="W21" i="17"/>
  <c r="V21" i="17"/>
  <c r="U21" i="17"/>
  <c r="T21" i="17"/>
  <c r="S21" i="17"/>
  <c r="R21" i="17"/>
  <c r="Q21" i="17"/>
  <c r="P21" i="17"/>
  <c r="O21" i="17"/>
  <c r="N21" i="17"/>
  <c r="M21" i="17"/>
  <c r="L21" i="17"/>
  <c r="K21" i="17"/>
  <c r="J21" i="17"/>
  <c r="I21" i="17"/>
  <c r="H21" i="17"/>
  <c r="G21" i="17"/>
  <c r="F21" i="17"/>
  <c r="E21" i="17"/>
  <c r="D28" i="17"/>
  <c r="D27" i="17"/>
  <c r="D22" i="17"/>
  <c r="D21" i="17"/>
  <c r="AE13" i="17"/>
  <c r="AD13" i="17"/>
  <c r="AC13" i="17"/>
  <c r="AB13" i="17"/>
  <c r="AA13" i="17"/>
  <c r="Z13" i="17"/>
  <c r="Y13" i="17"/>
  <c r="X13" i="17"/>
  <c r="S13" i="17"/>
  <c r="R13" i="17"/>
  <c r="Q13" i="17"/>
  <c r="P13" i="17"/>
  <c r="O13" i="17"/>
  <c r="N13" i="17"/>
  <c r="M13" i="17"/>
  <c r="L13" i="17"/>
  <c r="G13" i="17"/>
  <c r="F13" i="17"/>
  <c r="E13" i="17"/>
  <c r="D13" i="17"/>
  <c r="AG12" i="17"/>
  <c r="AF12" i="17"/>
  <c r="AE12" i="17"/>
  <c r="AD12" i="17"/>
  <c r="AC12" i="17"/>
  <c r="AB12" i="17"/>
  <c r="AA12" i="17"/>
  <c r="Z12" i="17"/>
  <c r="Y12" i="17"/>
  <c r="X12" i="17"/>
  <c r="W12" i="17"/>
  <c r="V12" i="17"/>
  <c r="U12" i="17"/>
  <c r="T12" i="17"/>
  <c r="S12" i="17"/>
  <c r="R12" i="17"/>
  <c r="Q12" i="17"/>
  <c r="P12" i="17"/>
  <c r="O12" i="17"/>
  <c r="N12" i="17"/>
  <c r="M12" i="17"/>
  <c r="L12" i="17"/>
  <c r="K12" i="17"/>
  <c r="J12" i="17"/>
  <c r="I12" i="17"/>
  <c r="H12" i="17"/>
  <c r="G12" i="17"/>
  <c r="F12" i="17"/>
  <c r="E12" i="17"/>
  <c r="D12" i="17"/>
  <c r="AE11" i="17"/>
  <c r="AD11" i="17"/>
  <c r="AC11" i="17"/>
  <c r="AB11" i="17"/>
  <c r="AA11" i="17"/>
  <c r="Z11" i="17"/>
  <c r="Y11" i="17"/>
  <c r="X11" i="17"/>
  <c r="W11" i="17"/>
  <c r="V11" i="17"/>
  <c r="S11" i="17"/>
  <c r="R11" i="17"/>
  <c r="Q11" i="17"/>
  <c r="P11" i="17"/>
  <c r="O11" i="17"/>
  <c r="N11" i="17"/>
  <c r="M11" i="17"/>
  <c r="L11" i="17"/>
  <c r="K11" i="17"/>
  <c r="J11" i="17"/>
  <c r="G11" i="17"/>
  <c r="F11" i="17"/>
  <c r="E11" i="17"/>
  <c r="AG10" i="17"/>
  <c r="AF10" i="17"/>
  <c r="AE10" i="17"/>
  <c r="AD10" i="17"/>
  <c r="AC10" i="17"/>
  <c r="AB10" i="17"/>
  <c r="AA10" i="17"/>
  <c r="Z10" i="17"/>
  <c r="Y10" i="17"/>
  <c r="X10" i="17"/>
  <c r="W10" i="17"/>
  <c r="V10" i="17"/>
  <c r="U10" i="17"/>
  <c r="T10" i="17"/>
  <c r="S10" i="17"/>
  <c r="R10" i="17"/>
  <c r="Q10" i="17"/>
  <c r="P10" i="17"/>
  <c r="O10" i="17"/>
  <c r="N10" i="17"/>
  <c r="M10" i="17"/>
  <c r="L10" i="17"/>
  <c r="K10" i="17"/>
  <c r="J10" i="17"/>
  <c r="I10" i="17"/>
  <c r="H10" i="17"/>
  <c r="G10" i="17"/>
  <c r="F10" i="17"/>
  <c r="E10" i="17"/>
  <c r="D10" i="17"/>
  <c r="C98" i="18" l="1"/>
  <c r="I126" i="27"/>
  <c r="G157" i="27"/>
  <c r="S126" i="27"/>
  <c r="Q157" i="27"/>
  <c r="K126" i="27"/>
  <c r="I157" i="27"/>
  <c r="AC126" i="27"/>
  <c r="AA157" i="27"/>
  <c r="AF126" i="27"/>
  <c r="AD157" i="27"/>
  <c r="Y126" i="27"/>
  <c r="W157" i="27"/>
  <c r="C177" i="27"/>
  <c r="C178" i="27" s="1"/>
  <c r="C161" i="27"/>
  <c r="T126" i="27"/>
  <c r="R157" i="27"/>
  <c r="AD126" i="27"/>
  <c r="AB157" i="27"/>
  <c r="M126" i="27"/>
  <c r="K157" i="27"/>
  <c r="V126" i="27"/>
  <c r="T157" i="27"/>
  <c r="P126" i="27"/>
  <c r="N157" i="27"/>
  <c r="R126" i="27"/>
  <c r="P157" i="27"/>
  <c r="X126" i="27"/>
  <c r="V157" i="27"/>
  <c r="AG126" i="27"/>
  <c r="AE157" i="27"/>
  <c r="O126" i="27"/>
  <c r="M157" i="27"/>
  <c r="F126" i="27"/>
  <c r="D157" i="27"/>
  <c r="Q126" i="27"/>
  <c r="O157" i="27"/>
  <c r="L126" i="27"/>
  <c r="J157" i="27"/>
  <c r="U126" i="27"/>
  <c r="S157" i="27"/>
  <c r="Z126" i="27"/>
  <c r="X157" i="27"/>
  <c r="AE126" i="27"/>
  <c r="AC157" i="27"/>
  <c r="AB126" i="27"/>
  <c r="Z157" i="27"/>
  <c r="W126" i="27"/>
  <c r="U157" i="27"/>
  <c r="N126" i="27"/>
  <c r="L157" i="27"/>
  <c r="AA126" i="27"/>
  <c r="Y157" i="27"/>
  <c r="G126" i="27"/>
  <c r="E157" i="27"/>
  <c r="AH126" i="27"/>
  <c r="AF157" i="27"/>
  <c r="H126" i="27"/>
  <c r="F157" i="27"/>
  <c r="J126" i="27"/>
  <c r="H157" i="27"/>
  <c r="H155" i="21"/>
  <c r="J126" i="21"/>
  <c r="N155" i="21"/>
  <c r="P126" i="21"/>
  <c r="AD155" i="21"/>
  <c r="AF126" i="21"/>
  <c r="W155" i="21"/>
  <c r="Y126" i="21"/>
  <c r="Y155" i="21"/>
  <c r="AA126" i="21"/>
  <c r="AE155" i="21"/>
  <c r="AG126" i="21"/>
  <c r="D155" i="21"/>
  <c r="F126" i="21"/>
  <c r="R155" i="21"/>
  <c r="T126" i="21"/>
  <c r="S155" i="21"/>
  <c r="U126" i="21"/>
  <c r="V155" i="21"/>
  <c r="X126" i="21"/>
  <c r="F155" i="21"/>
  <c r="H126" i="21"/>
  <c r="M155" i="21"/>
  <c r="O126" i="21"/>
  <c r="J155" i="21"/>
  <c r="L126" i="21"/>
  <c r="AF155" i="21"/>
  <c r="AH126" i="21"/>
  <c r="C155" i="21"/>
  <c r="D125" i="21"/>
  <c r="C125" i="21"/>
  <c r="E126" i="21"/>
  <c r="X155" i="21"/>
  <c r="Z126" i="21"/>
  <c r="AB155" i="21"/>
  <c r="AD126" i="21"/>
  <c r="T155" i="21"/>
  <c r="V126" i="21"/>
  <c r="U155" i="21"/>
  <c r="W126" i="21"/>
  <c r="AC155" i="21"/>
  <c r="AE126" i="21"/>
  <c r="O155" i="21"/>
  <c r="Q126" i="21"/>
  <c r="I155" i="21"/>
  <c r="K126" i="21"/>
  <c r="Q155" i="21"/>
  <c r="S126" i="21"/>
  <c r="E155" i="21"/>
  <c r="G126" i="21"/>
  <c r="Z155" i="21"/>
  <c r="AB126" i="21"/>
  <c r="AA155" i="21"/>
  <c r="AC126" i="21"/>
  <c r="K155" i="21"/>
  <c r="M126" i="21"/>
  <c r="G155" i="21"/>
  <c r="I126" i="21"/>
  <c r="P155" i="21"/>
  <c r="R126" i="21"/>
  <c r="L155" i="21"/>
  <c r="N126" i="21"/>
  <c r="D191" i="18"/>
  <c r="D192" i="18" s="1"/>
  <c r="AE170" i="18"/>
  <c r="AG135" i="18"/>
  <c r="N170" i="18"/>
  <c r="P135" i="18"/>
  <c r="AC170" i="18"/>
  <c r="AE135" i="18"/>
  <c r="S170" i="18"/>
  <c r="U135" i="18"/>
  <c r="P170" i="18"/>
  <c r="R135" i="18"/>
  <c r="O170" i="18"/>
  <c r="Q135" i="18"/>
  <c r="AA170" i="18"/>
  <c r="AC135" i="18"/>
  <c r="T170" i="18"/>
  <c r="V135" i="18"/>
  <c r="D176" i="18"/>
  <c r="E191" i="18"/>
  <c r="E192" i="18" s="1"/>
  <c r="AA135" i="18"/>
  <c r="Y170" i="18"/>
  <c r="O135" i="18"/>
  <c r="M170" i="18"/>
  <c r="C134" i="18"/>
  <c r="Y135" i="18"/>
  <c r="W170" i="18"/>
  <c r="N135" i="18"/>
  <c r="L170" i="18"/>
  <c r="M135" i="18"/>
  <c r="K170" i="18"/>
  <c r="AF170" i="18"/>
  <c r="AH135" i="18"/>
  <c r="X135" i="18"/>
  <c r="V170" i="18"/>
  <c r="R170" i="18"/>
  <c r="T135" i="18"/>
  <c r="Q170" i="18"/>
  <c r="S135" i="18"/>
  <c r="AB170" i="18"/>
  <c r="AD135" i="18"/>
  <c r="AD170" i="18"/>
  <c r="AF135" i="18"/>
  <c r="Z170" i="18"/>
  <c r="AB135" i="18"/>
  <c r="H170" i="18"/>
  <c r="J135" i="18"/>
  <c r="Z135" i="18"/>
  <c r="X170" i="18"/>
  <c r="U170" i="18"/>
  <c r="W135" i="18"/>
  <c r="I170" i="18"/>
  <c r="K135" i="18"/>
  <c r="L135" i="18"/>
  <c r="J170" i="18"/>
  <c r="F169" i="18"/>
  <c r="H135" i="18"/>
  <c r="F135" i="18"/>
  <c r="D169" i="18"/>
  <c r="E133" i="18"/>
  <c r="C122" i="18"/>
  <c r="E169" i="18"/>
  <c r="G135" i="18"/>
  <c r="E154" i="18"/>
  <c r="D160" i="18"/>
  <c r="D159" i="18"/>
  <c r="E159" i="18" s="1"/>
  <c r="D156" i="18"/>
  <c r="E156" i="18" s="1"/>
  <c r="G169" i="18"/>
  <c r="I135" i="18"/>
  <c r="E126" i="27"/>
  <c r="D125" i="27"/>
  <c r="C125" i="27"/>
  <c r="AA162" i="13"/>
  <c r="AA146" i="13"/>
  <c r="H162" i="13"/>
  <c r="H146" i="13"/>
  <c r="AC162" i="13"/>
  <c r="AC146" i="13"/>
  <c r="O162" i="13"/>
  <c r="O146" i="13"/>
  <c r="M162" i="13"/>
  <c r="M146" i="13"/>
  <c r="AB162" i="13"/>
  <c r="AB146" i="13"/>
  <c r="T162" i="13"/>
  <c r="T146" i="13"/>
  <c r="C148" i="13"/>
  <c r="D163" i="13"/>
  <c r="D164" i="13" s="1"/>
  <c r="Y162" i="13"/>
  <c r="Y146" i="13"/>
  <c r="D151" i="13"/>
  <c r="D150" i="13" s="1"/>
  <c r="D146" i="13"/>
  <c r="AE162" i="13"/>
  <c r="AE146" i="13"/>
  <c r="AD162" i="13"/>
  <c r="AD146" i="13"/>
  <c r="Q162" i="13"/>
  <c r="Q146" i="13"/>
  <c r="C141" i="13"/>
  <c r="C146" i="13" s="1"/>
  <c r="C113" i="13"/>
  <c r="X162" i="13"/>
  <c r="X146" i="13"/>
  <c r="S162" i="13"/>
  <c r="S146" i="13"/>
  <c r="R162" i="13"/>
  <c r="R146" i="13"/>
  <c r="N162" i="13"/>
  <c r="N146" i="13"/>
  <c r="I162" i="13"/>
  <c r="I146" i="13"/>
  <c r="C151" i="13"/>
  <c r="C150" i="13" s="1"/>
  <c r="L162" i="13"/>
  <c r="L146" i="13"/>
  <c r="P162" i="13"/>
  <c r="P146" i="13"/>
  <c r="V162" i="13"/>
  <c r="V146" i="13"/>
  <c r="Z162" i="13"/>
  <c r="Z146" i="13"/>
  <c r="W162" i="13"/>
  <c r="W146" i="13"/>
  <c r="K162" i="13"/>
  <c r="K146" i="13"/>
  <c r="E151" i="13"/>
  <c r="E150" i="13" s="1"/>
  <c r="E146" i="13"/>
  <c r="J162" i="13"/>
  <c r="J146" i="13"/>
  <c r="U162" i="13"/>
  <c r="U146" i="13"/>
  <c r="G151" i="13"/>
  <c r="G150" i="13" s="1"/>
  <c r="G146" i="13"/>
  <c r="AF162" i="13"/>
  <c r="AF146" i="13"/>
  <c r="F151" i="13"/>
  <c r="F150" i="13" s="1"/>
  <c r="D66" i="27"/>
  <c r="C67" i="27"/>
  <c r="C66" i="27"/>
  <c r="C66" i="21"/>
  <c r="D67" i="21"/>
  <c r="C67" i="21"/>
  <c r="D66" i="21"/>
  <c r="C66" i="18"/>
  <c r="D147" i="18"/>
  <c r="E147" i="18" s="1"/>
  <c r="C66" i="13"/>
  <c r="C67" i="13"/>
  <c r="C67" i="18"/>
  <c r="C37" i="13"/>
  <c r="D124" i="13" s="1"/>
  <c r="Y27" i="17"/>
  <c r="V27" i="17"/>
  <c r="W27" i="17"/>
  <c r="J27" i="17"/>
  <c r="I27" i="17"/>
  <c r="H11" i="17"/>
  <c r="T11" i="17"/>
  <c r="AF11" i="17"/>
  <c r="H13" i="17"/>
  <c r="T13" i="17"/>
  <c r="AF13" i="17"/>
  <c r="H28" i="17"/>
  <c r="T28" i="17"/>
  <c r="AF28" i="17"/>
  <c r="I11" i="17"/>
  <c r="U11" i="17"/>
  <c r="AG11" i="17"/>
  <c r="I13" i="17"/>
  <c r="U13" i="17"/>
  <c r="I28" i="17"/>
  <c r="U28" i="17"/>
  <c r="AG28" i="17"/>
  <c r="AG13" i="17"/>
  <c r="J13" i="17"/>
  <c r="V13" i="17"/>
  <c r="O27" i="17"/>
  <c r="AA27" i="17"/>
  <c r="J28" i="17"/>
  <c r="V28" i="17"/>
  <c r="Z27" i="17"/>
  <c r="D11" i="17"/>
  <c r="K13" i="17"/>
  <c r="W13" i="17"/>
  <c r="P27" i="17"/>
  <c r="AB27" i="17"/>
  <c r="K28" i="17"/>
  <c r="W28" i="17"/>
  <c r="AD27" i="17"/>
  <c r="AE27" i="17"/>
  <c r="R27" i="17"/>
  <c r="AF27" i="17"/>
  <c r="S27" i="17"/>
  <c r="AG27" i="17"/>
  <c r="T27" i="17"/>
  <c r="Z28" i="17"/>
  <c r="U27" i="17"/>
  <c r="M177" i="27" l="1"/>
  <c r="M161" i="27"/>
  <c r="K177" i="27"/>
  <c r="K161" i="27"/>
  <c r="AA177" i="27"/>
  <c r="AA161" i="27"/>
  <c r="N177" i="27"/>
  <c r="N161" i="27"/>
  <c r="F177" i="27"/>
  <c r="F161" i="27"/>
  <c r="Z177" i="27"/>
  <c r="Z161" i="27"/>
  <c r="D177" i="27"/>
  <c r="D161" i="27"/>
  <c r="T177" i="27"/>
  <c r="T161" i="27"/>
  <c r="AD177" i="27"/>
  <c r="AD161" i="27"/>
  <c r="E177" i="27"/>
  <c r="E161" i="27"/>
  <c r="I177" i="27"/>
  <c r="I161" i="27"/>
  <c r="Y177" i="27"/>
  <c r="Y161" i="27"/>
  <c r="L177" i="27"/>
  <c r="L161" i="27"/>
  <c r="O177" i="27"/>
  <c r="O161" i="27"/>
  <c r="W177" i="27"/>
  <c r="W161" i="27"/>
  <c r="AF177" i="27"/>
  <c r="AF161" i="27"/>
  <c r="AC177" i="27"/>
  <c r="AC161" i="27"/>
  <c r="X177" i="27"/>
  <c r="X161" i="27"/>
  <c r="AE177" i="27"/>
  <c r="AE161" i="27"/>
  <c r="AB177" i="27"/>
  <c r="AB161" i="27"/>
  <c r="S177" i="27"/>
  <c r="S161" i="27"/>
  <c r="V177" i="27"/>
  <c r="V161" i="27"/>
  <c r="R177" i="27"/>
  <c r="R161" i="27"/>
  <c r="Q177" i="27"/>
  <c r="Q161" i="27"/>
  <c r="J177" i="27"/>
  <c r="J161" i="27"/>
  <c r="P177" i="27"/>
  <c r="P161" i="27"/>
  <c r="G177" i="27"/>
  <c r="G161" i="27"/>
  <c r="H177" i="27"/>
  <c r="H161" i="27"/>
  <c r="U177" i="27"/>
  <c r="U161" i="27"/>
  <c r="C163" i="27"/>
  <c r="C173" i="27" s="1"/>
  <c r="C174" i="27" s="1"/>
  <c r="C175" i="27" s="1"/>
  <c r="D178" i="27"/>
  <c r="D179" i="27" s="1"/>
  <c r="AE175" i="21"/>
  <c r="AE159" i="21"/>
  <c r="I175" i="21"/>
  <c r="I159" i="21"/>
  <c r="F175" i="21"/>
  <c r="F159" i="21"/>
  <c r="D126" i="21"/>
  <c r="C126" i="21"/>
  <c r="K175" i="21"/>
  <c r="K159" i="21"/>
  <c r="O175" i="21"/>
  <c r="O159" i="21"/>
  <c r="V175" i="21"/>
  <c r="V159" i="21"/>
  <c r="W175" i="21"/>
  <c r="W159" i="21"/>
  <c r="C175" i="21"/>
  <c r="C176" i="21" s="1"/>
  <c r="C159" i="21"/>
  <c r="AD175" i="21"/>
  <c r="AD159" i="21"/>
  <c r="Z175" i="21"/>
  <c r="Z159" i="21"/>
  <c r="U175" i="21"/>
  <c r="U159" i="21"/>
  <c r="AF175" i="21"/>
  <c r="AF159" i="21"/>
  <c r="R175" i="21"/>
  <c r="R159" i="21"/>
  <c r="N175" i="21"/>
  <c r="N159" i="21"/>
  <c r="P175" i="21"/>
  <c r="P159" i="21"/>
  <c r="Q175" i="21"/>
  <c r="Q159" i="21"/>
  <c r="AB175" i="21"/>
  <c r="AB159" i="21"/>
  <c r="M175" i="21"/>
  <c r="M159" i="21"/>
  <c r="G175" i="21"/>
  <c r="G159" i="21"/>
  <c r="X175" i="21"/>
  <c r="X159" i="21"/>
  <c r="Y175" i="21"/>
  <c r="Y159" i="21"/>
  <c r="AA175" i="21"/>
  <c r="AA159" i="21"/>
  <c r="AC175" i="21"/>
  <c r="AC159" i="21"/>
  <c r="S175" i="21"/>
  <c r="S159" i="21"/>
  <c r="L175" i="21"/>
  <c r="L159" i="21"/>
  <c r="E175" i="21"/>
  <c r="E159" i="21"/>
  <c r="T175" i="21"/>
  <c r="T159" i="21"/>
  <c r="J175" i="21"/>
  <c r="J159" i="21"/>
  <c r="D175" i="21"/>
  <c r="D159" i="21"/>
  <c r="H175" i="21"/>
  <c r="H159" i="21"/>
  <c r="C158" i="13"/>
  <c r="C159" i="13" s="1"/>
  <c r="C160" i="13" s="1"/>
  <c r="Q190" i="18"/>
  <c r="Q174" i="18"/>
  <c r="O190" i="18"/>
  <c r="O174" i="18"/>
  <c r="S190" i="18"/>
  <c r="S174" i="18"/>
  <c r="Z190" i="18"/>
  <c r="Z174" i="18"/>
  <c r="AF190" i="18"/>
  <c r="AF174" i="18"/>
  <c r="K190" i="18"/>
  <c r="K174" i="18"/>
  <c r="AD190" i="18"/>
  <c r="AD174" i="18"/>
  <c r="M190" i="18"/>
  <c r="M174" i="18"/>
  <c r="P190" i="18"/>
  <c r="P174" i="18"/>
  <c r="Y190" i="18"/>
  <c r="Y174" i="18"/>
  <c r="E176" i="18"/>
  <c r="J190" i="18"/>
  <c r="J174" i="18"/>
  <c r="AC190" i="18"/>
  <c r="AC174" i="18"/>
  <c r="L190" i="18"/>
  <c r="L174" i="18"/>
  <c r="T190" i="18"/>
  <c r="T174" i="18"/>
  <c r="N190" i="18"/>
  <c r="N174" i="18"/>
  <c r="X190" i="18"/>
  <c r="X174" i="18"/>
  <c r="AB190" i="18"/>
  <c r="AB174" i="18"/>
  <c r="U190" i="18"/>
  <c r="U174" i="18"/>
  <c r="R190" i="18"/>
  <c r="R174" i="18"/>
  <c r="V190" i="18"/>
  <c r="V174" i="18"/>
  <c r="H190" i="18"/>
  <c r="H174" i="18"/>
  <c r="I190" i="18"/>
  <c r="I174" i="18"/>
  <c r="W174" i="18"/>
  <c r="W190" i="18"/>
  <c r="AA190" i="18"/>
  <c r="AA174" i="18"/>
  <c r="AE190" i="18"/>
  <c r="AE174" i="18"/>
  <c r="E160" i="18"/>
  <c r="D161" i="18"/>
  <c r="E161" i="18" s="1"/>
  <c r="E174" i="18"/>
  <c r="E179" i="18"/>
  <c r="E178" i="18" s="1"/>
  <c r="C169" i="18"/>
  <c r="C133" i="18"/>
  <c r="E135" i="18"/>
  <c r="D179" i="18"/>
  <c r="D178" i="18" s="1"/>
  <c r="D186" i="18" s="1"/>
  <c r="D174" i="18"/>
  <c r="G179" i="18"/>
  <c r="G178" i="18" s="1"/>
  <c r="G174" i="18"/>
  <c r="F179" i="18"/>
  <c r="F178" i="18" s="1"/>
  <c r="F174" i="18"/>
  <c r="D126" i="27"/>
  <c r="C126" i="27"/>
  <c r="E124" i="13"/>
  <c r="D127" i="13"/>
  <c r="D148" i="13"/>
  <c r="D158" i="13" s="1"/>
  <c r="D159" i="13" s="1"/>
  <c r="C61" i="40"/>
  <c r="C62" i="40"/>
  <c r="D61" i="40"/>
  <c r="D62" i="40"/>
  <c r="E69" i="8"/>
  <c r="E70" i="8"/>
  <c r="E71" i="8"/>
  <c r="E72" i="8"/>
  <c r="E73" i="8"/>
  <c r="E74" i="8"/>
  <c r="E75" i="8"/>
  <c r="E76" i="8"/>
  <c r="D69" i="8"/>
  <c r="D70" i="8"/>
  <c r="D71" i="8"/>
  <c r="D72" i="8"/>
  <c r="D73" i="8"/>
  <c r="D74" i="8"/>
  <c r="D75" i="8"/>
  <c r="D76" i="8"/>
  <c r="D160" i="13" l="1"/>
  <c r="D163" i="27"/>
  <c r="D173" i="27" s="1"/>
  <c r="D174" i="27" s="1"/>
  <c r="D175" i="27" s="1"/>
  <c r="C161" i="21"/>
  <c r="C171" i="21" s="1"/>
  <c r="C172" i="21" s="1"/>
  <c r="C173" i="21" s="1"/>
  <c r="D176" i="21"/>
  <c r="D177" i="21" s="1"/>
  <c r="E163" i="13"/>
  <c r="E164" i="13" s="1"/>
  <c r="E186" i="18"/>
  <c r="E187" i="18" s="1"/>
  <c r="E188" i="18" s="1"/>
  <c r="F191" i="18"/>
  <c r="F192" i="18" s="1"/>
  <c r="D187" i="18"/>
  <c r="D188" i="18" s="1"/>
  <c r="C179" i="18"/>
  <c r="C178" i="18" s="1"/>
  <c r="C186" i="18" s="1"/>
  <c r="C174" i="18"/>
  <c r="C135" i="18"/>
  <c r="D162" i="18"/>
  <c r="E162" i="18" s="1"/>
  <c r="D131" i="13"/>
  <c r="D130" i="13"/>
  <c r="E130" i="13" s="1"/>
  <c r="E127" i="13"/>
  <c r="E148" i="13"/>
  <c r="E158" i="13" s="1"/>
  <c r="E159" i="13" s="1"/>
  <c r="E160" i="13" s="1"/>
  <c r="D132" i="13"/>
  <c r="E132" i="13" s="1"/>
  <c r="AH41" i="46"/>
  <c r="AG41" i="46"/>
  <c r="AF41" i="46"/>
  <c r="AE41" i="46"/>
  <c r="AD41" i="46"/>
  <c r="AC41" i="46"/>
  <c r="AB41" i="46"/>
  <c r="AA41" i="46"/>
  <c r="Z41" i="46"/>
  <c r="Y41" i="46"/>
  <c r="X41" i="46"/>
  <c r="W41" i="46"/>
  <c r="V41" i="46"/>
  <c r="U41" i="46"/>
  <c r="T41" i="46"/>
  <c r="S41" i="46"/>
  <c r="R41" i="46"/>
  <c r="Q41" i="46"/>
  <c r="P41" i="46"/>
  <c r="O41" i="46"/>
  <c r="N41" i="46"/>
  <c r="M41" i="46"/>
  <c r="L41" i="46"/>
  <c r="K41" i="46"/>
  <c r="J41" i="46"/>
  <c r="I41" i="46"/>
  <c r="H41" i="46"/>
  <c r="G41" i="46"/>
  <c r="F41" i="46"/>
  <c r="AI37" i="46"/>
  <c r="AH37" i="46"/>
  <c r="AG37" i="46"/>
  <c r="AF37" i="46"/>
  <c r="AE37" i="46"/>
  <c r="AD37" i="46"/>
  <c r="AC37" i="46"/>
  <c r="AB37" i="46"/>
  <c r="AA37" i="46"/>
  <c r="Z37" i="46"/>
  <c r="Y37" i="46"/>
  <c r="X37" i="46"/>
  <c r="W37" i="46"/>
  <c r="V37" i="46"/>
  <c r="U37" i="46"/>
  <c r="T37" i="46"/>
  <c r="S37" i="46"/>
  <c r="R37" i="46"/>
  <c r="Q37" i="46"/>
  <c r="P37" i="46"/>
  <c r="O37" i="46"/>
  <c r="N37" i="46"/>
  <c r="M37" i="46"/>
  <c r="L37" i="46"/>
  <c r="K37" i="46"/>
  <c r="E178" i="27" l="1"/>
  <c r="E179" i="27" s="1"/>
  <c r="D161" i="21"/>
  <c r="D171" i="21" s="1"/>
  <c r="D172" i="21" s="1"/>
  <c r="D173" i="21" s="1"/>
  <c r="F163" i="13"/>
  <c r="F164" i="13" s="1"/>
  <c r="F176" i="18"/>
  <c r="F186" i="18" s="1"/>
  <c r="F187" i="18" s="1"/>
  <c r="F188" i="18" s="1"/>
  <c r="C187" i="18"/>
  <c r="C188" i="18" s="1"/>
  <c r="F148" i="13"/>
  <c r="F158" i="13" s="1"/>
  <c r="F159" i="13" s="1"/>
  <c r="F160" i="13" s="1"/>
  <c r="G163" i="13"/>
  <c r="G164" i="13" s="1"/>
  <c r="E131" i="13"/>
  <c r="D133" i="13"/>
  <c r="E133" i="13" s="1"/>
  <c r="AI68" i="46"/>
  <c r="AH68" i="46"/>
  <c r="AG68" i="46"/>
  <c r="AF68" i="46"/>
  <c r="AE68" i="46"/>
  <c r="AD68" i="46"/>
  <c r="AC68" i="46"/>
  <c r="AB68" i="46"/>
  <c r="AA68" i="46"/>
  <c r="Z68" i="46"/>
  <c r="Y68" i="46"/>
  <c r="X68" i="46"/>
  <c r="W68" i="46"/>
  <c r="V68" i="46"/>
  <c r="U68" i="46"/>
  <c r="T68" i="46"/>
  <c r="S68" i="46"/>
  <c r="R68" i="46"/>
  <c r="Q68" i="46"/>
  <c r="P68" i="46"/>
  <c r="O68" i="46"/>
  <c r="N68" i="46"/>
  <c r="M68" i="46"/>
  <c r="L68" i="46"/>
  <c r="K68" i="46"/>
  <c r="E63" i="46"/>
  <c r="D63" i="46"/>
  <c r="E62" i="46"/>
  <c r="D62" i="46"/>
  <c r="E61" i="46"/>
  <c r="D61" i="46"/>
  <c r="E60" i="46"/>
  <c r="D60" i="46"/>
  <c r="AI59" i="46"/>
  <c r="AI76" i="46" s="1"/>
  <c r="AH59" i="46"/>
  <c r="AH76" i="46" s="1"/>
  <c r="AG59" i="46"/>
  <c r="AG76" i="46" s="1"/>
  <c r="AF59" i="46"/>
  <c r="AF76" i="46" s="1"/>
  <c r="AE59" i="46"/>
  <c r="AE76" i="46" s="1"/>
  <c r="AD59" i="46"/>
  <c r="AD76" i="46" s="1"/>
  <c r="AC59" i="46"/>
  <c r="AC76" i="46" s="1"/>
  <c r="AB59" i="46"/>
  <c r="AB76" i="46" s="1"/>
  <c r="AA59" i="46"/>
  <c r="AA76" i="46" s="1"/>
  <c r="Z59" i="46"/>
  <c r="Z76" i="46" s="1"/>
  <c r="Y59" i="46"/>
  <c r="Y76" i="46" s="1"/>
  <c r="X59" i="46"/>
  <c r="X76" i="46" s="1"/>
  <c r="W59" i="46"/>
  <c r="W76" i="46" s="1"/>
  <c r="V59" i="46"/>
  <c r="V76" i="46" s="1"/>
  <c r="U59" i="46"/>
  <c r="U76" i="46" s="1"/>
  <c r="T59" i="46"/>
  <c r="T76" i="46" s="1"/>
  <c r="S59" i="46"/>
  <c r="R59" i="46"/>
  <c r="Q59" i="46"/>
  <c r="Q76" i="46" s="1"/>
  <c r="P59" i="46"/>
  <c r="P76" i="46" s="1"/>
  <c r="O59" i="46"/>
  <c r="O76" i="46" s="1"/>
  <c r="N59" i="46"/>
  <c r="N76" i="46" s="1"/>
  <c r="M59" i="46"/>
  <c r="M76" i="46" s="1"/>
  <c r="L59" i="46"/>
  <c r="L76" i="46" s="1"/>
  <c r="K59" i="46"/>
  <c r="K76" i="46" s="1"/>
  <c r="J59" i="46"/>
  <c r="J76" i="46" s="1"/>
  <c r="I59" i="46"/>
  <c r="I76" i="46" s="1"/>
  <c r="H59" i="46"/>
  <c r="H76" i="46" s="1"/>
  <c r="G59" i="46"/>
  <c r="F59" i="46"/>
  <c r="E58" i="46"/>
  <c r="D58" i="46"/>
  <c r="E57" i="46"/>
  <c r="D57" i="46"/>
  <c r="E56" i="46"/>
  <c r="D56" i="46"/>
  <c r="E55" i="46"/>
  <c r="D55" i="46"/>
  <c r="AI54" i="46"/>
  <c r="AI75" i="46" s="1"/>
  <c r="AH54" i="46"/>
  <c r="AG54" i="46"/>
  <c r="AG75" i="46" s="1"/>
  <c r="AF54" i="46"/>
  <c r="AF75" i="46" s="1"/>
  <c r="AE54" i="46"/>
  <c r="AE75" i="46" s="1"/>
  <c r="AD54" i="46"/>
  <c r="AD75" i="46" s="1"/>
  <c r="AC54" i="46"/>
  <c r="AC75" i="46" s="1"/>
  <c r="AB54" i="46"/>
  <c r="AB75" i="46" s="1"/>
  <c r="AA54" i="46"/>
  <c r="AA75" i="46" s="1"/>
  <c r="Z54" i="46"/>
  <c r="Z75" i="46" s="1"/>
  <c r="Y54" i="46"/>
  <c r="Y75" i="46" s="1"/>
  <c r="X54" i="46"/>
  <c r="X75" i="46" s="1"/>
  <c r="W54" i="46"/>
  <c r="W75" i="46" s="1"/>
  <c r="V54" i="46"/>
  <c r="V75" i="46" s="1"/>
  <c r="U54" i="46"/>
  <c r="U75" i="46" s="1"/>
  <c r="T54" i="46"/>
  <c r="S54" i="46"/>
  <c r="S75" i="46" s="1"/>
  <c r="R54" i="46"/>
  <c r="R75" i="46" s="1"/>
  <c r="Q54" i="46"/>
  <c r="Q75" i="46" s="1"/>
  <c r="P54" i="46"/>
  <c r="P75" i="46" s="1"/>
  <c r="O54" i="46"/>
  <c r="O75" i="46" s="1"/>
  <c r="N54" i="46"/>
  <c r="N75" i="46" s="1"/>
  <c r="M54" i="46"/>
  <c r="M75" i="46" s="1"/>
  <c r="L54" i="46"/>
  <c r="L75" i="46" s="1"/>
  <c r="K54" i="46"/>
  <c r="K75" i="46" s="1"/>
  <c r="J54" i="46"/>
  <c r="J75" i="46" s="1"/>
  <c r="I54" i="46"/>
  <c r="I75" i="46" s="1"/>
  <c r="H54" i="46"/>
  <c r="G54" i="46"/>
  <c r="G75" i="46" s="1"/>
  <c r="F54" i="46"/>
  <c r="F75" i="46" s="1"/>
  <c r="E53" i="46"/>
  <c r="D53" i="46"/>
  <c r="E52" i="46"/>
  <c r="D52" i="46"/>
  <c r="E51" i="46"/>
  <c r="D51" i="46"/>
  <c r="E50" i="46"/>
  <c r="D50" i="46"/>
  <c r="AI49" i="46"/>
  <c r="AH49" i="46"/>
  <c r="AH74" i="46" s="1"/>
  <c r="AG49" i="46"/>
  <c r="AG74" i="46" s="1"/>
  <c r="AF49" i="46"/>
  <c r="AF74" i="46" s="1"/>
  <c r="AE49" i="46"/>
  <c r="AE74" i="46" s="1"/>
  <c r="AD49" i="46"/>
  <c r="AD74" i="46" s="1"/>
  <c r="AC49" i="46"/>
  <c r="AC74" i="46" s="1"/>
  <c r="AB49" i="46"/>
  <c r="AA49" i="46"/>
  <c r="Z49" i="46"/>
  <c r="Y49" i="46"/>
  <c r="Y74" i="46" s="1"/>
  <c r="X49" i="46"/>
  <c r="W49" i="46"/>
  <c r="V49" i="46"/>
  <c r="U49" i="46"/>
  <c r="U74" i="46" s="1"/>
  <c r="T49" i="46"/>
  <c r="T74" i="46" s="1"/>
  <c r="S49" i="46"/>
  <c r="S74" i="46" s="1"/>
  <c r="R49" i="46"/>
  <c r="R74" i="46" s="1"/>
  <c r="Q49" i="46"/>
  <c r="Q74" i="46" s="1"/>
  <c r="P49" i="46"/>
  <c r="P74" i="46" s="1"/>
  <c r="O49" i="46"/>
  <c r="O74" i="46" s="1"/>
  <c r="N49" i="46"/>
  <c r="N74" i="46" s="1"/>
  <c r="M49" i="46"/>
  <c r="M74" i="46" s="1"/>
  <c r="L49" i="46"/>
  <c r="K49" i="46"/>
  <c r="J49" i="46"/>
  <c r="I49" i="46"/>
  <c r="I74" i="46" s="1"/>
  <c r="H49" i="46"/>
  <c r="H74" i="46" s="1"/>
  <c r="G49" i="46"/>
  <c r="G74" i="46" s="1"/>
  <c r="F49" i="46"/>
  <c r="F74" i="46" s="1"/>
  <c r="AI26" i="46"/>
  <c r="AI30" i="46" s="1"/>
  <c r="AI40" i="46" s="1"/>
  <c r="AI71" i="46" s="1"/>
  <c r="AH26" i="46"/>
  <c r="AH30" i="46" s="1"/>
  <c r="AH40" i="46" s="1"/>
  <c r="AH71" i="46" s="1"/>
  <c r="AG26" i="46"/>
  <c r="AG30" i="46" s="1"/>
  <c r="AG40" i="46" s="1"/>
  <c r="AG71" i="46" s="1"/>
  <c r="AF26" i="46"/>
  <c r="AE26" i="46"/>
  <c r="AD26" i="46"/>
  <c r="AC26" i="46"/>
  <c r="AC30" i="46" s="1"/>
  <c r="AC40" i="46" s="1"/>
  <c r="AC71" i="46" s="1"/>
  <c r="AB26" i="46"/>
  <c r="AB30" i="46" s="1"/>
  <c r="AB40" i="46" s="1"/>
  <c r="AA26" i="46"/>
  <c r="AA30" i="46" s="1"/>
  <c r="AA40" i="46" s="1"/>
  <c r="Z26" i="46"/>
  <c r="Z30" i="46" s="1"/>
  <c r="Z40" i="46" s="1"/>
  <c r="Z71" i="46" s="1"/>
  <c r="Y26" i="46"/>
  <c r="X26" i="46"/>
  <c r="W26" i="46"/>
  <c r="V26" i="46"/>
  <c r="V30" i="46" s="1"/>
  <c r="V40" i="46" s="1"/>
  <c r="V71" i="46" s="1"/>
  <c r="U26" i="46"/>
  <c r="U30" i="46" s="1"/>
  <c r="U40" i="46" s="1"/>
  <c r="U71" i="46" s="1"/>
  <c r="T26" i="46"/>
  <c r="S26" i="46"/>
  <c r="R26" i="46"/>
  <c r="Q26" i="46"/>
  <c r="Q30" i="46" s="1"/>
  <c r="Q40" i="46" s="1"/>
  <c r="Q71" i="46" s="1"/>
  <c r="P26" i="46"/>
  <c r="P30" i="46" s="1"/>
  <c r="P40" i="46" s="1"/>
  <c r="P71" i="46" s="1"/>
  <c r="O26" i="46"/>
  <c r="O30" i="46" s="1"/>
  <c r="O40" i="46" s="1"/>
  <c r="N26" i="46"/>
  <c r="N30" i="46" s="1"/>
  <c r="N40" i="46" s="1"/>
  <c r="N71" i="46" s="1"/>
  <c r="M26" i="46"/>
  <c r="L26" i="46"/>
  <c r="K26" i="46"/>
  <c r="J26" i="46"/>
  <c r="J30" i="46" s="1"/>
  <c r="J40" i="46" s="1"/>
  <c r="J71" i="46" s="1"/>
  <c r="I26" i="46"/>
  <c r="I30" i="46" s="1"/>
  <c r="I40" i="46" s="1"/>
  <c r="I71" i="46" s="1"/>
  <c r="H26" i="46"/>
  <c r="G26" i="46"/>
  <c r="F26" i="46"/>
  <c r="AI20" i="46"/>
  <c r="AI24" i="46" s="1"/>
  <c r="AI39" i="46" s="1"/>
  <c r="AH20" i="46"/>
  <c r="AG20" i="46"/>
  <c r="AG24" i="46" s="1"/>
  <c r="AG39" i="46" s="1"/>
  <c r="AF20" i="46"/>
  <c r="AE20" i="46"/>
  <c r="AD20" i="46"/>
  <c r="AC20" i="46"/>
  <c r="AC24" i="46" s="1"/>
  <c r="AC39" i="46" s="1"/>
  <c r="AC70" i="46" s="1"/>
  <c r="AB20" i="46"/>
  <c r="AA20" i="46"/>
  <c r="AA24" i="46" s="1"/>
  <c r="AA39" i="46" s="1"/>
  <c r="AA70" i="46" s="1"/>
  <c r="Z20" i="46"/>
  <c r="Y20" i="46"/>
  <c r="X20" i="46"/>
  <c r="W20" i="46"/>
  <c r="W24" i="46" s="1"/>
  <c r="W39" i="46" s="1"/>
  <c r="V20" i="46"/>
  <c r="U20" i="46"/>
  <c r="U24" i="46" s="1"/>
  <c r="U39" i="46" s="1"/>
  <c r="T20" i="46"/>
  <c r="S20" i="46"/>
  <c r="S24" i="46" s="1"/>
  <c r="S39" i="46" s="1"/>
  <c r="R20" i="46"/>
  <c r="Q20" i="46"/>
  <c r="Q24" i="46" s="1"/>
  <c r="Q39" i="46" s="1"/>
  <c r="Q70" i="46" s="1"/>
  <c r="P20" i="46"/>
  <c r="O20" i="46"/>
  <c r="O24" i="46" s="1"/>
  <c r="O39" i="46" s="1"/>
  <c r="O70" i="46" s="1"/>
  <c r="N20" i="46"/>
  <c r="N24" i="46" s="1"/>
  <c r="N39" i="46" s="1"/>
  <c r="N70" i="46" s="1"/>
  <c r="M20" i="46"/>
  <c r="L20" i="46"/>
  <c r="K20" i="46"/>
  <c r="K24" i="46" s="1"/>
  <c r="K39" i="46" s="1"/>
  <c r="J20" i="46"/>
  <c r="J24" i="46" s="1"/>
  <c r="J39" i="46" s="1"/>
  <c r="I20" i="46"/>
  <c r="H20" i="46"/>
  <c r="H24" i="46" s="1"/>
  <c r="H39" i="46" s="1"/>
  <c r="G20" i="46"/>
  <c r="F20" i="46"/>
  <c r="D159" i="40"/>
  <c r="C159" i="40"/>
  <c r="E102" i="40"/>
  <c r="AH89" i="40"/>
  <c r="AG89" i="40"/>
  <c r="AF89" i="40"/>
  <c r="AE89" i="40"/>
  <c r="AD89" i="40"/>
  <c r="AD90" i="40" s="1"/>
  <c r="AC89" i="40"/>
  <c r="AA137" i="40" s="1"/>
  <c r="AB89" i="40"/>
  <c r="Z137" i="40" s="1"/>
  <c r="AA89" i="40"/>
  <c r="Z89" i="40"/>
  <c r="Y89" i="40"/>
  <c r="X89" i="40"/>
  <c r="W89" i="40"/>
  <c r="V89" i="40"/>
  <c r="U89" i="40"/>
  <c r="T89" i="40"/>
  <c r="S89" i="40"/>
  <c r="R89" i="40"/>
  <c r="Q89" i="40"/>
  <c r="O137" i="40" s="1"/>
  <c r="P89" i="40"/>
  <c r="N137" i="40" s="1"/>
  <c r="O89" i="40"/>
  <c r="N89" i="40"/>
  <c r="M89" i="40"/>
  <c r="L89" i="40"/>
  <c r="L90" i="40" s="1"/>
  <c r="K89" i="40"/>
  <c r="J89" i="40"/>
  <c r="I89" i="40"/>
  <c r="H89" i="40"/>
  <c r="G89" i="40"/>
  <c r="F89" i="40"/>
  <c r="E89" i="40"/>
  <c r="C137" i="40" s="1"/>
  <c r="AH87" i="40"/>
  <c r="AG87" i="40"/>
  <c r="AF87" i="40"/>
  <c r="AE87" i="40"/>
  <c r="AD87" i="40"/>
  <c r="AC87" i="40"/>
  <c r="AB87" i="40"/>
  <c r="AA87" i="40"/>
  <c r="Z87" i="40"/>
  <c r="Y87" i="40"/>
  <c r="X87" i="40"/>
  <c r="W87" i="40"/>
  <c r="V87" i="40"/>
  <c r="U87" i="40"/>
  <c r="T87" i="40"/>
  <c r="S87" i="40"/>
  <c r="R87" i="40"/>
  <c r="Q87" i="40"/>
  <c r="P87" i="40"/>
  <c r="O87" i="40"/>
  <c r="N87" i="40"/>
  <c r="M87" i="40"/>
  <c r="L87" i="40"/>
  <c r="K87" i="40"/>
  <c r="J87" i="40"/>
  <c r="I87" i="40"/>
  <c r="H87" i="40"/>
  <c r="G87" i="40"/>
  <c r="F87" i="40"/>
  <c r="E87" i="40"/>
  <c r="AH86" i="40"/>
  <c r="AG86" i="40"/>
  <c r="AF86" i="40"/>
  <c r="AE86" i="40"/>
  <c r="AD86" i="40"/>
  <c r="AC86" i="40"/>
  <c r="AB86" i="40"/>
  <c r="AA86" i="40"/>
  <c r="Z86" i="40"/>
  <c r="Y86" i="40"/>
  <c r="X86" i="40"/>
  <c r="W86" i="40"/>
  <c r="V86" i="40"/>
  <c r="U86" i="40"/>
  <c r="T86" i="40"/>
  <c r="S86" i="40"/>
  <c r="R86" i="40"/>
  <c r="Q86" i="40"/>
  <c r="P86" i="40"/>
  <c r="O86" i="40"/>
  <c r="N86" i="40"/>
  <c r="M86" i="40"/>
  <c r="L86" i="40"/>
  <c r="K86" i="40"/>
  <c r="J86" i="40"/>
  <c r="I86" i="40"/>
  <c r="H86" i="40"/>
  <c r="G86" i="40"/>
  <c r="F86" i="40"/>
  <c r="E86" i="40"/>
  <c r="AH84" i="40"/>
  <c r="AG84" i="40"/>
  <c r="AF84" i="40"/>
  <c r="AE84" i="40"/>
  <c r="AD84" i="40"/>
  <c r="AC84" i="40"/>
  <c r="AB84" i="40"/>
  <c r="AA84" i="40"/>
  <c r="Z84" i="40"/>
  <c r="X131" i="40" s="1"/>
  <c r="X141" i="40" s="1"/>
  <c r="Y84" i="40"/>
  <c r="X84" i="40"/>
  <c r="V131" i="40" s="1"/>
  <c r="V141" i="40" s="1"/>
  <c r="W84" i="40"/>
  <c r="U131" i="40" s="1"/>
  <c r="U141" i="40" s="1"/>
  <c r="V84" i="40"/>
  <c r="U84" i="40"/>
  <c r="T84" i="40"/>
  <c r="S84" i="40"/>
  <c r="R84" i="40"/>
  <c r="Q84" i="40"/>
  <c r="P84" i="40"/>
  <c r="O84" i="40"/>
  <c r="N84" i="40"/>
  <c r="M84" i="40"/>
  <c r="L84" i="40"/>
  <c r="K84" i="40"/>
  <c r="I131" i="40" s="1"/>
  <c r="I141" i="40" s="1"/>
  <c r="J84" i="40"/>
  <c r="AH80" i="40"/>
  <c r="AF146" i="40" s="1"/>
  <c r="AG80" i="40"/>
  <c r="AE146" i="40" s="1"/>
  <c r="AF80" i="40"/>
  <c r="AD146" i="40" s="1"/>
  <c r="AE80" i="40"/>
  <c r="AC146" i="40" s="1"/>
  <c r="AD80" i="40"/>
  <c r="AB146" i="40" s="1"/>
  <c r="AC80" i="40"/>
  <c r="AA146" i="40" s="1"/>
  <c r="AB80" i="40"/>
  <c r="Z146" i="40" s="1"/>
  <c r="AA80" i="40"/>
  <c r="Y146" i="40" s="1"/>
  <c r="Z80" i="40"/>
  <c r="X146" i="40" s="1"/>
  <c r="Y80" i="40"/>
  <c r="W146" i="40" s="1"/>
  <c r="X80" i="40"/>
  <c r="V146" i="40" s="1"/>
  <c r="W80" i="40"/>
  <c r="U146" i="40" s="1"/>
  <c r="V80" i="40"/>
  <c r="T146" i="40" s="1"/>
  <c r="U80" i="40"/>
  <c r="S146" i="40" s="1"/>
  <c r="T80" i="40"/>
  <c r="R146" i="40" s="1"/>
  <c r="S80" i="40"/>
  <c r="Q146" i="40" s="1"/>
  <c r="R80" i="40"/>
  <c r="P146" i="40" s="1"/>
  <c r="Q80" i="40"/>
  <c r="O146" i="40" s="1"/>
  <c r="P80" i="40"/>
  <c r="N146" i="40" s="1"/>
  <c r="O80" i="40"/>
  <c r="M146" i="40" s="1"/>
  <c r="N80" i="40"/>
  <c r="L146" i="40" s="1"/>
  <c r="M80" i="40"/>
  <c r="K146" i="40" s="1"/>
  <c r="L80" i="40"/>
  <c r="J146" i="40" s="1"/>
  <c r="K80" i="40"/>
  <c r="I146" i="40" s="1"/>
  <c r="J80" i="40"/>
  <c r="H146" i="40" s="1"/>
  <c r="I80" i="40"/>
  <c r="G146" i="40" s="1"/>
  <c r="H80" i="40"/>
  <c r="F146" i="40" s="1"/>
  <c r="G80" i="40"/>
  <c r="F80" i="40"/>
  <c r="D146" i="40" s="1"/>
  <c r="E80" i="40"/>
  <c r="C146" i="40" s="1"/>
  <c r="AH79" i="40"/>
  <c r="AF134" i="40" s="1"/>
  <c r="AG79" i="40"/>
  <c r="AE134" i="40" s="1"/>
  <c r="AF79" i="40"/>
  <c r="AD134" i="40" s="1"/>
  <c r="AE79" i="40"/>
  <c r="AC134" i="40" s="1"/>
  <c r="AD79" i="40"/>
  <c r="AB134" i="40" s="1"/>
  <c r="AC79" i="40"/>
  <c r="AA134" i="40" s="1"/>
  <c r="AB79" i="40"/>
  <c r="Z134" i="40" s="1"/>
  <c r="AA79" i="40"/>
  <c r="Y134" i="40" s="1"/>
  <c r="Z79" i="40"/>
  <c r="X134" i="40" s="1"/>
  <c r="Y79" i="40"/>
  <c r="W134" i="40" s="1"/>
  <c r="X79" i="40"/>
  <c r="V134" i="40" s="1"/>
  <c r="W79" i="40"/>
  <c r="U134" i="40" s="1"/>
  <c r="V79" i="40"/>
  <c r="T134" i="40" s="1"/>
  <c r="U79" i="40"/>
  <c r="S134" i="40" s="1"/>
  <c r="T79" i="40"/>
  <c r="R134" i="40" s="1"/>
  <c r="S79" i="40"/>
  <c r="Q134" i="40" s="1"/>
  <c r="R79" i="40"/>
  <c r="P134" i="40" s="1"/>
  <c r="Q79" i="40"/>
  <c r="O134" i="40" s="1"/>
  <c r="P79" i="40"/>
  <c r="N134" i="40" s="1"/>
  <c r="O79" i="40"/>
  <c r="M134" i="40" s="1"/>
  <c r="N79" i="40"/>
  <c r="L134" i="40" s="1"/>
  <c r="M79" i="40"/>
  <c r="K134" i="40" s="1"/>
  <c r="L79" i="40"/>
  <c r="J134" i="40" s="1"/>
  <c r="K79" i="40"/>
  <c r="I134" i="40" s="1"/>
  <c r="J79" i="40"/>
  <c r="H134" i="40" s="1"/>
  <c r="I79" i="40"/>
  <c r="G134" i="40" s="1"/>
  <c r="H79" i="40"/>
  <c r="G79" i="40"/>
  <c r="E134" i="40" s="1"/>
  <c r="F79" i="40"/>
  <c r="D134" i="40" s="1"/>
  <c r="E79" i="40"/>
  <c r="C134" i="40" s="1"/>
  <c r="AH78" i="40"/>
  <c r="AF133" i="40" s="1"/>
  <c r="AG78" i="40"/>
  <c r="AE133" i="40" s="1"/>
  <c r="AF78" i="40"/>
  <c r="AD133" i="40" s="1"/>
  <c r="AE78" i="40"/>
  <c r="AC133" i="40" s="1"/>
  <c r="AD78" i="40"/>
  <c r="AB133" i="40" s="1"/>
  <c r="AC78" i="40"/>
  <c r="AA133" i="40" s="1"/>
  <c r="AB78" i="40"/>
  <c r="Z133" i="40" s="1"/>
  <c r="AA78" i="40"/>
  <c r="Y133" i="40" s="1"/>
  <c r="Z78" i="40"/>
  <c r="X133" i="40" s="1"/>
  <c r="Y78" i="40"/>
  <c r="W133" i="40" s="1"/>
  <c r="X78" i="40"/>
  <c r="V133" i="40" s="1"/>
  <c r="W78" i="40"/>
  <c r="U133" i="40" s="1"/>
  <c r="V78" i="40"/>
  <c r="T133" i="40" s="1"/>
  <c r="U78" i="40"/>
  <c r="S133" i="40" s="1"/>
  <c r="T78" i="40"/>
  <c r="R133" i="40" s="1"/>
  <c r="S78" i="40"/>
  <c r="Q133" i="40" s="1"/>
  <c r="R78" i="40"/>
  <c r="P133" i="40" s="1"/>
  <c r="Q78" i="40"/>
  <c r="O133" i="40" s="1"/>
  <c r="P78" i="40"/>
  <c r="N133" i="40" s="1"/>
  <c r="O78" i="40"/>
  <c r="M133" i="40" s="1"/>
  <c r="N78" i="40"/>
  <c r="L133" i="40" s="1"/>
  <c r="M78" i="40"/>
  <c r="K133" i="40" s="1"/>
  <c r="L78" i="40"/>
  <c r="J133" i="40" s="1"/>
  <c r="K78" i="40"/>
  <c r="I133" i="40" s="1"/>
  <c r="J78" i="40"/>
  <c r="H133" i="40" s="1"/>
  <c r="I78" i="40"/>
  <c r="G133" i="40" s="1"/>
  <c r="H78" i="40"/>
  <c r="F133" i="40" s="1"/>
  <c r="G78" i="40"/>
  <c r="E133" i="40" s="1"/>
  <c r="F78" i="40"/>
  <c r="D133" i="40" s="1"/>
  <c r="E78" i="40"/>
  <c r="C133" i="40" s="1"/>
  <c r="AH77" i="40"/>
  <c r="AF145" i="40" s="1"/>
  <c r="AG77" i="40"/>
  <c r="AE145" i="40" s="1"/>
  <c r="AF77" i="40"/>
  <c r="AD145" i="40" s="1"/>
  <c r="AE77" i="40"/>
  <c r="AC145" i="40" s="1"/>
  <c r="AD77" i="40"/>
  <c r="AB145" i="40" s="1"/>
  <c r="AC77" i="40"/>
  <c r="AA145" i="40" s="1"/>
  <c r="AB77" i="40"/>
  <c r="Z145" i="40" s="1"/>
  <c r="AA77" i="40"/>
  <c r="Y145" i="40" s="1"/>
  <c r="Z77" i="40"/>
  <c r="X145" i="40" s="1"/>
  <c r="Y77" i="40"/>
  <c r="W145" i="40" s="1"/>
  <c r="X77" i="40"/>
  <c r="V145" i="40" s="1"/>
  <c r="W77" i="40"/>
  <c r="U145" i="40" s="1"/>
  <c r="V77" i="40"/>
  <c r="T145" i="40" s="1"/>
  <c r="U77" i="40"/>
  <c r="S145" i="40" s="1"/>
  <c r="T77" i="40"/>
  <c r="R145" i="40" s="1"/>
  <c r="S77" i="40"/>
  <c r="Q145" i="40" s="1"/>
  <c r="R77" i="40"/>
  <c r="P145" i="40" s="1"/>
  <c r="Q77" i="40"/>
  <c r="O145" i="40" s="1"/>
  <c r="P77" i="40"/>
  <c r="N145" i="40" s="1"/>
  <c r="O77" i="40"/>
  <c r="M145" i="40" s="1"/>
  <c r="N77" i="40"/>
  <c r="L145" i="40" s="1"/>
  <c r="M77" i="40"/>
  <c r="K145" i="40" s="1"/>
  <c r="L77" i="40"/>
  <c r="J145" i="40" s="1"/>
  <c r="K77" i="40"/>
  <c r="I145" i="40" s="1"/>
  <c r="J77" i="40"/>
  <c r="H145" i="40" s="1"/>
  <c r="I77" i="40"/>
  <c r="G145" i="40" s="1"/>
  <c r="H77" i="40"/>
  <c r="F145" i="40" s="1"/>
  <c r="G77" i="40"/>
  <c r="E145" i="40" s="1"/>
  <c r="F77" i="40"/>
  <c r="D145" i="40" s="1"/>
  <c r="E77" i="40"/>
  <c r="C145" i="40" s="1"/>
  <c r="AH76" i="40"/>
  <c r="AF143" i="40" s="1"/>
  <c r="AG76" i="40"/>
  <c r="AE143" i="40" s="1"/>
  <c r="AF76" i="40"/>
  <c r="AD143" i="40" s="1"/>
  <c r="AE76" i="40"/>
  <c r="AC143" i="40" s="1"/>
  <c r="AD76" i="40"/>
  <c r="AB143" i="40" s="1"/>
  <c r="AC76" i="40"/>
  <c r="AA143" i="40" s="1"/>
  <c r="AB76" i="40"/>
  <c r="Z143" i="40" s="1"/>
  <c r="AA76" i="40"/>
  <c r="Y143" i="40" s="1"/>
  <c r="Z76" i="40"/>
  <c r="X143" i="40" s="1"/>
  <c r="Y76" i="40"/>
  <c r="W143" i="40" s="1"/>
  <c r="X76" i="40"/>
  <c r="V143" i="40" s="1"/>
  <c r="W76" i="40"/>
  <c r="U143" i="40" s="1"/>
  <c r="V76" i="40"/>
  <c r="T143" i="40" s="1"/>
  <c r="U76" i="40"/>
  <c r="S143" i="40" s="1"/>
  <c r="T76" i="40"/>
  <c r="R143" i="40" s="1"/>
  <c r="S76" i="40"/>
  <c r="Q143" i="40" s="1"/>
  <c r="R76" i="40"/>
  <c r="P143" i="40" s="1"/>
  <c r="Q76" i="40"/>
  <c r="O143" i="40" s="1"/>
  <c r="P76" i="40"/>
  <c r="N143" i="40" s="1"/>
  <c r="O76" i="40"/>
  <c r="M143" i="40" s="1"/>
  <c r="N76" i="40"/>
  <c r="L143" i="40" s="1"/>
  <c r="M76" i="40"/>
  <c r="K143" i="40" s="1"/>
  <c r="L76" i="40"/>
  <c r="J143" i="40" s="1"/>
  <c r="K76" i="40"/>
  <c r="I143" i="40" s="1"/>
  <c r="J76" i="40"/>
  <c r="H143" i="40" s="1"/>
  <c r="I76" i="40"/>
  <c r="G143" i="40" s="1"/>
  <c r="H76" i="40"/>
  <c r="G76" i="40"/>
  <c r="E143" i="40" s="1"/>
  <c r="F76" i="40"/>
  <c r="D143" i="40" s="1"/>
  <c r="E76" i="40"/>
  <c r="C143" i="40" s="1"/>
  <c r="AH72" i="40"/>
  <c r="AG72" i="40"/>
  <c r="AF72" i="40"/>
  <c r="AE72" i="40"/>
  <c r="AD72" i="40"/>
  <c r="AC72" i="40"/>
  <c r="AB72" i="40"/>
  <c r="AA72" i="40"/>
  <c r="Z72" i="40"/>
  <c r="Y72" i="40"/>
  <c r="X72" i="40"/>
  <c r="W72" i="40"/>
  <c r="V72" i="40"/>
  <c r="U72" i="40"/>
  <c r="T72" i="40"/>
  <c r="S72" i="40"/>
  <c r="R72" i="40"/>
  <c r="Q72" i="40"/>
  <c r="P72" i="40"/>
  <c r="O72" i="40"/>
  <c r="N72" i="40"/>
  <c r="M72" i="40"/>
  <c r="L72" i="40"/>
  <c r="K72" i="40"/>
  <c r="J72" i="40"/>
  <c r="I72" i="40"/>
  <c r="H72" i="40"/>
  <c r="G72" i="40"/>
  <c r="F72" i="40"/>
  <c r="E72" i="40"/>
  <c r="D71" i="40"/>
  <c r="C71" i="40"/>
  <c r="D70" i="40"/>
  <c r="C70" i="40"/>
  <c r="AH60" i="40"/>
  <c r="AG60" i="40"/>
  <c r="AF60" i="40"/>
  <c r="AE60" i="40"/>
  <c r="AD60" i="40"/>
  <c r="AC60" i="40"/>
  <c r="AB60" i="40"/>
  <c r="AA60" i="40"/>
  <c r="Z60" i="40"/>
  <c r="Y60" i="40"/>
  <c r="X60" i="40"/>
  <c r="W60" i="40"/>
  <c r="V60" i="40"/>
  <c r="U60" i="40"/>
  <c r="T60" i="40"/>
  <c r="S60" i="40"/>
  <c r="R60" i="40"/>
  <c r="Q60" i="40"/>
  <c r="P60" i="40"/>
  <c r="O60" i="40"/>
  <c r="N60" i="40"/>
  <c r="M60" i="40"/>
  <c r="L60" i="40"/>
  <c r="K60" i="40"/>
  <c r="J60" i="40"/>
  <c r="I60" i="40"/>
  <c r="H60" i="40"/>
  <c r="G60" i="40"/>
  <c r="F60" i="40"/>
  <c r="E60" i="40"/>
  <c r="I46" i="40"/>
  <c r="H46" i="40"/>
  <c r="G46" i="40"/>
  <c r="F46" i="40"/>
  <c r="E46" i="40"/>
  <c r="I45" i="40"/>
  <c r="H45" i="40"/>
  <c r="G45" i="40"/>
  <c r="F45" i="40"/>
  <c r="E45" i="40"/>
  <c r="I44" i="40"/>
  <c r="H44" i="40"/>
  <c r="G44" i="40"/>
  <c r="F44" i="40"/>
  <c r="E44" i="40"/>
  <c r="I43" i="40"/>
  <c r="H43" i="40"/>
  <c r="G43" i="40"/>
  <c r="F43" i="40"/>
  <c r="E43" i="40"/>
  <c r="I34" i="40"/>
  <c r="H34" i="40"/>
  <c r="G34" i="40"/>
  <c r="F34" i="40"/>
  <c r="E34" i="40"/>
  <c r="D33" i="40"/>
  <c r="C33" i="40"/>
  <c r="D32" i="40"/>
  <c r="C32" i="40"/>
  <c r="D31" i="40"/>
  <c r="C31" i="40"/>
  <c r="D30" i="40"/>
  <c r="C30" i="40"/>
  <c r="D29" i="40"/>
  <c r="C29" i="40"/>
  <c r="D28" i="40"/>
  <c r="C28" i="40"/>
  <c r="D27" i="40"/>
  <c r="C27" i="40"/>
  <c r="D26" i="40"/>
  <c r="C26" i="40"/>
  <c r="D25" i="40"/>
  <c r="C25" i="40"/>
  <c r="D24" i="40"/>
  <c r="C24" i="40"/>
  <c r="D23" i="40"/>
  <c r="C23" i="40"/>
  <c r="D18" i="40"/>
  <c r="C18" i="40"/>
  <c r="D17" i="40"/>
  <c r="C17" i="40"/>
  <c r="D16" i="40"/>
  <c r="C16" i="40"/>
  <c r="D15" i="40"/>
  <c r="C15" i="40"/>
  <c r="C52" i="17"/>
  <c r="C51" i="17"/>
  <c r="C50" i="17"/>
  <c r="C49" i="17"/>
  <c r="C48" i="17"/>
  <c r="C45" i="17"/>
  <c r="C44" i="17"/>
  <c r="C43" i="17"/>
  <c r="C42" i="17"/>
  <c r="C41" i="17"/>
  <c r="AG29" i="17"/>
  <c r="AF29" i="17"/>
  <c r="AE29" i="17"/>
  <c r="AD29" i="17"/>
  <c r="AC29" i="17"/>
  <c r="AB29" i="17"/>
  <c r="AA29" i="17"/>
  <c r="Z29" i="17"/>
  <c r="Y29" i="17"/>
  <c r="X29" i="17"/>
  <c r="W29" i="17"/>
  <c r="V29" i="17"/>
  <c r="U29" i="17"/>
  <c r="T29" i="17"/>
  <c r="S29" i="17"/>
  <c r="R29" i="17"/>
  <c r="Q29" i="17"/>
  <c r="P29" i="17"/>
  <c r="O29" i="17"/>
  <c r="N29" i="17"/>
  <c r="M29" i="17"/>
  <c r="L29" i="17"/>
  <c r="K29" i="17"/>
  <c r="J29" i="17"/>
  <c r="I29" i="17"/>
  <c r="H29" i="17"/>
  <c r="G29" i="17"/>
  <c r="F29" i="17"/>
  <c r="E29" i="17"/>
  <c r="D29" i="17"/>
  <c r="C28" i="17"/>
  <c r="C27" i="17"/>
  <c r="AG23" i="17"/>
  <c r="AF23" i="17"/>
  <c r="AE23" i="17"/>
  <c r="AD23" i="17"/>
  <c r="AC23" i="17"/>
  <c r="AB23" i="17"/>
  <c r="AA23" i="17"/>
  <c r="Z23" i="17"/>
  <c r="Y23" i="17"/>
  <c r="X23" i="17"/>
  <c r="W23" i="17"/>
  <c r="V23" i="17"/>
  <c r="U23" i="17"/>
  <c r="T23" i="17"/>
  <c r="S23" i="17"/>
  <c r="R23" i="17"/>
  <c r="Q23" i="17"/>
  <c r="P23" i="17"/>
  <c r="O23" i="17"/>
  <c r="N23" i="17"/>
  <c r="M23" i="17"/>
  <c r="L23" i="17"/>
  <c r="K23" i="17"/>
  <c r="J23" i="17"/>
  <c r="I23" i="17"/>
  <c r="H23" i="17"/>
  <c r="G23" i="17"/>
  <c r="F23" i="17"/>
  <c r="E23" i="17"/>
  <c r="D23" i="17"/>
  <c r="C22" i="17"/>
  <c r="C21" i="17"/>
  <c r="C13" i="17"/>
  <c r="C12" i="17"/>
  <c r="C11" i="17"/>
  <c r="C10" i="17"/>
  <c r="AK107" i="10"/>
  <c r="AA107" i="10"/>
  <c r="Z107" i="10"/>
  <c r="Y107" i="10"/>
  <c r="X107" i="10"/>
  <c r="T107" i="10"/>
  <c r="K107" i="10"/>
  <c r="L107" i="10" s="1"/>
  <c r="C107" i="10"/>
  <c r="AK106" i="10"/>
  <c r="AA106" i="10"/>
  <c r="Z106" i="10"/>
  <c r="Y106" i="10"/>
  <c r="X106" i="10"/>
  <c r="T106" i="10"/>
  <c r="K106" i="10"/>
  <c r="L106" i="10" s="1"/>
  <c r="C106" i="10"/>
  <c r="AK105" i="10"/>
  <c r="AA105" i="10"/>
  <c r="Z105" i="10"/>
  <c r="Y105" i="10"/>
  <c r="X105" i="10"/>
  <c r="T105" i="10"/>
  <c r="K105" i="10"/>
  <c r="L105" i="10" s="1"/>
  <c r="C105" i="10"/>
  <c r="AK104" i="10"/>
  <c r="AA104" i="10"/>
  <c r="Z104" i="10"/>
  <c r="Y104" i="10"/>
  <c r="X104" i="10"/>
  <c r="T104" i="10"/>
  <c r="K104" i="10"/>
  <c r="L104" i="10" s="1"/>
  <c r="C104" i="10"/>
  <c r="AK103" i="10"/>
  <c r="AA103" i="10"/>
  <c r="Z103" i="10"/>
  <c r="Y103" i="10"/>
  <c r="X103" i="10"/>
  <c r="T103" i="10"/>
  <c r="K103" i="10"/>
  <c r="L103" i="10" s="1"/>
  <c r="C103" i="10"/>
  <c r="AK102" i="10"/>
  <c r="AA102" i="10"/>
  <c r="Z102" i="10"/>
  <c r="Y102" i="10"/>
  <c r="X102" i="10"/>
  <c r="T102" i="10"/>
  <c r="K102" i="10"/>
  <c r="L102" i="10" s="1"/>
  <c r="C102" i="10"/>
  <c r="AK101" i="10"/>
  <c r="AA101" i="10"/>
  <c r="Z101" i="10"/>
  <c r="Y101" i="10"/>
  <c r="X101" i="10"/>
  <c r="T101" i="10"/>
  <c r="K101" i="10"/>
  <c r="L101" i="10" s="1"/>
  <c r="O101" i="10" s="1"/>
  <c r="C101" i="10"/>
  <c r="AK100" i="10"/>
  <c r="AA100" i="10"/>
  <c r="Z100" i="10"/>
  <c r="Y100" i="10"/>
  <c r="X100" i="10"/>
  <c r="T100" i="10"/>
  <c r="K100" i="10"/>
  <c r="L100" i="10" s="1"/>
  <c r="C100" i="10"/>
  <c r="AK99" i="10"/>
  <c r="AA99" i="10"/>
  <c r="Z99" i="10"/>
  <c r="Y99" i="10"/>
  <c r="X99" i="10"/>
  <c r="T99" i="10"/>
  <c r="K99" i="10"/>
  <c r="L99" i="10" s="1"/>
  <c r="C99" i="10"/>
  <c r="AK98" i="10"/>
  <c r="AA98" i="10"/>
  <c r="Z98" i="10"/>
  <c r="Y98" i="10"/>
  <c r="X98" i="10"/>
  <c r="T98" i="10"/>
  <c r="K98" i="10"/>
  <c r="L98" i="10" s="1"/>
  <c r="C98" i="10"/>
  <c r="AK97" i="10"/>
  <c r="AA97" i="10"/>
  <c r="Z97" i="10"/>
  <c r="Y97" i="10"/>
  <c r="X97" i="10"/>
  <c r="T97" i="10"/>
  <c r="K97" i="10"/>
  <c r="L97" i="10" s="1"/>
  <c r="C97" i="10"/>
  <c r="AK96" i="10"/>
  <c r="AA96" i="10"/>
  <c r="Z96" i="10"/>
  <c r="Y96" i="10"/>
  <c r="X96" i="10"/>
  <c r="T96" i="10"/>
  <c r="K96" i="10"/>
  <c r="L96" i="10" s="1"/>
  <c r="C96" i="10"/>
  <c r="AK95" i="10"/>
  <c r="AA95" i="10"/>
  <c r="Z95" i="10"/>
  <c r="Y95" i="10"/>
  <c r="X95" i="10"/>
  <c r="T95" i="10"/>
  <c r="K95" i="10"/>
  <c r="L95" i="10" s="1"/>
  <c r="C95" i="10"/>
  <c r="AK94" i="10"/>
  <c r="AA94" i="10"/>
  <c r="Z94" i="10"/>
  <c r="Y94" i="10"/>
  <c r="X94" i="10"/>
  <c r="T94" i="10"/>
  <c r="K94" i="10"/>
  <c r="L94" i="10" s="1"/>
  <c r="C94" i="10"/>
  <c r="AK93" i="10"/>
  <c r="AA93" i="10"/>
  <c r="Z93" i="10"/>
  <c r="Y93" i="10"/>
  <c r="X93" i="10"/>
  <c r="T93" i="10"/>
  <c r="K93" i="10"/>
  <c r="L93" i="10" s="1"/>
  <c r="C93" i="10"/>
  <c r="AK92" i="10"/>
  <c r="AA92" i="10"/>
  <c r="Z92" i="10"/>
  <c r="Y92" i="10"/>
  <c r="X92" i="10"/>
  <c r="T92" i="10"/>
  <c r="K92" i="10"/>
  <c r="L92" i="10" s="1"/>
  <c r="C92" i="10"/>
  <c r="AK91" i="10"/>
  <c r="AA91" i="10"/>
  <c r="Z91" i="10"/>
  <c r="Y91" i="10"/>
  <c r="X91" i="10"/>
  <c r="T91" i="10"/>
  <c r="K91" i="10"/>
  <c r="L91" i="10" s="1"/>
  <c r="C91" i="10"/>
  <c r="AK90" i="10"/>
  <c r="AA90" i="10"/>
  <c r="Z90" i="10"/>
  <c r="Y90" i="10"/>
  <c r="X90" i="10"/>
  <c r="T90" i="10"/>
  <c r="K90" i="10"/>
  <c r="L90" i="10" s="1"/>
  <c r="C90" i="10"/>
  <c r="AK89" i="10"/>
  <c r="AA89" i="10"/>
  <c r="Z89" i="10"/>
  <c r="Y89" i="10"/>
  <c r="X89" i="10"/>
  <c r="T89" i="10"/>
  <c r="K89" i="10"/>
  <c r="L89" i="10" s="1"/>
  <c r="C89" i="10"/>
  <c r="AK88" i="10"/>
  <c r="AA88" i="10"/>
  <c r="Z88" i="10"/>
  <c r="Y88" i="10"/>
  <c r="X88" i="10"/>
  <c r="T88" i="10"/>
  <c r="K88" i="10"/>
  <c r="L88" i="10" s="1"/>
  <c r="C88" i="10"/>
  <c r="AK87" i="10"/>
  <c r="AA87" i="10"/>
  <c r="Z87" i="10"/>
  <c r="Y87" i="10"/>
  <c r="X87" i="10"/>
  <c r="T87" i="10"/>
  <c r="K87" i="10"/>
  <c r="L87" i="10" s="1"/>
  <c r="C87" i="10"/>
  <c r="AK86" i="10"/>
  <c r="AA86" i="10"/>
  <c r="Z86" i="10"/>
  <c r="Y86" i="10"/>
  <c r="X86" i="10"/>
  <c r="T86" i="10"/>
  <c r="K86" i="10"/>
  <c r="L86" i="10" s="1"/>
  <c r="C86" i="10"/>
  <c r="AK85" i="10"/>
  <c r="AA85" i="10"/>
  <c r="Z85" i="10"/>
  <c r="Y85" i="10"/>
  <c r="X85" i="10"/>
  <c r="T85" i="10"/>
  <c r="K85" i="10"/>
  <c r="L85" i="10" s="1"/>
  <c r="C85" i="10"/>
  <c r="AK84" i="10"/>
  <c r="AA84" i="10"/>
  <c r="Z84" i="10"/>
  <c r="Y84" i="10"/>
  <c r="X84" i="10"/>
  <c r="T84" i="10"/>
  <c r="K84" i="10"/>
  <c r="L84" i="10" s="1"/>
  <c r="C84" i="10"/>
  <c r="AK83" i="10"/>
  <c r="AA83" i="10"/>
  <c r="Z83" i="10"/>
  <c r="Y83" i="10"/>
  <c r="X83" i="10"/>
  <c r="T83" i="10"/>
  <c r="K83" i="10"/>
  <c r="L83" i="10" s="1"/>
  <c r="C83" i="10"/>
  <c r="AK82" i="10"/>
  <c r="AA82" i="10"/>
  <c r="Z82" i="10"/>
  <c r="Y82" i="10"/>
  <c r="X82" i="10"/>
  <c r="T82" i="10"/>
  <c r="K82" i="10"/>
  <c r="L82" i="10" s="1"/>
  <c r="C82" i="10"/>
  <c r="AK81" i="10"/>
  <c r="AA81" i="10"/>
  <c r="Z81" i="10"/>
  <c r="Y81" i="10"/>
  <c r="X81" i="10"/>
  <c r="T81" i="10"/>
  <c r="K81" i="10"/>
  <c r="L81" i="10" s="1"/>
  <c r="O81" i="10" s="1"/>
  <c r="C81" i="10"/>
  <c r="AK80" i="10"/>
  <c r="AA80" i="10"/>
  <c r="Z80" i="10"/>
  <c r="Y80" i="10"/>
  <c r="X80" i="10"/>
  <c r="T80" i="10"/>
  <c r="K80" i="10"/>
  <c r="L80" i="10" s="1"/>
  <c r="C80" i="10"/>
  <c r="AK79" i="10"/>
  <c r="AA79" i="10"/>
  <c r="Z79" i="10"/>
  <c r="Y79" i="10"/>
  <c r="X79" i="10"/>
  <c r="T79" i="10"/>
  <c r="K79" i="10"/>
  <c r="L79" i="10" s="1"/>
  <c r="C79" i="10"/>
  <c r="AK78" i="10"/>
  <c r="AA78" i="10"/>
  <c r="Z78" i="10"/>
  <c r="Y78" i="10"/>
  <c r="X78" i="10"/>
  <c r="T78" i="10"/>
  <c r="K78" i="10"/>
  <c r="L78" i="10" s="1"/>
  <c r="C78" i="10"/>
  <c r="AK77" i="10"/>
  <c r="AA77" i="10"/>
  <c r="Z77" i="10"/>
  <c r="Y77" i="10"/>
  <c r="X77" i="10"/>
  <c r="T77" i="10"/>
  <c r="K77" i="10"/>
  <c r="L77" i="10" s="1"/>
  <c r="O77" i="10" s="1"/>
  <c r="C77" i="10"/>
  <c r="AK76" i="10"/>
  <c r="AA76" i="10"/>
  <c r="Z76" i="10"/>
  <c r="Y76" i="10"/>
  <c r="X76" i="10"/>
  <c r="T76" i="10"/>
  <c r="K76" i="10"/>
  <c r="L76" i="10" s="1"/>
  <c r="O76" i="10" s="1"/>
  <c r="C76" i="10"/>
  <c r="AK75" i="10"/>
  <c r="AA75" i="10"/>
  <c r="Z75" i="10"/>
  <c r="Y75" i="10"/>
  <c r="X75" i="10"/>
  <c r="T75" i="10"/>
  <c r="K75" i="10"/>
  <c r="L75" i="10" s="1"/>
  <c r="C75" i="10"/>
  <c r="AK74" i="10"/>
  <c r="AA74" i="10"/>
  <c r="Z74" i="10"/>
  <c r="Y74" i="10"/>
  <c r="X74" i="10"/>
  <c r="T74" i="10"/>
  <c r="K74" i="10"/>
  <c r="L74" i="10" s="1"/>
  <c r="C74" i="10"/>
  <c r="AK73" i="10"/>
  <c r="AA73" i="10"/>
  <c r="Z73" i="10"/>
  <c r="Y73" i="10"/>
  <c r="X73" i="10"/>
  <c r="T73" i="10"/>
  <c r="K73" i="10"/>
  <c r="L73" i="10" s="1"/>
  <c r="C73" i="10"/>
  <c r="AK72" i="10"/>
  <c r="AA72" i="10"/>
  <c r="Z72" i="10"/>
  <c r="Y72" i="10"/>
  <c r="X72" i="10"/>
  <c r="T72" i="10"/>
  <c r="K72" i="10"/>
  <c r="L72" i="10" s="1"/>
  <c r="C72" i="10"/>
  <c r="AK71" i="10"/>
  <c r="AA71" i="10"/>
  <c r="Z71" i="10"/>
  <c r="Y71" i="10"/>
  <c r="X71" i="10"/>
  <c r="T71" i="10"/>
  <c r="K71" i="10"/>
  <c r="L71" i="10" s="1"/>
  <c r="C71" i="10"/>
  <c r="AK70" i="10"/>
  <c r="AA70" i="10"/>
  <c r="Z70" i="10"/>
  <c r="Y70" i="10"/>
  <c r="X70" i="10"/>
  <c r="T70" i="10"/>
  <c r="K70" i="10"/>
  <c r="L70" i="10" s="1"/>
  <c r="C70" i="10"/>
  <c r="AK69" i="10"/>
  <c r="AA69" i="10"/>
  <c r="Z69" i="10"/>
  <c r="Y69" i="10"/>
  <c r="X69" i="10"/>
  <c r="T69" i="10"/>
  <c r="K69" i="10"/>
  <c r="L69" i="10" s="1"/>
  <c r="C69" i="10"/>
  <c r="AK68" i="10"/>
  <c r="AA68" i="10"/>
  <c r="Z68" i="10"/>
  <c r="Y68" i="10"/>
  <c r="X68" i="10"/>
  <c r="T68" i="10"/>
  <c r="K68" i="10"/>
  <c r="L68" i="10" s="1"/>
  <c r="C68" i="10"/>
  <c r="AK67" i="10"/>
  <c r="AA67" i="10"/>
  <c r="Z67" i="10"/>
  <c r="Y67" i="10"/>
  <c r="X67" i="10"/>
  <c r="T67" i="10"/>
  <c r="K67" i="10"/>
  <c r="L67" i="10" s="1"/>
  <c r="O67" i="10" s="1"/>
  <c r="C67" i="10"/>
  <c r="AK66" i="10"/>
  <c r="AA66" i="10"/>
  <c r="Z66" i="10"/>
  <c r="Y66" i="10"/>
  <c r="X66" i="10"/>
  <c r="T66" i="10"/>
  <c r="K66" i="10"/>
  <c r="L66" i="10" s="1"/>
  <c r="C66" i="10"/>
  <c r="AK65" i="10"/>
  <c r="AA65" i="10"/>
  <c r="Z65" i="10"/>
  <c r="Y65" i="10"/>
  <c r="X65" i="10"/>
  <c r="T65" i="10"/>
  <c r="K65" i="10"/>
  <c r="L65" i="10" s="1"/>
  <c r="C65" i="10"/>
  <c r="AK64" i="10"/>
  <c r="AA64" i="10"/>
  <c r="Z64" i="10"/>
  <c r="Y64" i="10"/>
  <c r="X64" i="10"/>
  <c r="T64" i="10"/>
  <c r="K64" i="10"/>
  <c r="L64" i="10" s="1"/>
  <c r="C64" i="10"/>
  <c r="AK63" i="10"/>
  <c r="AA63" i="10"/>
  <c r="Z63" i="10"/>
  <c r="Y63" i="10"/>
  <c r="X63" i="10"/>
  <c r="T63" i="10"/>
  <c r="K63" i="10"/>
  <c r="L63" i="10" s="1"/>
  <c r="C63" i="10"/>
  <c r="AK62" i="10"/>
  <c r="AA62" i="10"/>
  <c r="Z62" i="10"/>
  <c r="Y62" i="10"/>
  <c r="X62" i="10"/>
  <c r="T62" i="10"/>
  <c r="K62" i="10"/>
  <c r="L62" i="10" s="1"/>
  <c r="C62" i="10"/>
  <c r="AK61" i="10"/>
  <c r="AA61" i="10"/>
  <c r="Z61" i="10"/>
  <c r="Y61" i="10"/>
  <c r="X61" i="10"/>
  <c r="T61" i="10"/>
  <c r="K61" i="10"/>
  <c r="L61" i="10" s="1"/>
  <c r="C61" i="10"/>
  <c r="AK60" i="10"/>
  <c r="AA60" i="10"/>
  <c r="Z60" i="10"/>
  <c r="Y60" i="10"/>
  <c r="X60" i="10"/>
  <c r="T60" i="10"/>
  <c r="K60" i="10"/>
  <c r="L60" i="10" s="1"/>
  <c r="C60" i="10"/>
  <c r="AK59" i="10"/>
  <c r="AA59" i="10"/>
  <c r="Z59" i="10"/>
  <c r="Y59" i="10"/>
  <c r="X59" i="10"/>
  <c r="T59" i="10"/>
  <c r="K59" i="10"/>
  <c r="L59" i="10" s="1"/>
  <c r="C59" i="10"/>
  <c r="AK58" i="10"/>
  <c r="AA58" i="10"/>
  <c r="Z58" i="10"/>
  <c r="Y58" i="10"/>
  <c r="X58" i="10"/>
  <c r="T58" i="10"/>
  <c r="K58" i="10"/>
  <c r="L58" i="10" s="1"/>
  <c r="C58" i="10"/>
  <c r="AK57" i="10"/>
  <c r="AA57" i="10"/>
  <c r="Z57" i="10"/>
  <c r="Y57" i="10"/>
  <c r="X57" i="10"/>
  <c r="T57" i="10"/>
  <c r="K57" i="10"/>
  <c r="L57" i="10" s="1"/>
  <c r="C57" i="10"/>
  <c r="AK56" i="10"/>
  <c r="AA56" i="10"/>
  <c r="Z56" i="10"/>
  <c r="Y56" i="10"/>
  <c r="X56" i="10"/>
  <c r="T56" i="10"/>
  <c r="K56" i="10"/>
  <c r="L56" i="10" s="1"/>
  <c r="C56" i="10"/>
  <c r="AK55" i="10"/>
  <c r="AA55" i="10"/>
  <c r="Z55" i="10"/>
  <c r="Y55" i="10"/>
  <c r="X55" i="10"/>
  <c r="T55" i="10"/>
  <c r="K55" i="10"/>
  <c r="L55" i="10" s="1"/>
  <c r="C55" i="10"/>
  <c r="AK54" i="10"/>
  <c r="AA54" i="10"/>
  <c r="Z54" i="10"/>
  <c r="Y54" i="10"/>
  <c r="X54" i="10"/>
  <c r="T54" i="10"/>
  <c r="K54" i="10"/>
  <c r="L54" i="10" s="1"/>
  <c r="C54" i="10"/>
  <c r="AK53" i="10"/>
  <c r="AA53" i="10"/>
  <c r="Z53" i="10"/>
  <c r="Y53" i="10"/>
  <c r="X53" i="10"/>
  <c r="T53" i="10"/>
  <c r="K53" i="10"/>
  <c r="L53" i="10" s="1"/>
  <c r="C53" i="10"/>
  <c r="AK52" i="10"/>
  <c r="AA52" i="10"/>
  <c r="Z52" i="10"/>
  <c r="Y52" i="10"/>
  <c r="X52" i="10"/>
  <c r="T52" i="10"/>
  <c r="K52" i="10"/>
  <c r="L52" i="10" s="1"/>
  <c r="C52" i="10"/>
  <c r="AK51" i="10"/>
  <c r="AA51" i="10"/>
  <c r="Z51" i="10"/>
  <c r="Y51" i="10"/>
  <c r="X51" i="10"/>
  <c r="T51" i="10"/>
  <c r="K51" i="10"/>
  <c r="L51" i="10" s="1"/>
  <c r="C51" i="10"/>
  <c r="AK50" i="10"/>
  <c r="AA50" i="10"/>
  <c r="Z50" i="10"/>
  <c r="Y50" i="10"/>
  <c r="X50" i="10"/>
  <c r="T50" i="10"/>
  <c r="K50" i="10"/>
  <c r="L50" i="10" s="1"/>
  <c r="C50" i="10"/>
  <c r="AK49" i="10"/>
  <c r="AA49" i="10"/>
  <c r="Z49" i="10"/>
  <c r="Y49" i="10"/>
  <c r="X49" i="10"/>
  <c r="T49" i="10"/>
  <c r="K49" i="10"/>
  <c r="L49" i="10" s="1"/>
  <c r="C49" i="10"/>
  <c r="AK48" i="10"/>
  <c r="AA48" i="10"/>
  <c r="Z48" i="10"/>
  <c r="Y48" i="10"/>
  <c r="X48" i="10"/>
  <c r="T48" i="10"/>
  <c r="K48" i="10"/>
  <c r="L48" i="10" s="1"/>
  <c r="C48" i="10"/>
  <c r="AK47" i="10"/>
  <c r="AA47" i="10"/>
  <c r="Z47" i="10"/>
  <c r="Y47" i="10"/>
  <c r="X47" i="10"/>
  <c r="T47" i="10"/>
  <c r="K47" i="10"/>
  <c r="L47" i="10" s="1"/>
  <c r="C47" i="10"/>
  <c r="AK46" i="10"/>
  <c r="AA46" i="10"/>
  <c r="Z46" i="10"/>
  <c r="Y46" i="10"/>
  <c r="X46" i="10"/>
  <c r="T46" i="10"/>
  <c r="K46" i="10"/>
  <c r="L46" i="10" s="1"/>
  <c r="C46" i="10"/>
  <c r="AK45" i="10"/>
  <c r="AA45" i="10"/>
  <c r="Z45" i="10"/>
  <c r="Y45" i="10"/>
  <c r="X45" i="10"/>
  <c r="T45" i="10"/>
  <c r="K45" i="10"/>
  <c r="L45" i="10" s="1"/>
  <c r="C45" i="10"/>
  <c r="AK44" i="10"/>
  <c r="AA44" i="10"/>
  <c r="Z44" i="10"/>
  <c r="Y44" i="10"/>
  <c r="X44" i="10"/>
  <c r="T44" i="10"/>
  <c r="K44" i="10"/>
  <c r="L44" i="10" s="1"/>
  <c r="C44" i="10"/>
  <c r="AK43" i="10"/>
  <c r="AA43" i="10"/>
  <c r="Z43" i="10"/>
  <c r="Y43" i="10"/>
  <c r="X43" i="10"/>
  <c r="T43" i="10"/>
  <c r="K43" i="10"/>
  <c r="L43" i="10" s="1"/>
  <c r="C43" i="10"/>
  <c r="AK42" i="10"/>
  <c r="AA42" i="10"/>
  <c r="Z42" i="10"/>
  <c r="Y42" i="10"/>
  <c r="X42" i="10"/>
  <c r="T42" i="10"/>
  <c r="K42" i="10"/>
  <c r="L42" i="10" s="1"/>
  <c r="C42" i="10"/>
  <c r="AK41" i="10"/>
  <c r="AA41" i="10"/>
  <c r="Z41" i="10"/>
  <c r="Y41" i="10"/>
  <c r="X41" i="10"/>
  <c r="T41" i="10"/>
  <c r="K41" i="10"/>
  <c r="L41" i="10" s="1"/>
  <c r="O41" i="10" s="1"/>
  <c r="C41" i="10"/>
  <c r="AK40" i="10"/>
  <c r="AA40" i="10"/>
  <c r="Z40" i="10"/>
  <c r="Y40" i="10"/>
  <c r="X40" i="10"/>
  <c r="T40" i="10"/>
  <c r="K40" i="10"/>
  <c r="L40" i="10" s="1"/>
  <c r="C40" i="10"/>
  <c r="AK39" i="10"/>
  <c r="AA39" i="10"/>
  <c r="Z39" i="10"/>
  <c r="Y39" i="10"/>
  <c r="X39" i="10"/>
  <c r="T39" i="10"/>
  <c r="K39" i="10"/>
  <c r="L39" i="10" s="1"/>
  <c r="C39" i="10"/>
  <c r="AK38" i="10"/>
  <c r="AA38" i="10"/>
  <c r="Z38" i="10"/>
  <c r="Y38" i="10"/>
  <c r="X38" i="10"/>
  <c r="T38" i="10"/>
  <c r="K38" i="10"/>
  <c r="L38" i="10" s="1"/>
  <c r="C38" i="10"/>
  <c r="AK37" i="10"/>
  <c r="AA37" i="10"/>
  <c r="Z37" i="10"/>
  <c r="Y37" i="10"/>
  <c r="X37" i="10"/>
  <c r="T37" i="10"/>
  <c r="K37" i="10"/>
  <c r="L37" i="10" s="1"/>
  <c r="C37" i="10"/>
  <c r="AK36" i="10"/>
  <c r="AA36" i="10"/>
  <c r="Z36" i="10"/>
  <c r="Y36" i="10"/>
  <c r="X36" i="10"/>
  <c r="T36" i="10"/>
  <c r="K36" i="10"/>
  <c r="L36" i="10" s="1"/>
  <c r="C36" i="10"/>
  <c r="AK35" i="10"/>
  <c r="AA35" i="10"/>
  <c r="Z35" i="10"/>
  <c r="Y35" i="10"/>
  <c r="X35" i="10"/>
  <c r="T35" i="10"/>
  <c r="K35" i="10"/>
  <c r="L35" i="10" s="1"/>
  <c r="C35" i="10"/>
  <c r="AK34" i="10"/>
  <c r="AA34" i="10"/>
  <c r="Z34" i="10"/>
  <c r="Y34" i="10"/>
  <c r="X34" i="10"/>
  <c r="T34" i="10"/>
  <c r="K34" i="10"/>
  <c r="L34" i="10" s="1"/>
  <c r="C34" i="10"/>
  <c r="AK33" i="10"/>
  <c r="AA33" i="10"/>
  <c r="Z33" i="10"/>
  <c r="Y33" i="10"/>
  <c r="X33" i="10"/>
  <c r="T33" i="10"/>
  <c r="K33" i="10"/>
  <c r="L33" i="10" s="1"/>
  <c r="C33" i="10"/>
  <c r="AK32" i="10"/>
  <c r="AA32" i="10"/>
  <c r="Z32" i="10"/>
  <c r="Y32" i="10"/>
  <c r="X32" i="10"/>
  <c r="T32" i="10"/>
  <c r="K32" i="10"/>
  <c r="L32" i="10" s="1"/>
  <c r="C32" i="10"/>
  <c r="AK31" i="10"/>
  <c r="AA31" i="10"/>
  <c r="Z31" i="10"/>
  <c r="Y31" i="10"/>
  <c r="X31" i="10"/>
  <c r="T31" i="10"/>
  <c r="K31" i="10"/>
  <c r="L31" i="10" s="1"/>
  <c r="C31" i="10"/>
  <c r="AK30" i="10"/>
  <c r="AA30" i="10"/>
  <c r="Z30" i="10"/>
  <c r="Y30" i="10"/>
  <c r="X30" i="10"/>
  <c r="T30" i="10"/>
  <c r="K30" i="10"/>
  <c r="L30" i="10" s="1"/>
  <c r="C30" i="10"/>
  <c r="AK29" i="10"/>
  <c r="AA29" i="10"/>
  <c r="Z29" i="10"/>
  <c r="Y29" i="10"/>
  <c r="X29" i="10"/>
  <c r="K29" i="10"/>
  <c r="L29" i="10" s="1"/>
  <c r="C29" i="10"/>
  <c r="AK28" i="10"/>
  <c r="K28" i="10"/>
  <c r="C28" i="10"/>
  <c r="AK27" i="10"/>
  <c r="AA27" i="10"/>
  <c r="Z27" i="10"/>
  <c r="Y27" i="10"/>
  <c r="X27" i="10"/>
  <c r="K27" i="10"/>
  <c r="L27" i="10" s="1"/>
  <c r="C27" i="10"/>
  <c r="AK26" i="10"/>
  <c r="K26" i="10"/>
  <c r="C26" i="10"/>
  <c r="AK25" i="10"/>
  <c r="AA25" i="10"/>
  <c r="Z25" i="10"/>
  <c r="Y25" i="10"/>
  <c r="X25" i="10"/>
  <c r="K25" i="10"/>
  <c r="L25" i="10" s="1"/>
  <c r="C25" i="10"/>
  <c r="AK24" i="10"/>
  <c r="AA24" i="10"/>
  <c r="Z24" i="10"/>
  <c r="Y24" i="10"/>
  <c r="X24" i="10"/>
  <c r="K24" i="10"/>
  <c r="L24" i="10" s="1"/>
  <c r="C24" i="10"/>
  <c r="AK23" i="10"/>
  <c r="K23" i="10"/>
  <c r="C23" i="10"/>
  <c r="AK22" i="10"/>
  <c r="AA22" i="10"/>
  <c r="Z22" i="10"/>
  <c r="Y22" i="10"/>
  <c r="X22" i="10"/>
  <c r="K22" i="10"/>
  <c r="L22" i="10" s="1"/>
  <c r="C22" i="10"/>
  <c r="AK21" i="10"/>
  <c r="AA21" i="10"/>
  <c r="Z21" i="10"/>
  <c r="Y21" i="10"/>
  <c r="X21" i="10"/>
  <c r="K21" i="10"/>
  <c r="L21" i="10" s="1"/>
  <c r="C21" i="10"/>
  <c r="AK20" i="10"/>
  <c r="AA20" i="10"/>
  <c r="Z20" i="10"/>
  <c r="Y20" i="10"/>
  <c r="X20" i="10"/>
  <c r="K20" i="10"/>
  <c r="L20" i="10" s="1"/>
  <c r="T20" i="10" s="1"/>
  <c r="C20" i="10"/>
  <c r="AK19" i="10"/>
  <c r="AA19" i="10"/>
  <c r="Z19" i="10"/>
  <c r="Y19" i="10"/>
  <c r="X19" i="10"/>
  <c r="K19" i="10"/>
  <c r="L19" i="10" s="1"/>
  <c r="C19" i="10"/>
  <c r="AK18" i="10"/>
  <c r="K18" i="10"/>
  <c r="C18" i="10"/>
  <c r="AK17" i="10"/>
  <c r="AA17" i="10"/>
  <c r="Z17" i="10"/>
  <c r="Y17" i="10"/>
  <c r="X17" i="10"/>
  <c r="K17" i="10"/>
  <c r="L17" i="10" s="1"/>
  <c r="T17" i="10" s="1"/>
  <c r="C17" i="10"/>
  <c r="AK16" i="10"/>
  <c r="AA16" i="10"/>
  <c r="Z16" i="10"/>
  <c r="Y16" i="10"/>
  <c r="X16" i="10"/>
  <c r="K16" i="10"/>
  <c r="L16" i="10" s="1"/>
  <c r="C16" i="10"/>
  <c r="AK15" i="10"/>
  <c r="AA15" i="10"/>
  <c r="Z15" i="10"/>
  <c r="Y15" i="10"/>
  <c r="X15" i="10"/>
  <c r="K15" i="10"/>
  <c r="L15" i="10" s="1"/>
  <c r="C15" i="10"/>
  <c r="AK14" i="10"/>
  <c r="K14" i="10"/>
  <c r="C14" i="10"/>
  <c r="AK13" i="10"/>
  <c r="AA13" i="10"/>
  <c r="Z13" i="10"/>
  <c r="Y13" i="10"/>
  <c r="X13" i="10"/>
  <c r="K13" i="10"/>
  <c r="L13" i="10" s="1"/>
  <c r="C13" i="10"/>
  <c r="AK12" i="10"/>
  <c r="AA12" i="10"/>
  <c r="Z12" i="10"/>
  <c r="Y12" i="10"/>
  <c r="X12" i="10"/>
  <c r="K12" i="10"/>
  <c r="L12" i="10" s="1"/>
  <c r="C12" i="10"/>
  <c r="AK11" i="10"/>
  <c r="AA11" i="10"/>
  <c r="Z11" i="10"/>
  <c r="Y11" i="10"/>
  <c r="X11" i="10"/>
  <c r="K11" i="10"/>
  <c r="L11" i="10" s="1"/>
  <c r="C11" i="10"/>
  <c r="AK10" i="10"/>
  <c r="AA10" i="10"/>
  <c r="Z10" i="10"/>
  <c r="Y10" i="10"/>
  <c r="X10" i="10"/>
  <c r="K10" i="10"/>
  <c r="L10" i="10" s="1"/>
  <c r="C10" i="10"/>
  <c r="AK9" i="10"/>
  <c r="AA9" i="10"/>
  <c r="Z9" i="10"/>
  <c r="Y9" i="10"/>
  <c r="X9" i="10"/>
  <c r="K9" i="10"/>
  <c r="L9" i="10" s="1"/>
  <c r="T9" i="10" s="1"/>
  <c r="C9" i="10"/>
  <c r="AK8" i="10"/>
  <c r="K8" i="10"/>
  <c r="C8" i="10"/>
  <c r="D8" i="10" s="1"/>
  <c r="AF7" i="10"/>
  <c r="C106" i="8"/>
  <c r="C105" i="8"/>
  <c r="C104" i="8"/>
  <c r="C103" i="8"/>
  <c r="C102" i="8"/>
  <c r="C101" i="8"/>
  <c r="C100" i="8"/>
  <c r="C99" i="8"/>
  <c r="C98" i="8"/>
  <c r="F97" i="8"/>
  <c r="E97" i="8"/>
  <c r="D97" i="8"/>
  <c r="C97" i="8"/>
  <c r="D86" i="8"/>
  <c r="D83" i="8"/>
  <c r="H54" i="8"/>
  <c r="I54" i="8" s="1"/>
  <c r="F54" i="8"/>
  <c r="H53" i="8"/>
  <c r="I53" i="8" s="1"/>
  <c r="F53" i="8"/>
  <c r="H52" i="8"/>
  <c r="I52" i="8" s="1"/>
  <c r="F52" i="8"/>
  <c r="H51" i="8"/>
  <c r="I51" i="8" s="1"/>
  <c r="F51" i="8"/>
  <c r="H50" i="8"/>
  <c r="I50" i="8" s="1"/>
  <c r="F50" i="8"/>
  <c r="H49" i="8"/>
  <c r="I49" i="8" s="1"/>
  <c r="F49" i="8"/>
  <c r="H48" i="8"/>
  <c r="I48" i="8" s="1"/>
  <c r="F48" i="8"/>
  <c r="H47" i="8"/>
  <c r="I47" i="8" s="1"/>
  <c r="F47" i="8"/>
  <c r="H46" i="8"/>
  <c r="I46" i="8" s="1"/>
  <c r="F46" i="8"/>
  <c r="H45" i="8"/>
  <c r="I45" i="8" s="1"/>
  <c r="F45" i="8"/>
  <c r="H44" i="8"/>
  <c r="I44" i="8" s="1"/>
  <c r="F44" i="8"/>
  <c r="H43" i="8"/>
  <c r="I43" i="8" s="1"/>
  <c r="F43" i="8"/>
  <c r="H42" i="8"/>
  <c r="I42" i="8" s="1"/>
  <c r="F42" i="8"/>
  <c r="H41" i="8"/>
  <c r="I41" i="8" s="1"/>
  <c r="F41" i="8"/>
  <c r="H40" i="8"/>
  <c r="I40" i="8" s="1"/>
  <c r="F40" i="8"/>
  <c r="H39" i="8"/>
  <c r="I39" i="8" s="1"/>
  <c r="F39" i="8"/>
  <c r="H38" i="8"/>
  <c r="I38" i="8" s="1"/>
  <c r="F38" i="8"/>
  <c r="H37" i="8"/>
  <c r="I37" i="8" s="1"/>
  <c r="H36" i="8"/>
  <c r="I36" i="8" s="1"/>
  <c r="H35" i="8"/>
  <c r="I35" i="8" s="1"/>
  <c r="H34" i="8"/>
  <c r="I34" i="8" s="1"/>
  <c r="F34" i="8"/>
  <c r="H33" i="8"/>
  <c r="I33" i="8" s="1"/>
  <c r="F33" i="8"/>
  <c r="H32" i="8"/>
  <c r="I32" i="8" s="1"/>
  <c r="F32" i="8"/>
  <c r="H31" i="8"/>
  <c r="I31" i="8" s="1"/>
  <c r="F31" i="8"/>
  <c r="H30" i="8"/>
  <c r="I30" i="8" s="1"/>
  <c r="F30" i="8"/>
  <c r="H29" i="8"/>
  <c r="I29" i="8" s="1"/>
  <c r="F29" i="8"/>
  <c r="H28" i="8"/>
  <c r="F28" i="8"/>
  <c r="B14" i="8"/>
  <c r="B13" i="8"/>
  <c r="F11" i="8"/>
  <c r="F9" i="8"/>
  <c r="F8" i="8"/>
  <c r="F6" i="8"/>
  <c r="F4" i="8"/>
  <c r="C151" i="9"/>
  <c r="B139" i="9"/>
  <c r="B44" i="9"/>
  <c r="C47" i="9" s="1" a="1"/>
  <c r="C47" i="9" s="1"/>
  <c r="C104" i="27" l="1"/>
  <c r="C104" i="21"/>
  <c r="C103" i="18"/>
  <c r="C104" i="13"/>
  <c r="E176" i="21"/>
  <c r="E163" i="27"/>
  <c r="E173" i="27" s="1"/>
  <c r="E174" i="27" s="1"/>
  <c r="E175" i="27" s="1"/>
  <c r="G191" i="18"/>
  <c r="G192" i="18" s="1"/>
  <c r="G176" i="18"/>
  <c r="G186" i="18" s="1"/>
  <c r="G187" i="18" s="1"/>
  <c r="G188" i="18" s="1"/>
  <c r="G148" i="13"/>
  <c r="G158" i="13" s="1"/>
  <c r="G159" i="13" s="1"/>
  <c r="G160" i="13" s="1"/>
  <c r="C29" i="17"/>
  <c r="C36" i="17" s="1"/>
  <c r="D36" i="17" s="1"/>
  <c r="C23" i="17"/>
  <c r="C35" i="17" s="1"/>
  <c r="D35" i="17" s="1"/>
  <c r="AB16" i="10"/>
  <c r="D60" i="40"/>
  <c r="C60" i="40"/>
  <c r="I28" i="8"/>
  <c r="C59" i="8" a="1"/>
  <c r="AB104" i="10"/>
  <c r="AB107" i="10"/>
  <c r="AL7" i="10"/>
  <c r="AV7" i="10"/>
  <c r="AG7" i="10"/>
  <c r="AQ7" i="10"/>
  <c r="B138" i="9"/>
  <c r="C51" i="40"/>
  <c r="J64" i="46"/>
  <c r="V64" i="46"/>
  <c r="K64" i="46"/>
  <c r="W64" i="46"/>
  <c r="AI64" i="46"/>
  <c r="Z64" i="46"/>
  <c r="D59" i="46"/>
  <c r="G64" i="46"/>
  <c r="AC69" i="46"/>
  <c r="AA64" i="46"/>
  <c r="AC77" i="46"/>
  <c r="S64" i="46"/>
  <c r="K74" i="46"/>
  <c r="AA71" i="46"/>
  <c r="AA38" i="46"/>
  <c r="AH64" i="46"/>
  <c r="I24" i="46"/>
  <c r="I39" i="46" s="1"/>
  <c r="I70" i="46" s="1"/>
  <c r="K30" i="46"/>
  <c r="K40" i="46" s="1"/>
  <c r="K71" i="46" s="1"/>
  <c r="W30" i="46"/>
  <c r="W40" i="46" s="1"/>
  <c r="W71" i="46" s="1"/>
  <c r="Y64" i="46"/>
  <c r="M64" i="46"/>
  <c r="V74" i="46"/>
  <c r="S76" i="46"/>
  <c r="O64" i="46"/>
  <c r="L24" i="46"/>
  <c r="L39" i="46" s="1"/>
  <c r="L70" i="46" s="1"/>
  <c r="X24" i="46"/>
  <c r="X39" i="46" s="1"/>
  <c r="X70" i="46" s="1"/>
  <c r="F24" i="46"/>
  <c r="F39" i="46" s="1"/>
  <c r="R24" i="46"/>
  <c r="R39" i="46" s="1"/>
  <c r="R70" i="46" s="1"/>
  <c r="AD24" i="46"/>
  <c r="AD39" i="46" s="1"/>
  <c r="AD70" i="46" s="1"/>
  <c r="AB64" i="46"/>
  <c r="P64" i="46"/>
  <c r="Z74" i="46"/>
  <c r="W74" i="46"/>
  <c r="W77" i="46" s="1"/>
  <c r="M24" i="46"/>
  <c r="M39" i="46" s="1"/>
  <c r="M70" i="46" s="1"/>
  <c r="Y24" i="46"/>
  <c r="Y39" i="46" s="1"/>
  <c r="Y70" i="46" s="1"/>
  <c r="G24" i="46"/>
  <c r="G39" i="46" s="1"/>
  <c r="G70" i="46" s="1"/>
  <c r="AE24" i="46"/>
  <c r="AE39" i="46" s="1"/>
  <c r="AE70" i="46" s="1"/>
  <c r="Q64" i="46"/>
  <c r="AA74" i="46"/>
  <c r="AA77" i="46" s="1"/>
  <c r="Z24" i="46"/>
  <c r="Z39" i="46" s="1"/>
  <c r="Z70" i="46" s="1"/>
  <c r="T24" i="46"/>
  <c r="T39" i="46" s="1"/>
  <c r="T70" i="46" s="1"/>
  <c r="AF24" i="46"/>
  <c r="AF39" i="46" s="1"/>
  <c r="AF70" i="46" s="1"/>
  <c r="AD64" i="46"/>
  <c r="AB74" i="46"/>
  <c r="AB77" i="46" s="1"/>
  <c r="AE64" i="46"/>
  <c r="AH75" i="46"/>
  <c r="P24" i="46"/>
  <c r="P39" i="46" s="1"/>
  <c r="P70" i="46" s="1"/>
  <c r="AB24" i="46"/>
  <c r="AB39" i="46" s="1"/>
  <c r="AB70" i="46" s="1"/>
  <c r="V24" i="46"/>
  <c r="V39" i="46" s="1"/>
  <c r="V70" i="46" s="1"/>
  <c r="AH24" i="46"/>
  <c r="AH39" i="46" s="1"/>
  <c r="AH38" i="46" s="1"/>
  <c r="L30" i="46"/>
  <c r="L40" i="46" s="1"/>
  <c r="L71" i="46" s="1"/>
  <c r="X30" i="46"/>
  <c r="X40" i="46" s="1"/>
  <c r="X71" i="46" s="1"/>
  <c r="R30" i="46"/>
  <c r="R40" i="46" s="1"/>
  <c r="R71" i="46" s="1"/>
  <c r="AD30" i="46"/>
  <c r="AD40" i="46" s="1"/>
  <c r="AD71" i="46" s="1"/>
  <c r="AF64" i="46"/>
  <c r="AI74" i="46"/>
  <c r="E59" i="46"/>
  <c r="N64" i="46"/>
  <c r="M30" i="46"/>
  <c r="M40" i="46" s="1"/>
  <c r="M71" i="46" s="1"/>
  <c r="Y30" i="46"/>
  <c r="Y40" i="46" s="1"/>
  <c r="Y71" i="46" s="1"/>
  <c r="E54" i="46"/>
  <c r="AG64" i="46"/>
  <c r="J74" i="46"/>
  <c r="J77" i="46" s="1"/>
  <c r="AB71" i="46"/>
  <c r="O71" i="46"/>
  <c r="O69" i="46" s="1"/>
  <c r="O38" i="46"/>
  <c r="K70" i="46"/>
  <c r="AG38" i="46"/>
  <c r="AG70" i="46"/>
  <c r="N69" i="46"/>
  <c r="J38" i="46"/>
  <c r="J70" i="46"/>
  <c r="H70" i="46"/>
  <c r="N38" i="46"/>
  <c r="Q38" i="46"/>
  <c r="N77" i="46"/>
  <c r="S70" i="46"/>
  <c r="W70" i="46"/>
  <c r="AC38" i="46"/>
  <c r="U70" i="46"/>
  <c r="U38" i="46"/>
  <c r="T64" i="46"/>
  <c r="T75" i="46"/>
  <c r="Y77" i="46"/>
  <c r="AI38" i="46"/>
  <c r="AI70" i="46"/>
  <c r="Q69" i="46"/>
  <c r="L64" i="46"/>
  <c r="E49" i="46"/>
  <c r="L74" i="46"/>
  <c r="D49" i="46"/>
  <c r="F64" i="46"/>
  <c r="F76" i="46"/>
  <c r="AD77" i="46"/>
  <c r="D54" i="46"/>
  <c r="H75" i="46"/>
  <c r="H77" i="46" s="1"/>
  <c r="F30" i="46"/>
  <c r="X64" i="46"/>
  <c r="X74" i="46"/>
  <c r="R76" i="46"/>
  <c r="R64" i="46"/>
  <c r="M77" i="46"/>
  <c r="AE77" i="46"/>
  <c r="G76" i="46"/>
  <c r="G77" i="46" s="1"/>
  <c r="O77" i="46"/>
  <c r="S30" i="46"/>
  <c r="S40" i="46" s="1"/>
  <c r="S71" i="46" s="1"/>
  <c r="H30" i="46"/>
  <c r="H40" i="46" s="1"/>
  <c r="H71" i="46" s="1"/>
  <c r="AF30" i="46"/>
  <c r="AF40" i="46" s="1"/>
  <c r="AF71" i="46" s="1"/>
  <c r="G30" i="46"/>
  <c r="G40" i="46" s="1"/>
  <c r="G71" i="46" s="1"/>
  <c r="AE30" i="46"/>
  <c r="AE40" i="46" s="1"/>
  <c r="AE71" i="46" s="1"/>
  <c r="P77" i="46"/>
  <c r="T30" i="46"/>
  <c r="T40" i="46" s="1"/>
  <c r="T71" i="46" s="1"/>
  <c r="Q77" i="46"/>
  <c r="H64" i="46"/>
  <c r="AF77" i="46"/>
  <c r="AC64" i="46"/>
  <c r="I77" i="46"/>
  <c r="U77" i="46"/>
  <c r="AG77" i="46"/>
  <c r="I64" i="46"/>
  <c r="U64" i="46"/>
  <c r="S144" i="40"/>
  <c r="I144" i="40"/>
  <c r="N144" i="40"/>
  <c r="N142" i="40" s="1"/>
  <c r="W131" i="40"/>
  <c r="W141" i="40" s="1"/>
  <c r="J131" i="40"/>
  <c r="J141" i="40" s="1"/>
  <c r="D45" i="40"/>
  <c r="K131" i="40"/>
  <c r="K141" i="40" s="1"/>
  <c r="D43" i="40"/>
  <c r="X144" i="40"/>
  <c r="X142" i="40" s="1"/>
  <c r="X140" i="40" s="1"/>
  <c r="E85" i="40"/>
  <c r="C132" i="40" s="1"/>
  <c r="AC85" i="40"/>
  <c r="AA132" i="40" s="1"/>
  <c r="AA118" i="40" s="1"/>
  <c r="F90" i="40"/>
  <c r="G90" i="40"/>
  <c r="R90" i="40"/>
  <c r="M137" i="40"/>
  <c r="S90" i="40"/>
  <c r="H144" i="40"/>
  <c r="Z144" i="40"/>
  <c r="Z142" i="40" s="1"/>
  <c r="Z131" i="40"/>
  <c r="Z141" i="40" s="1"/>
  <c r="C43" i="40"/>
  <c r="D144" i="40"/>
  <c r="D142" i="40" s="1"/>
  <c r="P144" i="40"/>
  <c r="P142" i="40" s="1"/>
  <c r="AB144" i="40"/>
  <c r="AB142" i="40" s="1"/>
  <c r="AE90" i="40"/>
  <c r="E137" i="40"/>
  <c r="L131" i="40"/>
  <c r="L141" i="40" s="1"/>
  <c r="Y144" i="40"/>
  <c r="Y142" i="40" s="1"/>
  <c r="C45" i="40"/>
  <c r="AC137" i="40"/>
  <c r="C144" i="40"/>
  <c r="C142" i="40" s="1"/>
  <c r="R85" i="40"/>
  <c r="R88" i="40" s="1"/>
  <c r="AD85" i="40"/>
  <c r="Q85" i="40"/>
  <c r="Q88" i="40" s="1"/>
  <c r="O144" i="40"/>
  <c r="O142" i="40" s="1"/>
  <c r="AA144" i="40"/>
  <c r="AA142" i="40" s="1"/>
  <c r="G144" i="40"/>
  <c r="G142" i="40" s="1"/>
  <c r="H142" i="40"/>
  <c r="L85" i="40"/>
  <c r="L88" i="40" s="1"/>
  <c r="AB131" i="40"/>
  <c r="AB141" i="40" s="1"/>
  <c r="R144" i="40"/>
  <c r="R142" i="40" s="1"/>
  <c r="AE144" i="40"/>
  <c r="AE142" i="40" s="1"/>
  <c r="M144" i="40"/>
  <c r="M142" i="40" s="1"/>
  <c r="AA90" i="40"/>
  <c r="Q131" i="40"/>
  <c r="Q141" i="40" s="1"/>
  <c r="D137" i="40"/>
  <c r="AA131" i="40"/>
  <c r="AA141" i="40" s="1"/>
  <c r="T144" i="40"/>
  <c r="T142" i="40" s="1"/>
  <c r="U144" i="40"/>
  <c r="U142" i="40" s="1"/>
  <c r="U140" i="40" s="1"/>
  <c r="I142" i="40"/>
  <c r="I140" i="40" s="1"/>
  <c r="AC131" i="40"/>
  <c r="AC141" i="40" s="1"/>
  <c r="D34" i="40"/>
  <c r="F144" i="40"/>
  <c r="AD144" i="40"/>
  <c r="AD142" i="40" s="1"/>
  <c r="L144" i="40"/>
  <c r="L142" i="40" s="1"/>
  <c r="J85" i="40"/>
  <c r="AG90" i="40"/>
  <c r="V144" i="40"/>
  <c r="V142" i="40" s="1"/>
  <c r="V140" i="40" s="1"/>
  <c r="P137" i="40"/>
  <c r="AE137" i="40"/>
  <c r="W144" i="40"/>
  <c r="W142" i="40" s="1"/>
  <c r="D80" i="40"/>
  <c r="Y131" i="40"/>
  <c r="Y141" i="40" s="1"/>
  <c r="Q137" i="40"/>
  <c r="E159" i="40"/>
  <c r="J144" i="40"/>
  <c r="J142" i="40" s="1"/>
  <c r="K144" i="40"/>
  <c r="K142" i="40" s="1"/>
  <c r="T131" i="40"/>
  <c r="T141" i="40" s="1"/>
  <c r="H85" i="40"/>
  <c r="F132" i="40" s="1"/>
  <c r="AF85" i="40"/>
  <c r="D46" i="40"/>
  <c r="C46" i="40"/>
  <c r="C79" i="40"/>
  <c r="Q144" i="40"/>
  <c r="Q142" i="40" s="1"/>
  <c r="I90" i="40"/>
  <c r="S137" i="40"/>
  <c r="K85" i="40"/>
  <c r="K88" i="40" s="1"/>
  <c r="D79" i="40"/>
  <c r="D78" i="40"/>
  <c r="C78" i="40"/>
  <c r="G137" i="40"/>
  <c r="S142" i="40"/>
  <c r="C80" i="40"/>
  <c r="U90" i="40"/>
  <c r="P131" i="40"/>
  <c r="P141" i="40" s="1"/>
  <c r="D44" i="40"/>
  <c r="D72" i="40"/>
  <c r="C77" i="40"/>
  <c r="R131" i="40"/>
  <c r="R141" i="40" s="1"/>
  <c r="AD131" i="40"/>
  <c r="AD141" i="40" s="1"/>
  <c r="F134" i="40"/>
  <c r="AF131" i="40"/>
  <c r="AF141" i="40" s="1"/>
  <c r="H131" i="40"/>
  <c r="H141" i="40" s="1"/>
  <c r="AC144" i="40"/>
  <c r="AC142" i="40" s="1"/>
  <c r="C76" i="40"/>
  <c r="W85" i="40"/>
  <c r="E146" i="40"/>
  <c r="E144" i="40" s="1"/>
  <c r="E142" i="40" s="1"/>
  <c r="T85" i="40"/>
  <c r="AF144" i="40"/>
  <c r="AF142" i="40" s="1"/>
  <c r="X85" i="40"/>
  <c r="M131" i="40"/>
  <c r="M141" i="40" s="1"/>
  <c r="Y85" i="40"/>
  <c r="N131" i="40"/>
  <c r="N141" i="40" s="1"/>
  <c r="C34" i="40"/>
  <c r="F143" i="40"/>
  <c r="D76" i="40"/>
  <c r="O131" i="40"/>
  <c r="O141" i="40" s="1"/>
  <c r="D77" i="40"/>
  <c r="S131" i="40"/>
  <c r="S141" i="40" s="1"/>
  <c r="AE131" i="40"/>
  <c r="AE141" i="40" s="1"/>
  <c r="G85" i="40"/>
  <c r="AE85" i="40"/>
  <c r="AB137" i="40"/>
  <c r="X90" i="40"/>
  <c r="V137" i="40"/>
  <c r="Y137" i="40"/>
  <c r="C44" i="40"/>
  <c r="C72" i="40"/>
  <c r="J137" i="40"/>
  <c r="O90" i="40"/>
  <c r="C89" i="40"/>
  <c r="D89" i="40"/>
  <c r="H90" i="40"/>
  <c r="T90" i="40"/>
  <c r="AF90" i="40"/>
  <c r="F137" i="40"/>
  <c r="R137" i="40"/>
  <c r="AD137" i="40"/>
  <c r="J90" i="40"/>
  <c r="V90" i="40"/>
  <c r="AH90" i="40"/>
  <c r="H137" i="40"/>
  <c r="T137" i="40"/>
  <c r="AF137" i="40"/>
  <c r="K90" i="40"/>
  <c r="W90" i="40"/>
  <c r="I137" i="40"/>
  <c r="U137" i="40"/>
  <c r="M90" i="40"/>
  <c r="Y90" i="40"/>
  <c r="K137" i="40"/>
  <c r="W137" i="40"/>
  <c r="N90" i="40"/>
  <c r="Z90" i="40"/>
  <c r="L137" i="40"/>
  <c r="X137" i="40"/>
  <c r="P90" i="40"/>
  <c r="AB90" i="40"/>
  <c r="E90" i="40"/>
  <c r="Q90" i="40"/>
  <c r="AC90" i="40"/>
  <c r="I85" i="40"/>
  <c r="D87" i="40"/>
  <c r="S85" i="40"/>
  <c r="AH85" i="40"/>
  <c r="N85" i="40"/>
  <c r="Z85" i="40"/>
  <c r="M85" i="40"/>
  <c r="C87" i="40"/>
  <c r="C86" i="40"/>
  <c r="O85" i="40"/>
  <c r="AA85" i="40"/>
  <c r="F85" i="40"/>
  <c r="U85" i="40"/>
  <c r="D86" i="40"/>
  <c r="P85" i="40"/>
  <c r="AB85" i="40"/>
  <c r="AG85" i="40"/>
  <c r="V85" i="40"/>
  <c r="AB10" i="10"/>
  <c r="AB30" i="10"/>
  <c r="AB33" i="10"/>
  <c r="AB36" i="10"/>
  <c r="AB39" i="10"/>
  <c r="AB42" i="10"/>
  <c r="AB51" i="10"/>
  <c r="AB57" i="10"/>
  <c r="AB60" i="10"/>
  <c r="AB63" i="10"/>
  <c r="AB90" i="10"/>
  <c r="AB96" i="10"/>
  <c r="AB99" i="10"/>
  <c r="AB19" i="10"/>
  <c r="AB27" i="10"/>
  <c r="AB50" i="10"/>
  <c r="AB22" i="10"/>
  <c r="AB53" i="10"/>
  <c r="AB56" i="10"/>
  <c r="AB62" i="10"/>
  <c r="AB68" i="10"/>
  <c r="AB71" i="10"/>
  <c r="AB74" i="10"/>
  <c r="AB77" i="10"/>
  <c r="AB86" i="10"/>
  <c r="AB89" i="10"/>
  <c r="AB92" i="10"/>
  <c r="AB13" i="10"/>
  <c r="AB17" i="10"/>
  <c r="AB21" i="10"/>
  <c r="AB31" i="10"/>
  <c r="AB37" i="10"/>
  <c r="AB40" i="10"/>
  <c r="AB43" i="10"/>
  <c r="AB46" i="10"/>
  <c r="AB52" i="10"/>
  <c r="AB64" i="10"/>
  <c r="AB67" i="10"/>
  <c r="AB73" i="10"/>
  <c r="AB82" i="10"/>
  <c r="AB88" i="10"/>
  <c r="AB91" i="10"/>
  <c r="AB97" i="10"/>
  <c r="AB100" i="10"/>
  <c r="AB103" i="10"/>
  <c r="AB106" i="10"/>
  <c r="AB102" i="10"/>
  <c r="AB49" i="10"/>
  <c r="AB83" i="10"/>
  <c r="AB95" i="10"/>
  <c r="AB98" i="10"/>
  <c r="AB9" i="10"/>
  <c r="AB32" i="10"/>
  <c r="AB35" i="10"/>
  <c r="AB38" i="10"/>
  <c r="AB41" i="10"/>
  <c r="AB54" i="10"/>
  <c r="AB69" i="10"/>
  <c r="AB72" i="10"/>
  <c r="AB11" i="10"/>
  <c r="AB47" i="10"/>
  <c r="AB81" i="10"/>
  <c r="AB84" i="10"/>
  <c r="AB87" i="10"/>
  <c r="O21" i="10"/>
  <c r="T21" i="10"/>
  <c r="O46" i="10"/>
  <c r="O58" i="10"/>
  <c r="O36" i="10"/>
  <c r="O32" i="10"/>
  <c r="O68" i="10"/>
  <c r="O47" i="10"/>
  <c r="O42" i="10"/>
  <c r="O87" i="10"/>
  <c r="O53" i="10"/>
  <c r="O74" i="10"/>
  <c r="B47" i="9" a="1"/>
  <c r="B47" i="9" s="1"/>
  <c r="C14" i="8" s="1"/>
  <c r="O60" i="10"/>
  <c r="O106" i="10"/>
  <c r="O56" i="10"/>
  <c r="AB61" i="10"/>
  <c r="O66" i="10"/>
  <c r="AB34" i="10"/>
  <c r="AB78" i="10"/>
  <c r="O83" i="10"/>
  <c r="O86" i="10"/>
  <c r="AB94" i="10"/>
  <c r="O17" i="10"/>
  <c r="AB24" i="10"/>
  <c r="O105" i="10"/>
  <c r="O55" i="10"/>
  <c r="O39" i="10"/>
  <c r="O82" i="10"/>
  <c r="AB59" i="10"/>
  <c r="AB70" i="10"/>
  <c r="AB105" i="10"/>
  <c r="O61" i="10"/>
  <c r="AB48" i="10"/>
  <c r="AB29" i="10"/>
  <c r="O54" i="10"/>
  <c r="AB58" i="10"/>
  <c r="AB12" i="10"/>
  <c r="AB93" i="10"/>
  <c r="AB20" i="10"/>
  <c r="AB25" i="10"/>
  <c r="AB45" i="10"/>
  <c r="AB79" i="10"/>
  <c r="AB44" i="10"/>
  <c r="AB55" i="10"/>
  <c r="AB65" i="10"/>
  <c r="O48" i="10"/>
  <c r="T22" i="10"/>
  <c r="O22" i="10"/>
  <c r="W98" i="10"/>
  <c r="AD98" i="10" s="1"/>
  <c r="T29" i="10"/>
  <c r="O29" i="10"/>
  <c r="O89" i="10"/>
  <c r="T12" i="10"/>
  <c r="O12" i="10"/>
  <c r="O88" i="10"/>
  <c r="O107" i="10"/>
  <c r="O44" i="10"/>
  <c r="O49" i="10"/>
  <c r="O11" i="10"/>
  <c r="T11" i="10"/>
  <c r="T15" i="10"/>
  <c r="O15" i="10"/>
  <c r="O34" i="10"/>
  <c r="O70" i="10"/>
  <c r="O84" i="10"/>
  <c r="O30" i="10"/>
  <c r="O33" i="10"/>
  <c r="T10" i="10"/>
  <c r="O10" i="10"/>
  <c r="O72" i="10"/>
  <c r="O78" i="10"/>
  <c r="O94" i="10"/>
  <c r="T16" i="10"/>
  <c r="O16" i="10"/>
  <c r="O25" i="10"/>
  <c r="T25" i="10"/>
  <c r="O69" i="10"/>
  <c r="O93" i="10"/>
  <c r="O91" i="10"/>
  <c r="O104" i="10"/>
  <c r="O64" i="10"/>
  <c r="AB15" i="10"/>
  <c r="T27" i="10"/>
  <c r="O31" i="10"/>
  <c r="O43" i="10"/>
  <c r="AB66" i="10"/>
  <c r="AB76" i="10"/>
  <c r="AB85" i="10"/>
  <c r="O13" i="10"/>
  <c r="T13" i="10"/>
  <c r="O97" i="10"/>
  <c r="O57" i="10"/>
  <c r="O79" i="10"/>
  <c r="O103" i="10"/>
  <c r="O51" i="10"/>
  <c r="O71" i="10"/>
  <c r="O99" i="10"/>
  <c r="O98" i="10"/>
  <c r="O102" i="10"/>
  <c r="O38" i="10"/>
  <c r="O52" i="10"/>
  <c r="O62" i="10"/>
  <c r="O92" i="10"/>
  <c r="O50" i="10"/>
  <c r="O85" i="10"/>
  <c r="O9" i="10"/>
  <c r="O37" i="10"/>
  <c r="O80" i="10"/>
  <c r="O90" i="10"/>
  <c r="T24" i="10"/>
  <c r="O24" i="10"/>
  <c r="O35" i="10"/>
  <c r="O27" i="10"/>
  <c r="O40" i="10"/>
  <c r="O63" i="10"/>
  <c r="AB75" i="10"/>
  <c r="C139" i="9"/>
  <c r="O19" i="10"/>
  <c r="O20" i="10"/>
  <c r="O59" i="10"/>
  <c r="O75" i="10"/>
  <c r="O96" i="10"/>
  <c r="T19" i="10"/>
  <c r="O65" i="10"/>
  <c r="AB80" i="10"/>
  <c r="D9" i="10"/>
  <c r="O73" i="10"/>
  <c r="O95" i="10"/>
  <c r="AB101" i="10"/>
  <c r="O45" i="10"/>
  <c r="O100" i="10"/>
  <c r="W13" i="10"/>
  <c r="AD13" i="10" s="1"/>
  <c r="W31" i="10"/>
  <c r="AD31" i="10" s="1"/>
  <c r="W80" i="10"/>
  <c r="AD80" i="10" s="1"/>
  <c r="U79" i="10"/>
  <c r="V79" i="10" s="1"/>
  <c r="W76" i="10"/>
  <c r="AD76" i="10" s="1"/>
  <c r="U69" i="10"/>
  <c r="V69" i="10" s="1"/>
  <c r="W64" i="10"/>
  <c r="AD64" i="10" s="1"/>
  <c r="W40" i="10"/>
  <c r="AD40" i="10" s="1"/>
  <c r="U27" i="10"/>
  <c r="W22" i="10"/>
  <c r="AD22" i="10" s="1"/>
  <c r="W16" i="10"/>
  <c r="AD16" i="10" s="1"/>
  <c r="W82" i="10"/>
  <c r="AD82" i="10" s="1"/>
  <c r="U84" i="10"/>
  <c r="V84" i="10" s="1"/>
  <c r="U88" i="10"/>
  <c r="V88" i="10" s="1"/>
  <c r="U92" i="10"/>
  <c r="V92" i="10" s="1"/>
  <c r="W78" i="10"/>
  <c r="AD78" i="10" s="1"/>
  <c r="W88" i="10"/>
  <c r="AD88" i="10" s="1"/>
  <c r="U90" i="10"/>
  <c r="V90" i="10" s="1"/>
  <c r="U94" i="10"/>
  <c r="V94" i="10" s="1"/>
  <c r="W94" i="10"/>
  <c r="AD94" i="10" s="1"/>
  <c r="AF117" i="13" l="1"/>
  <c r="AG117" i="13"/>
  <c r="AH117" i="13"/>
  <c r="Y117" i="13"/>
  <c r="S117" i="13"/>
  <c r="J117" i="13"/>
  <c r="N117" i="13"/>
  <c r="AE117" i="13"/>
  <c r="U117" i="13"/>
  <c r="O117" i="13"/>
  <c r="H117" i="13"/>
  <c r="I117" i="13"/>
  <c r="P117" i="13"/>
  <c r="T117" i="13"/>
  <c r="V117" i="13"/>
  <c r="AB117" i="13"/>
  <c r="K117" i="13"/>
  <c r="E117" i="13"/>
  <c r="W117" i="13"/>
  <c r="Q117" i="13"/>
  <c r="Z117" i="13"/>
  <c r="AC117" i="13"/>
  <c r="AA117" i="13"/>
  <c r="F117" i="13"/>
  <c r="L117" i="13"/>
  <c r="R117" i="13"/>
  <c r="X117" i="13"/>
  <c r="AD117" i="13"/>
  <c r="M117" i="13"/>
  <c r="G117" i="13"/>
  <c r="X126" i="18"/>
  <c r="L126" i="18"/>
  <c r="W126" i="18"/>
  <c r="K126" i="18"/>
  <c r="AH126" i="18"/>
  <c r="V126" i="18"/>
  <c r="J126" i="18"/>
  <c r="AG126" i="18"/>
  <c r="U126" i="18"/>
  <c r="I126" i="18"/>
  <c r="AF126" i="18"/>
  <c r="T126" i="18"/>
  <c r="H126" i="18"/>
  <c r="AE126" i="18"/>
  <c r="S126" i="18"/>
  <c r="G126" i="18"/>
  <c r="E126" i="18"/>
  <c r="AD126" i="18"/>
  <c r="R126" i="18"/>
  <c r="F126" i="18"/>
  <c r="AC126" i="18"/>
  <c r="Q126" i="18"/>
  <c r="AB126" i="18"/>
  <c r="P126" i="18"/>
  <c r="AA126" i="18"/>
  <c r="O126" i="18"/>
  <c r="Z126" i="18"/>
  <c r="N126" i="18"/>
  <c r="Y126" i="18"/>
  <c r="M126" i="18"/>
  <c r="AC117" i="21"/>
  <c r="Q117" i="21"/>
  <c r="AG117" i="21"/>
  <c r="T117" i="21"/>
  <c r="AD117" i="21"/>
  <c r="AB117" i="21"/>
  <c r="P117" i="21"/>
  <c r="M117" i="21"/>
  <c r="X117" i="21"/>
  <c r="W117" i="21"/>
  <c r="V117" i="21"/>
  <c r="I117" i="21"/>
  <c r="AE117" i="21"/>
  <c r="S117" i="21"/>
  <c r="E117" i="21"/>
  <c r="F117" i="21"/>
  <c r="AA117" i="21"/>
  <c r="O117" i="21"/>
  <c r="AH117" i="21"/>
  <c r="U117" i="21"/>
  <c r="AF117" i="21"/>
  <c r="H117" i="21"/>
  <c r="R117" i="21"/>
  <c r="Z117" i="21"/>
  <c r="N117" i="21"/>
  <c r="Y117" i="21"/>
  <c r="L117" i="21"/>
  <c r="K117" i="21"/>
  <c r="J117" i="21"/>
  <c r="G117" i="21"/>
  <c r="W117" i="27"/>
  <c r="K117" i="27"/>
  <c r="S117" i="27"/>
  <c r="E117" i="27"/>
  <c r="AH117" i="27"/>
  <c r="V117" i="27"/>
  <c r="J117" i="27"/>
  <c r="AE117" i="27"/>
  <c r="G117" i="27"/>
  <c r="AD117" i="27"/>
  <c r="F117" i="27"/>
  <c r="Q117" i="27"/>
  <c r="N117" i="27"/>
  <c r="M117" i="27"/>
  <c r="X117" i="27"/>
  <c r="AG117" i="27"/>
  <c r="U117" i="27"/>
  <c r="I117" i="27"/>
  <c r="AB117" i="27"/>
  <c r="O117" i="27"/>
  <c r="L117" i="27"/>
  <c r="AF117" i="27"/>
  <c r="T117" i="27"/>
  <c r="H117" i="27"/>
  <c r="R117" i="27"/>
  <c r="AC117" i="27"/>
  <c r="P117" i="27"/>
  <c r="AA117" i="27"/>
  <c r="Z117" i="27"/>
  <c r="Y117" i="27"/>
  <c r="F178" i="27"/>
  <c r="F179" i="27" s="1"/>
  <c r="E177" i="21"/>
  <c r="F176" i="21" s="1"/>
  <c r="F177" i="21" s="1"/>
  <c r="H191" i="18"/>
  <c r="H192" i="18" s="1"/>
  <c r="H176" i="18"/>
  <c r="H186" i="18" s="1"/>
  <c r="H187" i="18" s="1"/>
  <c r="H188" i="18" s="1"/>
  <c r="H163" i="13"/>
  <c r="H164" i="13" s="1"/>
  <c r="C52" i="40"/>
  <c r="P108" i="10"/>
  <c r="D37" i="17"/>
  <c r="D58" i="17" s="1"/>
  <c r="C59" i="8"/>
  <c r="D65" i="8"/>
  <c r="E66" i="8"/>
  <c r="E67" i="8"/>
  <c r="E60" i="8"/>
  <c r="D66" i="8"/>
  <c r="E65" i="8"/>
  <c r="D60" i="8"/>
  <c r="D61" i="8"/>
  <c r="E68" i="8"/>
  <c r="D64" i="8"/>
  <c r="E61" i="8"/>
  <c r="D67" i="8"/>
  <c r="E62" i="8"/>
  <c r="D68" i="8"/>
  <c r="E63" i="8"/>
  <c r="E64" i="8"/>
  <c r="D62" i="8"/>
  <c r="D63" i="8"/>
  <c r="AR7" i="10"/>
  <c r="AH7" i="10"/>
  <c r="AW7" i="10"/>
  <c r="AM7" i="10"/>
  <c r="J140" i="40"/>
  <c r="V77" i="46"/>
  <c r="I38" i="46"/>
  <c r="AH77" i="46"/>
  <c r="AA69" i="46"/>
  <c r="P38" i="46"/>
  <c r="Z38" i="46"/>
  <c r="W38" i="46"/>
  <c r="AI77" i="46"/>
  <c r="K38" i="46"/>
  <c r="K77" i="46"/>
  <c r="Z77" i="46"/>
  <c r="Y38" i="46"/>
  <c r="G38" i="46"/>
  <c r="AH70" i="46"/>
  <c r="AE38" i="46"/>
  <c r="X38" i="46"/>
  <c r="M38" i="46"/>
  <c r="AD38" i="46"/>
  <c r="V38" i="46"/>
  <c r="AF38" i="46"/>
  <c r="D24" i="46"/>
  <c r="R38" i="46"/>
  <c r="E24" i="46"/>
  <c r="L38" i="46"/>
  <c r="S77" i="46"/>
  <c r="H38" i="46"/>
  <c r="AB38" i="46"/>
  <c r="T69" i="46"/>
  <c r="T38" i="46"/>
  <c r="AI69" i="46"/>
  <c r="X77" i="46"/>
  <c r="U69" i="46"/>
  <c r="AD69" i="46"/>
  <c r="H69" i="46"/>
  <c r="Z69" i="46"/>
  <c r="L77" i="46"/>
  <c r="G69" i="46"/>
  <c r="K69" i="46"/>
  <c r="M69" i="46"/>
  <c r="D74" i="46"/>
  <c r="T77" i="46"/>
  <c r="E76" i="46"/>
  <c r="D76" i="46"/>
  <c r="X69" i="46"/>
  <c r="E74" i="46"/>
  <c r="R69" i="46"/>
  <c r="W69" i="46"/>
  <c r="AE69" i="46"/>
  <c r="P69" i="46"/>
  <c r="F70" i="46"/>
  <c r="E39" i="46"/>
  <c r="D39" i="46"/>
  <c r="D64" i="46"/>
  <c r="E64" i="46"/>
  <c r="V69" i="46"/>
  <c r="AG69" i="46"/>
  <c r="Y69" i="46"/>
  <c r="AF69" i="46"/>
  <c r="F40" i="46"/>
  <c r="F38" i="46" s="1"/>
  <c r="E30" i="46"/>
  <c r="D30" i="46"/>
  <c r="E75" i="46"/>
  <c r="D75" i="46"/>
  <c r="S38" i="46"/>
  <c r="F77" i="46"/>
  <c r="I69" i="46"/>
  <c r="J69" i="46"/>
  <c r="R77" i="46"/>
  <c r="AB69" i="46"/>
  <c r="S69" i="46"/>
  <c r="L69" i="46"/>
  <c r="J88" i="40"/>
  <c r="AC88" i="40"/>
  <c r="W140" i="40"/>
  <c r="Z140" i="40"/>
  <c r="AD88" i="40"/>
  <c r="P132" i="40"/>
  <c r="P136" i="40" s="1"/>
  <c r="K140" i="40"/>
  <c r="F118" i="40"/>
  <c r="Y140" i="40"/>
  <c r="AE140" i="40"/>
  <c r="N140" i="40"/>
  <c r="O140" i="40"/>
  <c r="J132" i="40"/>
  <c r="J136" i="40" s="1"/>
  <c r="P140" i="40"/>
  <c r="L140" i="40"/>
  <c r="AB140" i="40"/>
  <c r="W88" i="40"/>
  <c r="H132" i="40"/>
  <c r="H118" i="40" s="1"/>
  <c r="T88" i="40"/>
  <c r="AB132" i="40"/>
  <c r="AB136" i="40" s="1"/>
  <c r="O132" i="40"/>
  <c r="O136" i="40" s="1"/>
  <c r="AC140" i="40"/>
  <c r="H140" i="40"/>
  <c r="Q140" i="40"/>
  <c r="AD140" i="40"/>
  <c r="AA140" i="40"/>
  <c r="C85" i="40"/>
  <c r="M140" i="40"/>
  <c r="F142" i="40"/>
  <c r="AC132" i="40"/>
  <c r="AD132" i="40"/>
  <c r="AD136" i="40" s="1"/>
  <c r="R132" i="40"/>
  <c r="R136" i="40" s="1"/>
  <c r="Y88" i="40"/>
  <c r="AF88" i="40"/>
  <c r="T140" i="40"/>
  <c r="AA136" i="40"/>
  <c r="S140" i="40"/>
  <c r="X88" i="40"/>
  <c r="V132" i="40"/>
  <c r="U132" i="40"/>
  <c r="U136" i="40" s="1"/>
  <c r="AF140" i="40"/>
  <c r="R140" i="40"/>
  <c r="AE88" i="40"/>
  <c r="E132" i="40"/>
  <c r="E118" i="40" s="1"/>
  <c r="W132" i="40"/>
  <c r="W118" i="40" s="1"/>
  <c r="I132" i="40"/>
  <c r="I136" i="40" s="1"/>
  <c r="D90" i="40"/>
  <c r="C90" i="40"/>
  <c r="N132" i="40"/>
  <c r="P88" i="40"/>
  <c r="AF132" i="40"/>
  <c r="AH88" i="40"/>
  <c r="Q132" i="40"/>
  <c r="S88" i="40"/>
  <c r="M132" i="40"/>
  <c r="O88" i="40"/>
  <c r="D85" i="40"/>
  <c r="G132" i="40"/>
  <c r="C118" i="40"/>
  <c r="C119" i="40" s="1"/>
  <c r="M88" i="40"/>
  <c r="K132" i="40"/>
  <c r="AG88" i="40"/>
  <c r="AE132" i="40"/>
  <c r="Y132" i="40"/>
  <c r="AA88" i="40"/>
  <c r="X132" i="40"/>
  <c r="Z88" i="40"/>
  <c r="T132" i="40"/>
  <c r="V88" i="40"/>
  <c r="L132" i="40"/>
  <c r="N88" i="40"/>
  <c r="Z132" i="40"/>
  <c r="AB88" i="40"/>
  <c r="U88" i="40"/>
  <c r="S132" i="40"/>
  <c r="D132" i="40"/>
  <c r="C17" i="8"/>
  <c r="F20" i="8" s="1"/>
  <c r="F22" i="8" s="1"/>
  <c r="F24" i="8" s="1"/>
  <c r="U21" i="10"/>
  <c r="V21" i="10" s="1"/>
  <c r="AC21" i="10" s="1"/>
  <c r="C138" i="9"/>
  <c r="D139" i="9"/>
  <c r="W67" i="10"/>
  <c r="AD67" i="10" s="1"/>
  <c r="U66" i="10"/>
  <c r="V66" i="10" s="1"/>
  <c r="AC66" i="10" s="1"/>
  <c r="W46" i="10"/>
  <c r="AD46" i="10" s="1"/>
  <c r="W25" i="10"/>
  <c r="AD25" i="10" s="1"/>
  <c r="U91" i="10"/>
  <c r="V91" i="10" s="1"/>
  <c r="AC91" i="10" s="1"/>
  <c r="U54" i="10"/>
  <c r="V54" i="10" s="1"/>
  <c r="W92" i="10"/>
  <c r="AD92" i="10" s="1"/>
  <c r="AE92" i="10" s="1"/>
  <c r="U9" i="10"/>
  <c r="V9" i="10" s="1"/>
  <c r="U97" i="10"/>
  <c r="V97" i="10" s="1"/>
  <c r="AC97" i="10" s="1"/>
  <c r="U100" i="10"/>
  <c r="V100" i="10" s="1"/>
  <c r="U24" i="10"/>
  <c r="V24" i="10" s="1"/>
  <c r="W10" i="10"/>
  <c r="AD10" i="10" s="1"/>
  <c r="W58" i="10"/>
  <c r="AD58" i="10" s="1"/>
  <c r="W73" i="10"/>
  <c r="AD73" i="10" s="1"/>
  <c r="W89" i="10"/>
  <c r="AD89" i="10" s="1"/>
  <c r="W74" i="10"/>
  <c r="AD74" i="10" s="1"/>
  <c r="U62" i="10"/>
  <c r="V62" i="10" s="1"/>
  <c r="W57" i="10"/>
  <c r="AD57" i="10" s="1"/>
  <c r="U107" i="10"/>
  <c r="V107" i="10" s="1"/>
  <c r="W103" i="10"/>
  <c r="AD103" i="10" s="1"/>
  <c r="W99" i="10"/>
  <c r="AD99" i="10" s="1"/>
  <c r="U89" i="10"/>
  <c r="V89" i="10" s="1"/>
  <c r="W79" i="10"/>
  <c r="AD79" i="10" s="1"/>
  <c r="AE79" i="10" s="1"/>
  <c r="U99" i="10"/>
  <c r="V99" i="10" s="1"/>
  <c r="W83" i="10"/>
  <c r="AD83" i="10" s="1"/>
  <c r="W69" i="10"/>
  <c r="AD69" i="10" s="1"/>
  <c r="AE69" i="10" s="1"/>
  <c r="U61" i="10"/>
  <c r="V61" i="10" s="1"/>
  <c r="AC61" i="10" s="1"/>
  <c r="U52" i="10"/>
  <c r="V52" i="10" s="1"/>
  <c r="W48" i="10"/>
  <c r="AD48" i="10" s="1"/>
  <c r="U25" i="10"/>
  <c r="V25" i="10" s="1"/>
  <c r="AC25" i="10" s="1"/>
  <c r="W102" i="10"/>
  <c r="AD102" i="10" s="1"/>
  <c r="W93" i="10"/>
  <c r="AD93" i="10" s="1"/>
  <c r="U83" i="10"/>
  <c r="V83" i="10" s="1"/>
  <c r="U78" i="10"/>
  <c r="V78" i="10" s="1"/>
  <c r="AC78" i="10" s="1"/>
  <c r="U101" i="10"/>
  <c r="V101" i="10" s="1"/>
  <c r="W100" i="10"/>
  <c r="AD100" i="10" s="1"/>
  <c r="W97" i="10"/>
  <c r="AD97" i="10" s="1"/>
  <c r="W72" i="10"/>
  <c r="AD72" i="10" s="1"/>
  <c r="U65" i="10"/>
  <c r="V65" i="10" s="1"/>
  <c r="U59" i="10"/>
  <c r="V59" i="10" s="1"/>
  <c r="W45" i="10"/>
  <c r="AD45" i="10" s="1"/>
  <c r="W35" i="10"/>
  <c r="AD35" i="10" s="1"/>
  <c r="W30" i="10"/>
  <c r="AD30" i="10" s="1"/>
  <c r="W96" i="10"/>
  <c r="AD96" i="10" s="1"/>
  <c r="W71" i="10"/>
  <c r="AD71" i="10" s="1"/>
  <c r="W51" i="10"/>
  <c r="AD51" i="10" s="1"/>
  <c r="W44" i="10"/>
  <c r="AD44" i="10" s="1"/>
  <c r="U40" i="10"/>
  <c r="V40" i="10" s="1"/>
  <c r="U35" i="10"/>
  <c r="V35" i="10" s="1"/>
  <c r="U22" i="10"/>
  <c r="V22" i="10" s="1"/>
  <c r="AC22" i="10" s="1"/>
  <c r="W17" i="10"/>
  <c r="AD17" i="10" s="1"/>
  <c r="W95" i="10"/>
  <c r="AD95" i="10" s="1"/>
  <c r="U71" i="10"/>
  <c r="V71" i="10" s="1"/>
  <c r="U58" i="10"/>
  <c r="V58" i="10" s="1"/>
  <c r="AC58" i="10" s="1"/>
  <c r="W39" i="10"/>
  <c r="AD39" i="10" s="1"/>
  <c r="W29" i="10"/>
  <c r="AD29" i="10" s="1"/>
  <c r="U17" i="10"/>
  <c r="V17" i="10" s="1"/>
  <c r="W12" i="10"/>
  <c r="AD12" i="10" s="1"/>
  <c r="U93" i="10"/>
  <c r="V93" i="10" s="1"/>
  <c r="U70" i="10"/>
  <c r="V70" i="10" s="1"/>
  <c r="AC70" i="10" s="1"/>
  <c r="W50" i="10"/>
  <c r="AD50" i="10" s="1"/>
  <c r="U44" i="10"/>
  <c r="V44" i="10" s="1"/>
  <c r="U34" i="10"/>
  <c r="V34" i="10" s="1"/>
  <c r="AC34" i="10" s="1"/>
  <c r="U95" i="10"/>
  <c r="V95" i="10" s="1"/>
  <c r="W91" i="10"/>
  <c r="AD91" i="10" s="1"/>
  <c r="U77" i="10"/>
  <c r="V77" i="10" s="1"/>
  <c r="U76" i="10"/>
  <c r="V76" i="10" s="1"/>
  <c r="AC76" i="10" s="1"/>
  <c r="U64" i="10"/>
  <c r="V64" i="10" s="1"/>
  <c r="AC64" i="10" s="1"/>
  <c r="W62" i="10"/>
  <c r="AD62" i="10" s="1"/>
  <c r="W59" i="10"/>
  <c r="AD59" i="10" s="1"/>
  <c r="U38" i="10"/>
  <c r="V38" i="10" s="1"/>
  <c r="U19" i="10"/>
  <c r="V19" i="10" s="1"/>
  <c r="AC19" i="10" s="1"/>
  <c r="W15" i="10"/>
  <c r="AD15" i="10" s="1"/>
  <c r="U37" i="10"/>
  <c r="V37" i="10" s="1"/>
  <c r="AC37" i="10" s="1"/>
  <c r="U13" i="10"/>
  <c r="V13" i="10" s="1"/>
  <c r="AC13" i="10" s="1"/>
  <c r="W54" i="10"/>
  <c r="AD54" i="10" s="1"/>
  <c r="W63" i="10"/>
  <c r="AD63" i="10" s="1"/>
  <c r="W101" i="10"/>
  <c r="AD101" i="10" s="1"/>
  <c r="W56" i="10"/>
  <c r="AD56" i="10" s="1"/>
  <c r="W24" i="10"/>
  <c r="AD24" i="10" s="1"/>
  <c r="W11" i="10"/>
  <c r="AD11" i="10" s="1"/>
  <c r="U55" i="10"/>
  <c r="V55" i="10" s="1"/>
  <c r="AC55" i="10" s="1"/>
  <c r="W36" i="10"/>
  <c r="AD36" i="10" s="1"/>
  <c r="W27" i="10"/>
  <c r="AD27" i="10" s="1"/>
  <c r="U11" i="10"/>
  <c r="V11" i="10" s="1"/>
  <c r="U81" i="10"/>
  <c r="V81" i="10" s="1"/>
  <c r="W53" i="10"/>
  <c r="AD53" i="10" s="1"/>
  <c r="U50" i="10"/>
  <c r="V50" i="10" s="1"/>
  <c r="U82" i="10"/>
  <c r="V82" i="10" s="1"/>
  <c r="W81" i="10"/>
  <c r="AD81" i="10" s="1"/>
  <c r="U80" i="10"/>
  <c r="V80" i="10" s="1"/>
  <c r="AC80" i="10" s="1"/>
  <c r="U56" i="10"/>
  <c r="V56" i="10" s="1"/>
  <c r="U47" i="10"/>
  <c r="V47" i="10" s="1"/>
  <c r="U46" i="10"/>
  <c r="V46" i="10" s="1"/>
  <c r="U32" i="10"/>
  <c r="V32" i="10" s="1"/>
  <c r="W9" i="10"/>
  <c r="AD9" i="10" s="1"/>
  <c r="U74" i="10"/>
  <c r="V74" i="10" s="1"/>
  <c r="W42" i="10"/>
  <c r="AD42" i="10" s="1"/>
  <c r="U43" i="10"/>
  <c r="V43" i="10" s="1"/>
  <c r="AC43" i="10" s="1"/>
  <c r="W41" i="10"/>
  <c r="AD41" i="10" s="1"/>
  <c r="W32" i="10"/>
  <c r="AD32" i="10" s="1"/>
  <c r="U31" i="10"/>
  <c r="V31" i="10" s="1"/>
  <c r="U106" i="10"/>
  <c r="V106" i="10" s="1"/>
  <c r="W65" i="10"/>
  <c r="AD65" i="10" s="1"/>
  <c r="W47" i="10"/>
  <c r="AD47" i="10" s="1"/>
  <c r="U105" i="10"/>
  <c r="V105" i="10" s="1"/>
  <c r="W85" i="10"/>
  <c r="AD85" i="10" s="1"/>
  <c r="U86" i="10"/>
  <c r="V86" i="10" s="1"/>
  <c r="AC86" i="10" s="1"/>
  <c r="W68" i="10"/>
  <c r="AD68" i="10" s="1"/>
  <c r="U20" i="10"/>
  <c r="V20" i="10" s="1"/>
  <c r="U68" i="10"/>
  <c r="V68" i="10" s="1"/>
  <c r="W38" i="10"/>
  <c r="AD38" i="10" s="1"/>
  <c r="U16" i="10"/>
  <c r="V16" i="10" s="1"/>
  <c r="U29" i="10"/>
  <c r="V29" i="10" s="1"/>
  <c r="U73" i="10"/>
  <c r="V73" i="10" s="1"/>
  <c r="AC73" i="10" s="1"/>
  <c r="W33" i="10"/>
  <c r="AD33" i="10" s="1"/>
  <c r="W87" i="10"/>
  <c r="AD87" i="10" s="1"/>
  <c r="W75" i="10"/>
  <c r="AD75" i="10" s="1"/>
  <c r="W60" i="10"/>
  <c r="AD60" i="10" s="1"/>
  <c r="U41" i="10"/>
  <c r="V41" i="10" s="1"/>
  <c r="W107" i="10"/>
  <c r="AD107" i="10" s="1"/>
  <c r="W106" i="10"/>
  <c r="AD106" i="10" s="1"/>
  <c r="W105" i="10"/>
  <c r="AD105" i="10" s="1"/>
  <c r="W90" i="10"/>
  <c r="AD90" i="10" s="1"/>
  <c r="AE90" i="10" s="1"/>
  <c r="U10" i="10"/>
  <c r="V10" i="10" s="1"/>
  <c r="AC10" i="10" s="1"/>
  <c r="W66" i="10"/>
  <c r="AD66" i="10" s="1"/>
  <c r="U49" i="10"/>
  <c r="V49" i="10" s="1"/>
  <c r="AC49" i="10" s="1"/>
  <c r="W20" i="10"/>
  <c r="AD20" i="10" s="1"/>
  <c r="U87" i="10"/>
  <c r="V87" i="10" s="1"/>
  <c r="W77" i="10"/>
  <c r="AD77" i="10" s="1"/>
  <c r="U67" i="10"/>
  <c r="V67" i="10" s="1"/>
  <c r="AC67" i="10" s="1"/>
  <c r="W21" i="10"/>
  <c r="AD21" i="10" s="1"/>
  <c r="U53" i="10"/>
  <c r="V53" i="10" s="1"/>
  <c r="U102" i="10"/>
  <c r="V102" i="10" s="1"/>
  <c r="U75" i="10"/>
  <c r="V75" i="10" s="1"/>
  <c r="AC75" i="10" s="1"/>
  <c r="U39" i="10"/>
  <c r="V39" i="10" s="1"/>
  <c r="W37" i="10"/>
  <c r="AD37" i="10" s="1"/>
  <c r="U30" i="10"/>
  <c r="V30" i="10" s="1"/>
  <c r="U98" i="10"/>
  <c r="V98" i="10" s="1"/>
  <c r="AC98" i="10" s="1"/>
  <c r="W55" i="10"/>
  <c r="AD55" i="10" s="1"/>
  <c r="W104" i="10"/>
  <c r="AD104" i="10" s="1"/>
  <c r="W70" i="10"/>
  <c r="AD70" i="10" s="1"/>
  <c r="W34" i="10"/>
  <c r="AD34" i="10" s="1"/>
  <c r="W49" i="10"/>
  <c r="AD49" i="10" s="1"/>
  <c r="U36" i="10"/>
  <c r="V36" i="10" s="1"/>
  <c r="AC36" i="10" s="1"/>
  <c r="W84" i="10"/>
  <c r="AD84" i="10" s="1"/>
  <c r="AE84" i="10" s="1"/>
  <c r="U103" i="10"/>
  <c r="V103" i="10" s="1"/>
  <c r="U33" i="10"/>
  <c r="V33" i="10" s="1"/>
  <c r="AC33" i="10" s="1"/>
  <c r="U42" i="10"/>
  <c r="V42" i="10" s="1"/>
  <c r="U72" i="10"/>
  <c r="V72" i="10" s="1"/>
  <c r="AC72" i="10" s="1"/>
  <c r="U45" i="10"/>
  <c r="V45" i="10" s="1"/>
  <c r="U85" i="10"/>
  <c r="V85" i="10" s="1"/>
  <c r="W61" i="10"/>
  <c r="AD61" i="10" s="1"/>
  <c r="W86" i="10"/>
  <c r="AD86" i="10" s="1"/>
  <c r="U60" i="10"/>
  <c r="V60" i="10" s="1"/>
  <c r="U51" i="10"/>
  <c r="V51" i="10" s="1"/>
  <c r="W19" i="10"/>
  <c r="AD19" i="10" s="1"/>
  <c r="W52" i="10"/>
  <c r="AD52" i="10" s="1"/>
  <c r="U104" i="10"/>
  <c r="V104" i="10" s="1"/>
  <c r="U48" i="10"/>
  <c r="V48" i="10" s="1"/>
  <c r="AC48" i="10" s="1"/>
  <c r="U57" i="10"/>
  <c r="V57" i="10" s="1"/>
  <c r="U96" i="10"/>
  <c r="V96" i="10" s="1"/>
  <c r="U12" i="10"/>
  <c r="V12" i="10" s="1"/>
  <c r="AC12" i="10" s="1"/>
  <c r="U15" i="10"/>
  <c r="V15" i="10" s="1"/>
  <c r="U63" i="10"/>
  <c r="V63" i="10" s="1"/>
  <c r="W43" i="10"/>
  <c r="AD43" i="10" s="1"/>
  <c r="D10" i="10"/>
  <c r="V27" i="10"/>
  <c r="AC69" i="10"/>
  <c r="AC90" i="10"/>
  <c r="AC79" i="10"/>
  <c r="AC94" i="10"/>
  <c r="AE94" i="10"/>
  <c r="AC92" i="10"/>
  <c r="AE88" i="10"/>
  <c r="AC88" i="10"/>
  <c r="AC84" i="10"/>
  <c r="AD138" i="18" l="1"/>
  <c r="AD127" i="18"/>
  <c r="AH138" i="18"/>
  <c r="AH127" i="18"/>
  <c r="AA129" i="27"/>
  <c r="AA118" i="27"/>
  <c r="AA157" i="13"/>
  <c r="AC118" i="13"/>
  <c r="X129" i="27"/>
  <c r="X118" i="27"/>
  <c r="X157" i="13"/>
  <c r="Z118" i="13"/>
  <c r="AC129" i="27"/>
  <c r="AC118" i="27"/>
  <c r="K129" i="27"/>
  <c r="K118" i="27"/>
  <c r="U129" i="21"/>
  <c r="U118" i="21"/>
  <c r="M129" i="21"/>
  <c r="M118" i="21"/>
  <c r="O138" i="18"/>
  <c r="O127" i="18"/>
  <c r="AE138" i="18"/>
  <c r="AE127" i="18"/>
  <c r="O157" i="13"/>
  <c r="Q118" i="13"/>
  <c r="R129" i="27"/>
  <c r="R118" i="27"/>
  <c r="N129" i="27"/>
  <c r="N118" i="27"/>
  <c r="W129" i="27"/>
  <c r="W118" i="27"/>
  <c r="AH129" i="21"/>
  <c r="AH118" i="21"/>
  <c r="P129" i="21"/>
  <c r="P118" i="21"/>
  <c r="AA138" i="18"/>
  <c r="AA127" i="18"/>
  <c r="H138" i="18"/>
  <c r="H127" i="18"/>
  <c r="X138" i="18"/>
  <c r="X127" i="18"/>
  <c r="U157" i="13"/>
  <c r="W118" i="13"/>
  <c r="L157" i="13"/>
  <c r="N118" i="13"/>
  <c r="H129" i="27"/>
  <c r="H118" i="27"/>
  <c r="Q129" i="27"/>
  <c r="Q118" i="27"/>
  <c r="G129" i="21"/>
  <c r="G118" i="21"/>
  <c r="O129" i="21"/>
  <c r="O118" i="21"/>
  <c r="AB129" i="21"/>
  <c r="AB118" i="21"/>
  <c r="P138" i="18"/>
  <c r="P127" i="18"/>
  <c r="T138" i="18"/>
  <c r="T127" i="18"/>
  <c r="E157" i="13"/>
  <c r="G118" i="13"/>
  <c r="C157" i="13"/>
  <c r="D117" i="13"/>
  <c r="C117" i="13"/>
  <c r="E118" i="13"/>
  <c r="H157" i="13"/>
  <c r="J118" i="13"/>
  <c r="T129" i="27"/>
  <c r="T118" i="27"/>
  <c r="F129" i="27"/>
  <c r="F118" i="27"/>
  <c r="J129" i="21"/>
  <c r="J118" i="21"/>
  <c r="AA129" i="21"/>
  <c r="AA118" i="21"/>
  <c r="AD129" i="21"/>
  <c r="AD118" i="21"/>
  <c r="AB138" i="18"/>
  <c r="AB127" i="18"/>
  <c r="AF138" i="18"/>
  <c r="AF127" i="18"/>
  <c r="K157" i="13"/>
  <c r="M118" i="13"/>
  <c r="I157" i="13"/>
  <c r="K118" i="13"/>
  <c r="Q157" i="13"/>
  <c r="S118" i="13"/>
  <c r="AF129" i="27"/>
  <c r="AF118" i="27"/>
  <c r="AD129" i="27"/>
  <c r="AD118" i="27"/>
  <c r="K129" i="21"/>
  <c r="K118" i="21"/>
  <c r="F129" i="21"/>
  <c r="F118" i="21"/>
  <c r="T129" i="21"/>
  <c r="T118" i="21"/>
  <c r="Q138" i="18"/>
  <c r="Q127" i="18"/>
  <c r="I138" i="18"/>
  <c r="I127" i="18"/>
  <c r="AB157" i="13"/>
  <c r="AD118" i="13"/>
  <c r="Z157" i="13"/>
  <c r="AB118" i="13"/>
  <c r="W157" i="13"/>
  <c r="Y118" i="13"/>
  <c r="L129" i="27"/>
  <c r="L118" i="27"/>
  <c r="G129" i="27"/>
  <c r="G118" i="27"/>
  <c r="L129" i="21"/>
  <c r="L118" i="21"/>
  <c r="E129" i="21"/>
  <c r="C117" i="21"/>
  <c r="D117" i="21"/>
  <c r="E118" i="21"/>
  <c r="AG129" i="21"/>
  <c r="AG118" i="21"/>
  <c r="AC138" i="18"/>
  <c r="AC127" i="18"/>
  <c r="U138" i="18"/>
  <c r="U127" i="18"/>
  <c r="V157" i="13"/>
  <c r="X118" i="13"/>
  <c r="T157" i="13"/>
  <c r="V118" i="13"/>
  <c r="AF157" i="13"/>
  <c r="AH118" i="13"/>
  <c r="O129" i="27"/>
  <c r="O118" i="27"/>
  <c r="AE129" i="27"/>
  <c r="AE118" i="27"/>
  <c r="Y129" i="21"/>
  <c r="Y118" i="21"/>
  <c r="S129" i="21"/>
  <c r="S118" i="21"/>
  <c r="Q129" i="21"/>
  <c r="Q118" i="21"/>
  <c r="F138" i="18"/>
  <c r="F127" i="18"/>
  <c r="AG138" i="18"/>
  <c r="AG127" i="18"/>
  <c r="P157" i="13"/>
  <c r="R118" i="13"/>
  <c r="R157" i="13"/>
  <c r="T118" i="13"/>
  <c r="AE157" i="13"/>
  <c r="AG118" i="13"/>
  <c r="Y129" i="27"/>
  <c r="Y118" i="27"/>
  <c r="I129" i="27"/>
  <c r="I118" i="27"/>
  <c r="V129" i="27"/>
  <c r="V118" i="27"/>
  <c r="Z129" i="21"/>
  <c r="Z118" i="21"/>
  <c r="I129" i="21"/>
  <c r="I118" i="21"/>
  <c r="M138" i="18"/>
  <c r="M127" i="18"/>
  <c r="V138" i="18"/>
  <c r="V127" i="18"/>
  <c r="D157" i="13"/>
  <c r="F118" i="13"/>
  <c r="G157" i="13"/>
  <c r="I118" i="13"/>
  <c r="Z129" i="27"/>
  <c r="Z118" i="27"/>
  <c r="U129" i="27"/>
  <c r="U118" i="27"/>
  <c r="AH129" i="27"/>
  <c r="AH118" i="27"/>
  <c r="R129" i="21"/>
  <c r="R118" i="21"/>
  <c r="V129" i="21"/>
  <c r="V118" i="21"/>
  <c r="Y138" i="18"/>
  <c r="Y127" i="18"/>
  <c r="D126" i="18"/>
  <c r="D151" i="18" s="1"/>
  <c r="E138" i="18"/>
  <c r="C126" i="18"/>
  <c r="E127" i="18"/>
  <c r="Y157" i="13"/>
  <c r="AA118" i="13"/>
  <c r="F157" i="13"/>
  <c r="H118" i="13"/>
  <c r="AG129" i="27"/>
  <c r="AG118" i="27"/>
  <c r="E129" i="27"/>
  <c r="C117" i="27"/>
  <c r="D117" i="27"/>
  <c r="E118" i="27"/>
  <c r="H129" i="21"/>
  <c r="H118" i="21"/>
  <c r="W129" i="21"/>
  <c r="W118" i="21"/>
  <c r="N138" i="18"/>
  <c r="N127" i="18"/>
  <c r="G138" i="18"/>
  <c r="G127" i="18"/>
  <c r="K138" i="18"/>
  <c r="K127" i="18"/>
  <c r="M157" i="13"/>
  <c r="O118" i="13"/>
  <c r="P129" i="27"/>
  <c r="P118" i="27"/>
  <c r="S129" i="27"/>
  <c r="S118" i="27"/>
  <c r="AF129" i="21"/>
  <c r="AF118" i="21"/>
  <c r="X129" i="21"/>
  <c r="X118" i="21"/>
  <c r="Z138" i="18"/>
  <c r="Z127" i="18"/>
  <c r="S138" i="18"/>
  <c r="S127" i="18"/>
  <c r="W138" i="18"/>
  <c r="W127" i="18"/>
  <c r="S157" i="13"/>
  <c r="U118" i="13"/>
  <c r="M129" i="27"/>
  <c r="M118" i="27"/>
  <c r="L138" i="18"/>
  <c r="L127" i="18"/>
  <c r="AC157" i="13"/>
  <c r="AE118" i="13"/>
  <c r="AB129" i="27"/>
  <c r="AB118" i="27"/>
  <c r="J129" i="27"/>
  <c r="J118" i="27"/>
  <c r="N129" i="21"/>
  <c r="N118" i="21"/>
  <c r="AE129" i="21"/>
  <c r="AE118" i="21"/>
  <c r="AC129" i="21"/>
  <c r="AC118" i="21"/>
  <c r="R138" i="18"/>
  <c r="R127" i="18"/>
  <c r="J138" i="18"/>
  <c r="J127" i="18"/>
  <c r="J157" i="13"/>
  <c r="L118" i="13"/>
  <c r="N157" i="13"/>
  <c r="P118" i="13"/>
  <c r="AD157" i="13"/>
  <c r="AF118" i="13"/>
  <c r="F163" i="27"/>
  <c r="F173" i="27" s="1"/>
  <c r="F174" i="27" s="1"/>
  <c r="F175" i="27" s="1"/>
  <c r="G178" i="27"/>
  <c r="G179" i="27" s="1"/>
  <c r="E161" i="21"/>
  <c r="E171" i="21" s="1"/>
  <c r="E172" i="21" s="1"/>
  <c r="E173" i="21" s="1"/>
  <c r="G163" i="27"/>
  <c r="G173" i="27" s="1"/>
  <c r="G174" i="27" s="1"/>
  <c r="G175" i="27" s="1"/>
  <c r="F161" i="21"/>
  <c r="F171" i="21" s="1"/>
  <c r="F172" i="21" s="1"/>
  <c r="F173" i="21" s="1"/>
  <c r="I191" i="18"/>
  <c r="I192" i="18" s="1"/>
  <c r="I176" i="18"/>
  <c r="I186" i="18" s="1"/>
  <c r="I187" i="18" s="1"/>
  <c r="I188" i="18" s="1"/>
  <c r="H148" i="13"/>
  <c r="H158" i="13" s="1"/>
  <c r="H159" i="13" s="1"/>
  <c r="H160" i="13" s="1"/>
  <c r="D11" i="46"/>
  <c r="AI41" i="46"/>
  <c r="E11" i="46"/>
  <c r="E59" i="8"/>
  <c r="D59" i="8"/>
  <c r="AE51" i="10"/>
  <c r="AZ51" i="10" s="1"/>
  <c r="AE21" i="10"/>
  <c r="AY21" i="10" s="1"/>
  <c r="AE60" i="10"/>
  <c r="AL60" i="10" s="1"/>
  <c r="AE72" i="10"/>
  <c r="AM72" i="10" s="1"/>
  <c r="AI7" i="10"/>
  <c r="AX7" i="10"/>
  <c r="AN7" i="10"/>
  <c r="AS7" i="10"/>
  <c r="AH69" i="46"/>
  <c r="E38" i="46"/>
  <c r="D38" i="46"/>
  <c r="E77" i="46"/>
  <c r="D77" i="46"/>
  <c r="F71" i="46"/>
  <c r="E40" i="46"/>
  <c r="D40" i="46"/>
  <c r="E70" i="46"/>
  <c r="D70" i="46"/>
  <c r="P118" i="40"/>
  <c r="J118" i="40"/>
  <c r="W136" i="40"/>
  <c r="O118" i="40"/>
  <c r="H136" i="40"/>
  <c r="R118" i="40"/>
  <c r="AB118" i="40"/>
  <c r="U118" i="40"/>
  <c r="AC136" i="40"/>
  <c r="AC118" i="40"/>
  <c r="V136" i="40"/>
  <c r="V118" i="40"/>
  <c r="I118" i="40"/>
  <c r="AD118" i="40"/>
  <c r="K136" i="40"/>
  <c r="K118" i="40"/>
  <c r="S136" i="40"/>
  <c r="S118" i="40"/>
  <c r="C121" i="40"/>
  <c r="Y118" i="40"/>
  <c r="Y136" i="40"/>
  <c r="G118" i="40"/>
  <c r="AE136" i="40"/>
  <c r="AE118" i="40"/>
  <c r="Z118" i="40"/>
  <c r="Z136" i="40"/>
  <c r="T136" i="40"/>
  <c r="T118" i="40"/>
  <c r="X118" i="40"/>
  <c r="X136" i="40"/>
  <c r="M118" i="40"/>
  <c r="M136" i="40"/>
  <c r="AF136" i="40"/>
  <c r="AF118" i="40"/>
  <c r="N118" i="40"/>
  <c r="N136" i="40"/>
  <c r="L118" i="40"/>
  <c r="L136" i="40"/>
  <c r="Q136" i="40"/>
  <c r="Q118" i="40"/>
  <c r="D118" i="40"/>
  <c r="AE33" i="10"/>
  <c r="AN33" i="10" s="1"/>
  <c r="AE63" i="10"/>
  <c r="AU63" i="10" s="1"/>
  <c r="AE45" i="10"/>
  <c r="AT45" i="10" s="1"/>
  <c r="AE75" i="10"/>
  <c r="AP75" i="10" s="1"/>
  <c r="AE100" i="10"/>
  <c r="AO100" i="10" s="1"/>
  <c r="AC60" i="10"/>
  <c r="AE85" i="10"/>
  <c r="AV85" i="10" s="1"/>
  <c r="AE48" i="10"/>
  <c r="AR48" i="10" s="1"/>
  <c r="AE104" i="10"/>
  <c r="AM104" i="10" s="1"/>
  <c r="AE103" i="10"/>
  <c r="AO103" i="10" s="1"/>
  <c r="AE70" i="10"/>
  <c r="AO70" i="10" s="1"/>
  <c r="AE78" i="10"/>
  <c r="AR78" i="10" s="1"/>
  <c r="AE67" i="10"/>
  <c r="AT67" i="10" s="1"/>
  <c r="AC63" i="10"/>
  <c r="AC51" i="10"/>
  <c r="AE12" i="10"/>
  <c r="AV12" i="10" s="1"/>
  <c r="AE36" i="10"/>
  <c r="AY36" i="10" s="1"/>
  <c r="AE19" i="10"/>
  <c r="AO19" i="10" s="1"/>
  <c r="AE13" i="10"/>
  <c r="AV13" i="10" s="1"/>
  <c r="AE64" i="10"/>
  <c r="AZ64" i="10" s="1"/>
  <c r="AC85" i="10"/>
  <c r="AC100" i="10"/>
  <c r="AE25" i="10"/>
  <c r="AZ25" i="10" s="1"/>
  <c r="AE42" i="10"/>
  <c r="AR42" i="10" s="1"/>
  <c r="AE37" i="10"/>
  <c r="AW37" i="10" s="1"/>
  <c r="AC103" i="10"/>
  <c r="AC104" i="10"/>
  <c r="AE86" i="10"/>
  <c r="AU86" i="10" s="1"/>
  <c r="AE39" i="10"/>
  <c r="AS39" i="10" s="1"/>
  <c r="AC29" i="10"/>
  <c r="AE29" i="10"/>
  <c r="AC106" i="10"/>
  <c r="AE106" i="10"/>
  <c r="AC107" i="10"/>
  <c r="AE107" i="10"/>
  <c r="AE96" i="10"/>
  <c r="AO96" i="10" s="1"/>
  <c r="AC96" i="10"/>
  <c r="AC31" i="10"/>
  <c r="AE31" i="10"/>
  <c r="AE57" i="10"/>
  <c r="AX57" i="10" s="1"/>
  <c r="AE54" i="10"/>
  <c r="AY54" i="10" s="1"/>
  <c r="AC54" i="10"/>
  <c r="AE20" i="10"/>
  <c r="AC20" i="10"/>
  <c r="AC53" i="10"/>
  <c r="AE53" i="10"/>
  <c r="AE35" i="10"/>
  <c r="AC35" i="10"/>
  <c r="AE80" i="10"/>
  <c r="AE66" i="10"/>
  <c r="AN66" i="10" s="1"/>
  <c r="AE77" i="10"/>
  <c r="AC77" i="10"/>
  <c r="AC16" i="10"/>
  <c r="AE16" i="10"/>
  <c r="AC82" i="10"/>
  <c r="AE82" i="10"/>
  <c r="AE71" i="10"/>
  <c r="AC71" i="10"/>
  <c r="AC62" i="10"/>
  <c r="AE62" i="10"/>
  <c r="AE76" i="10"/>
  <c r="AC45" i="10"/>
  <c r="AE98" i="10"/>
  <c r="AN98" i="10" s="1"/>
  <c r="AE97" i="10"/>
  <c r="AS97" i="10" s="1"/>
  <c r="AC42" i="10"/>
  <c r="AE50" i="10"/>
  <c r="AC50" i="10"/>
  <c r="AC95" i="10"/>
  <c r="AE95" i="10"/>
  <c r="AE59" i="10"/>
  <c r="AC59" i="10"/>
  <c r="AE52" i="10"/>
  <c r="AC52" i="10"/>
  <c r="AE91" i="10"/>
  <c r="AL91" i="10" s="1"/>
  <c r="AC39" i="10"/>
  <c r="AE68" i="10"/>
  <c r="AC68" i="10"/>
  <c r="AC65" i="10"/>
  <c r="AE65" i="10"/>
  <c r="AL64" i="10"/>
  <c r="AC102" i="10"/>
  <c r="AE102" i="10"/>
  <c r="AC81" i="10"/>
  <c r="AE81" i="10"/>
  <c r="AC44" i="10"/>
  <c r="AE44" i="10"/>
  <c r="AE73" i="10"/>
  <c r="AE22" i="10"/>
  <c r="AC57" i="10"/>
  <c r="AE74" i="10"/>
  <c r="AC74" i="10"/>
  <c r="AE11" i="10"/>
  <c r="AC11" i="10"/>
  <c r="AE10" i="10"/>
  <c r="AV10" i="10" s="1"/>
  <c r="D11" i="10"/>
  <c r="AE49" i="10"/>
  <c r="AE41" i="10"/>
  <c r="AC41" i="10"/>
  <c r="AC40" i="10"/>
  <c r="AE40" i="10"/>
  <c r="AC99" i="10"/>
  <c r="AE99" i="10"/>
  <c r="AE34" i="10"/>
  <c r="AE32" i="10"/>
  <c r="AC32" i="10"/>
  <c r="AC38" i="10"/>
  <c r="AE38" i="10"/>
  <c r="AE93" i="10"/>
  <c r="AC93" i="10"/>
  <c r="AC101" i="10"/>
  <c r="AE101" i="10"/>
  <c r="AE58" i="10"/>
  <c r="AE43" i="10"/>
  <c r="E139" i="9"/>
  <c r="D138" i="9"/>
  <c r="AC17" i="10"/>
  <c r="AE17" i="10"/>
  <c r="AE105" i="10"/>
  <c r="AC105" i="10"/>
  <c r="AE46" i="10"/>
  <c r="AC46" i="10"/>
  <c r="AC89" i="10"/>
  <c r="AE89" i="10"/>
  <c r="AE61" i="10"/>
  <c r="AE87" i="10"/>
  <c r="AC87" i="10"/>
  <c r="AE47" i="10"/>
  <c r="AC47" i="10"/>
  <c r="AE83" i="10"/>
  <c r="AC83" i="10"/>
  <c r="AE55" i="10"/>
  <c r="AC56" i="10"/>
  <c r="AE56" i="10"/>
  <c r="AR88" i="10"/>
  <c r="AZ88" i="10"/>
  <c r="AM88" i="10"/>
  <c r="AP88" i="10"/>
  <c r="AO88" i="10"/>
  <c r="AN88" i="10"/>
  <c r="AL88" i="10"/>
  <c r="AX88" i="10"/>
  <c r="AW88" i="10"/>
  <c r="AV88" i="10"/>
  <c r="AS88" i="10"/>
  <c r="AQ88" i="10"/>
  <c r="AU88" i="10"/>
  <c r="AT88" i="10"/>
  <c r="AY88" i="10"/>
  <c r="AX69" i="10"/>
  <c r="AL69" i="10"/>
  <c r="AN69" i="10"/>
  <c r="AZ69" i="10"/>
  <c r="AM69" i="10"/>
  <c r="AY69" i="10"/>
  <c r="AW69" i="10"/>
  <c r="AV69" i="10"/>
  <c r="AU69" i="10"/>
  <c r="AQ69" i="10"/>
  <c r="AP69" i="10"/>
  <c r="AO69" i="10"/>
  <c r="AT69" i="10"/>
  <c r="AS69" i="10"/>
  <c r="AR69" i="10"/>
  <c r="AE24" i="10"/>
  <c r="AC24" i="10"/>
  <c r="AZ92" i="10"/>
  <c r="AN92" i="10"/>
  <c r="AS92" i="10"/>
  <c r="AP92" i="10"/>
  <c r="AO92" i="10"/>
  <c r="AM92" i="10"/>
  <c r="AL92" i="10"/>
  <c r="AX92" i="10"/>
  <c r="AW92" i="10"/>
  <c r="AV92" i="10"/>
  <c r="AR92" i="10"/>
  <c r="AQ92" i="10"/>
  <c r="AY92" i="10"/>
  <c r="AU92" i="10"/>
  <c r="AT92" i="10"/>
  <c r="AX79" i="10"/>
  <c r="AL79" i="10"/>
  <c r="AN79" i="10"/>
  <c r="AZ79" i="10"/>
  <c r="AY79" i="10"/>
  <c r="AW79" i="10"/>
  <c r="AV79" i="10"/>
  <c r="AU79" i="10"/>
  <c r="AT79" i="10"/>
  <c r="AR79" i="10"/>
  <c r="AQ79" i="10"/>
  <c r="AP79" i="10"/>
  <c r="AO79" i="10"/>
  <c r="AM79" i="10"/>
  <c r="AS79" i="10"/>
  <c r="AR94" i="10"/>
  <c r="AZ94" i="10"/>
  <c r="AM94" i="10"/>
  <c r="AO94" i="10"/>
  <c r="AN94" i="10"/>
  <c r="AL94" i="10"/>
  <c r="AY94" i="10"/>
  <c r="AU94" i="10"/>
  <c r="AT94" i="10"/>
  <c r="AS94" i="10"/>
  <c r="AQ94" i="10"/>
  <c r="AX94" i="10"/>
  <c r="AW94" i="10"/>
  <c r="AV94" i="10"/>
  <c r="AP94" i="10"/>
  <c r="AV84" i="10"/>
  <c r="AU84" i="10"/>
  <c r="AP84" i="10"/>
  <c r="AM84" i="10"/>
  <c r="AO84" i="10"/>
  <c r="AN84" i="10"/>
  <c r="AY84" i="10"/>
  <c r="AX84" i="10"/>
  <c r="AW84" i="10"/>
  <c r="AT84" i="10"/>
  <c r="AQ84" i="10"/>
  <c r="AL84" i="10"/>
  <c r="AS84" i="10"/>
  <c r="AR84" i="10"/>
  <c r="AZ84" i="10"/>
  <c r="AE27" i="10"/>
  <c r="AC27" i="10"/>
  <c r="AE9" i="10"/>
  <c r="AC9" i="10"/>
  <c r="AE15" i="10"/>
  <c r="AC15" i="10"/>
  <c r="AV90" i="10"/>
  <c r="AU90" i="10"/>
  <c r="AO90" i="10"/>
  <c r="AN90" i="10"/>
  <c r="AM90" i="10"/>
  <c r="AZ90" i="10"/>
  <c r="AL90" i="10"/>
  <c r="AW90" i="10"/>
  <c r="AT90" i="10"/>
  <c r="AS90" i="10"/>
  <c r="AR90" i="10"/>
  <c r="AP90" i="10"/>
  <c r="AY90" i="10"/>
  <c r="AX90" i="10"/>
  <c r="AQ90" i="10"/>
  <c r="AE30" i="10"/>
  <c r="AC30" i="10"/>
  <c r="X185" i="18" l="1"/>
  <c r="Z139" i="18"/>
  <c r="I185" i="18"/>
  <c r="K139" i="18"/>
  <c r="C172" i="27"/>
  <c r="C129" i="27"/>
  <c r="D129" i="27"/>
  <c r="E130" i="27"/>
  <c r="W185" i="18"/>
  <c r="Y139" i="18"/>
  <c r="T172" i="27"/>
  <c r="V130" i="27"/>
  <c r="AE185" i="18"/>
  <c r="AG139" i="18"/>
  <c r="M172" i="27"/>
  <c r="O130" i="27"/>
  <c r="AE170" i="21"/>
  <c r="AG130" i="21"/>
  <c r="D170" i="21"/>
  <c r="F130" i="21"/>
  <c r="R185" i="18"/>
  <c r="T139" i="18"/>
  <c r="F172" i="27"/>
  <c r="H130" i="27"/>
  <c r="N170" i="21"/>
  <c r="P130" i="21"/>
  <c r="D118" i="21"/>
  <c r="AA170" i="21"/>
  <c r="AC130" i="21"/>
  <c r="J185" i="18"/>
  <c r="L139" i="18"/>
  <c r="E185" i="18"/>
  <c r="G139" i="18"/>
  <c r="T170" i="21"/>
  <c r="V130" i="21"/>
  <c r="G172" i="27"/>
  <c r="I130" i="27"/>
  <c r="D185" i="18"/>
  <c r="F139" i="18"/>
  <c r="I170" i="21"/>
  <c r="K130" i="21"/>
  <c r="AD185" i="18"/>
  <c r="AF139" i="18"/>
  <c r="R172" i="27"/>
  <c r="T130" i="27"/>
  <c r="N185" i="18"/>
  <c r="P139" i="18"/>
  <c r="AF170" i="21"/>
  <c r="AH130" i="21"/>
  <c r="V172" i="27"/>
  <c r="X130" i="27"/>
  <c r="P170" i="21"/>
  <c r="R130" i="21"/>
  <c r="T185" i="18"/>
  <c r="V139" i="18"/>
  <c r="O170" i="21"/>
  <c r="Q130" i="21"/>
  <c r="C170" i="21"/>
  <c r="D129" i="21"/>
  <c r="C129" i="21"/>
  <c r="E130" i="21"/>
  <c r="AB172" i="27"/>
  <c r="AD130" i="27"/>
  <c r="Z185" i="18"/>
  <c r="AB139" i="18"/>
  <c r="Z170" i="21"/>
  <c r="AB130" i="21"/>
  <c r="U172" i="27"/>
  <c r="W130" i="27"/>
  <c r="D118" i="13"/>
  <c r="C118" i="13"/>
  <c r="Q172" i="27"/>
  <c r="S130" i="27"/>
  <c r="U170" i="21"/>
  <c r="W130" i="21"/>
  <c r="AF172" i="27"/>
  <c r="AH130" i="27"/>
  <c r="Q170" i="21"/>
  <c r="S130" i="21"/>
  <c r="J170" i="21"/>
  <c r="L130" i="21"/>
  <c r="G185" i="18"/>
  <c r="I139" i="18"/>
  <c r="AD172" i="27"/>
  <c r="AF130" i="27"/>
  <c r="AB170" i="21"/>
  <c r="AD130" i="21"/>
  <c r="M170" i="21"/>
  <c r="O130" i="21"/>
  <c r="V185" i="18"/>
  <c r="X139" i="18"/>
  <c r="L172" i="27"/>
  <c r="N130" i="27"/>
  <c r="Y172" i="27"/>
  <c r="AA130" i="27"/>
  <c r="U185" i="18"/>
  <c r="W139" i="18"/>
  <c r="N172" i="27"/>
  <c r="P130" i="27"/>
  <c r="F170" i="21"/>
  <c r="H130" i="21"/>
  <c r="S172" i="27"/>
  <c r="U130" i="27"/>
  <c r="G170" i="21"/>
  <c r="I130" i="21"/>
  <c r="W170" i="21"/>
  <c r="Y130" i="21"/>
  <c r="S185" i="18"/>
  <c r="U139" i="18"/>
  <c r="O185" i="18"/>
  <c r="Q139" i="18"/>
  <c r="I172" i="27"/>
  <c r="K130" i="27"/>
  <c r="D118" i="27"/>
  <c r="C118" i="27"/>
  <c r="C185" i="18"/>
  <c r="D138" i="18"/>
  <c r="C138" i="18"/>
  <c r="E139" i="18"/>
  <c r="C118" i="21"/>
  <c r="P185" i="18"/>
  <c r="R139" i="18"/>
  <c r="D172" i="27"/>
  <c r="F130" i="27"/>
  <c r="AC185" i="18"/>
  <c r="AE139" i="18"/>
  <c r="V170" i="21"/>
  <c r="X130" i="21"/>
  <c r="AE172" i="27"/>
  <c r="AG130" i="27"/>
  <c r="M185" i="18"/>
  <c r="O139" i="18"/>
  <c r="AC170" i="21"/>
  <c r="AE130" i="21"/>
  <c r="K172" i="27"/>
  <c r="M130" i="27"/>
  <c r="AD170" i="21"/>
  <c r="AF130" i="21"/>
  <c r="L185" i="18"/>
  <c r="N139" i="18"/>
  <c r="W172" i="27"/>
  <c r="Y130" i="27"/>
  <c r="K170" i="21"/>
  <c r="M130" i="21"/>
  <c r="L170" i="21"/>
  <c r="N130" i="21"/>
  <c r="K185" i="18"/>
  <c r="M139" i="18"/>
  <c r="S170" i="21"/>
  <c r="U130" i="21"/>
  <c r="D127" i="18"/>
  <c r="C127" i="18"/>
  <c r="H172" i="27"/>
  <c r="J130" i="27"/>
  <c r="E172" i="27"/>
  <c r="G130" i="27"/>
  <c r="Y170" i="21"/>
  <c r="AA130" i="21"/>
  <c r="E170" i="21"/>
  <c r="G130" i="21"/>
  <c r="F185" i="18"/>
  <c r="H139" i="18"/>
  <c r="P172" i="27"/>
  <c r="R130" i="27"/>
  <c r="AF185" i="18"/>
  <c r="AH139" i="18"/>
  <c r="H185" i="18"/>
  <c r="J139" i="18"/>
  <c r="Z172" i="27"/>
  <c r="AB130" i="27"/>
  <c r="Q185" i="18"/>
  <c r="S139" i="18"/>
  <c r="E151" i="18"/>
  <c r="D152" i="18"/>
  <c r="E152" i="18" s="1"/>
  <c r="X172" i="27"/>
  <c r="Z130" i="27"/>
  <c r="X170" i="21"/>
  <c r="Z130" i="21"/>
  <c r="AC172" i="27"/>
  <c r="AE130" i="27"/>
  <c r="AA185" i="18"/>
  <c r="AC139" i="18"/>
  <c r="J172" i="27"/>
  <c r="L130" i="27"/>
  <c r="R170" i="21"/>
  <c r="T130" i="21"/>
  <c r="H170" i="21"/>
  <c r="J130" i="21"/>
  <c r="O172" i="27"/>
  <c r="Q130" i="27"/>
  <c r="Y185" i="18"/>
  <c r="AA139" i="18"/>
  <c r="AA172" i="27"/>
  <c r="AC130" i="27"/>
  <c r="AB185" i="18"/>
  <c r="AD139" i="18"/>
  <c r="G176" i="21"/>
  <c r="H178" i="27"/>
  <c r="J191" i="18"/>
  <c r="J192" i="18" s="1"/>
  <c r="J176" i="18"/>
  <c r="J186" i="18" s="1"/>
  <c r="J187" i="18" s="1"/>
  <c r="J188" i="18" s="1"/>
  <c r="I163" i="13"/>
  <c r="I164" i="13" s="1"/>
  <c r="AM60" i="10"/>
  <c r="AQ51" i="10"/>
  <c r="AQ60" i="10"/>
  <c r="AY60" i="10"/>
  <c r="AP51" i="10"/>
  <c r="AY51" i="10"/>
  <c r="AN51" i="10"/>
  <c r="AS51" i="10"/>
  <c r="AT51" i="10"/>
  <c r="AX51" i="10"/>
  <c r="AU21" i="10"/>
  <c r="AW51" i="10"/>
  <c r="AM51" i="10"/>
  <c r="AR51" i="10"/>
  <c r="AL51" i="10"/>
  <c r="AU51" i="10"/>
  <c r="AO21" i="10"/>
  <c r="AV51" i="10"/>
  <c r="AP21" i="10"/>
  <c r="AO51" i="10"/>
  <c r="AZ21" i="10"/>
  <c r="AN21" i="10"/>
  <c r="AL21" i="10"/>
  <c r="AX21" i="10"/>
  <c r="AR60" i="10"/>
  <c r="AR21" i="10"/>
  <c r="AZ60" i="10"/>
  <c r="AV21" i="10"/>
  <c r="AP45" i="10"/>
  <c r="AQ21" i="10"/>
  <c r="AS21" i="10"/>
  <c r="AP60" i="10"/>
  <c r="AW21" i="10"/>
  <c r="AU60" i="10"/>
  <c r="AM21" i="10"/>
  <c r="AO60" i="10"/>
  <c r="AV60" i="10"/>
  <c r="AS60" i="10"/>
  <c r="AT60" i="10"/>
  <c r="AW60" i="10"/>
  <c r="AX72" i="10"/>
  <c r="AN60" i="10"/>
  <c r="AX60" i="10"/>
  <c r="AT21" i="10"/>
  <c r="AN72" i="10"/>
  <c r="AT72" i="10"/>
  <c r="AR45" i="10"/>
  <c r="AS45" i="10"/>
  <c r="AU45" i="10"/>
  <c r="AR72" i="10"/>
  <c r="AQ72" i="10"/>
  <c r="AS72" i="10"/>
  <c r="AW72" i="10"/>
  <c r="AP72" i="10"/>
  <c r="AZ72" i="10"/>
  <c r="AU72" i="10"/>
  <c r="AL72" i="10"/>
  <c r="AV72" i="10"/>
  <c r="AY72" i="10"/>
  <c r="AO72" i="10"/>
  <c r="AQ66" i="10"/>
  <c r="AR67" i="10"/>
  <c r="AV63" i="10"/>
  <c r="AN67" i="10"/>
  <c r="AY7" i="10"/>
  <c r="AO7" i="10"/>
  <c r="AT7" i="10"/>
  <c r="AJ7" i="10"/>
  <c r="AU33" i="10"/>
  <c r="AV33" i="10"/>
  <c r="AY64" i="10"/>
  <c r="E71" i="46"/>
  <c r="D71" i="46"/>
  <c r="F69" i="46"/>
  <c r="D119" i="40"/>
  <c r="D121" i="40" s="1"/>
  <c r="E119" i="40" s="1"/>
  <c r="AY100" i="10"/>
  <c r="AP63" i="10"/>
  <c r="AZ96" i="10"/>
  <c r="AR63" i="10"/>
  <c r="AQ63" i="10"/>
  <c r="AY45" i="10"/>
  <c r="AM45" i="10"/>
  <c r="AX45" i="10"/>
  <c r="AR33" i="10"/>
  <c r="AQ10" i="10"/>
  <c r="AS33" i="10"/>
  <c r="AZ85" i="10"/>
  <c r="AS19" i="10"/>
  <c r="AU85" i="10"/>
  <c r="AT48" i="10"/>
  <c r="AU48" i="10"/>
  <c r="AW45" i="10"/>
  <c r="AQ75" i="10"/>
  <c r="AR75" i="10"/>
  <c r="AY48" i="10"/>
  <c r="AL48" i="10"/>
  <c r="AP12" i="10"/>
  <c r="AY75" i="10"/>
  <c r="AM75" i="10"/>
  <c r="AT63" i="10"/>
  <c r="AL33" i="10"/>
  <c r="AX39" i="10"/>
  <c r="AW33" i="10"/>
  <c r="AM33" i="10"/>
  <c r="AZ33" i="10"/>
  <c r="AR13" i="10"/>
  <c r="AX33" i="10"/>
  <c r="AO33" i="10"/>
  <c r="AS36" i="10"/>
  <c r="AP33" i="10"/>
  <c r="AX66" i="10"/>
  <c r="AQ33" i="10"/>
  <c r="AQ85" i="10"/>
  <c r="AW85" i="10"/>
  <c r="AY85" i="10"/>
  <c r="AN104" i="10"/>
  <c r="AN85" i="10"/>
  <c r="AZ104" i="10"/>
  <c r="AX85" i="10"/>
  <c r="AP36" i="10"/>
  <c r="AZ45" i="10"/>
  <c r="AU19" i="10"/>
  <c r="AQ36" i="10"/>
  <c r="AL45" i="10"/>
  <c r="AQ48" i="10"/>
  <c r="AW63" i="10"/>
  <c r="AT103" i="10"/>
  <c r="AW48" i="10"/>
  <c r="AU103" i="10"/>
  <c r="AL85" i="10"/>
  <c r="AM48" i="10"/>
  <c r="AR103" i="10"/>
  <c r="AS103" i="10"/>
  <c r="AW104" i="10"/>
  <c r="AQ104" i="10"/>
  <c r="AL100" i="10"/>
  <c r="AR64" i="10"/>
  <c r="AO104" i="10"/>
  <c r="AL66" i="10"/>
  <c r="AL25" i="10"/>
  <c r="AT75" i="10"/>
  <c r="AN100" i="10"/>
  <c r="AP104" i="10"/>
  <c r="AV45" i="10"/>
  <c r="AT57" i="10"/>
  <c r="AP48" i="10"/>
  <c r="AU75" i="10"/>
  <c r="AM100" i="10"/>
  <c r="AP64" i="10"/>
  <c r="AS104" i="10"/>
  <c r="AO45" i="10"/>
  <c r="AR85" i="10"/>
  <c r="AO48" i="10"/>
  <c r="AW75" i="10"/>
  <c r="AX64" i="10"/>
  <c r="AY63" i="10"/>
  <c r="AM85" i="10"/>
  <c r="AX97" i="10"/>
  <c r="AM63" i="10"/>
  <c r="AR104" i="10"/>
  <c r="AQ45" i="10"/>
  <c r="AN45" i="10"/>
  <c r="AY33" i="10"/>
  <c r="AO85" i="10"/>
  <c r="AS25" i="10"/>
  <c r="AZ63" i="10"/>
  <c r="AU25" i="10"/>
  <c r="AN63" i="10"/>
  <c r="AS85" i="10"/>
  <c r="AV25" i="10"/>
  <c r="AN42" i="10"/>
  <c r="AS63" i="10"/>
  <c r="AL63" i="10"/>
  <c r="AX104" i="10"/>
  <c r="AT33" i="10"/>
  <c r="AT85" i="10"/>
  <c r="AW25" i="10"/>
  <c r="AQ42" i="10"/>
  <c r="AO63" i="10"/>
  <c r="AX63" i="10"/>
  <c r="AU67" i="10"/>
  <c r="AR10" i="10"/>
  <c r="AN96" i="10"/>
  <c r="AS10" i="10"/>
  <c r="AQ96" i="10"/>
  <c r="AU96" i="10"/>
  <c r="AN10" i="10"/>
  <c r="AZ37" i="10"/>
  <c r="AO67" i="10"/>
  <c r="AY66" i="10"/>
  <c r="AR96" i="10"/>
  <c r="AV96" i="10"/>
  <c r="AZ10" i="10"/>
  <c r="AX42" i="10"/>
  <c r="AU100" i="10"/>
  <c r="AS96" i="10"/>
  <c r="AL10" i="10"/>
  <c r="AL42" i="10"/>
  <c r="AZ75" i="10"/>
  <c r="AP100" i="10"/>
  <c r="AO39" i="10"/>
  <c r="AQ103" i="10"/>
  <c r="AT96" i="10"/>
  <c r="AW10" i="10"/>
  <c r="AO75" i="10"/>
  <c r="AN75" i="10"/>
  <c r="AQ100" i="10"/>
  <c r="AU39" i="10"/>
  <c r="AV103" i="10"/>
  <c r="AT104" i="10"/>
  <c r="AW96" i="10"/>
  <c r="AX10" i="10"/>
  <c r="AV75" i="10"/>
  <c r="AL75" i="10"/>
  <c r="AT100" i="10"/>
  <c r="AV39" i="10"/>
  <c r="AW78" i="10"/>
  <c r="AW103" i="10"/>
  <c r="AU104" i="10"/>
  <c r="AX96" i="10"/>
  <c r="AU10" i="10"/>
  <c r="AV48" i="10"/>
  <c r="AS75" i="10"/>
  <c r="AX75" i="10"/>
  <c r="AW100" i="10"/>
  <c r="AN39" i="10"/>
  <c r="AQ64" i="10"/>
  <c r="AM64" i="10"/>
  <c r="AX78" i="10"/>
  <c r="AY103" i="10"/>
  <c r="AV104" i="10"/>
  <c r="AP85" i="10"/>
  <c r="AP96" i="10"/>
  <c r="AY10" i="10"/>
  <c r="AR25" i="10"/>
  <c r="AX48" i="10"/>
  <c r="AW97" i="10"/>
  <c r="AX100" i="10"/>
  <c r="AL39" i="10"/>
  <c r="AN64" i="10"/>
  <c r="AY78" i="10"/>
  <c r="AY96" i="10"/>
  <c r="AO10" i="10"/>
  <c r="AM96" i="10"/>
  <c r="AL96" i="10"/>
  <c r="AP10" i="10"/>
  <c r="AZ12" i="10"/>
  <c r="AR12" i="10"/>
  <c r="AY42" i="10"/>
  <c r="AP67" i="10"/>
  <c r="AW42" i="10"/>
  <c r="AV37" i="10"/>
  <c r="AN78" i="10"/>
  <c r="AQ67" i="10"/>
  <c r="AN25" i="10"/>
  <c r="AM42" i="10"/>
  <c r="AP37" i="10"/>
  <c r="AZ103" i="10"/>
  <c r="AN103" i="10"/>
  <c r="AM66" i="10"/>
  <c r="AT25" i="10"/>
  <c r="AZ42" i="10"/>
  <c r="AL37" i="10"/>
  <c r="AP103" i="10"/>
  <c r="AL103" i="10"/>
  <c r="AY104" i="10"/>
  <c r="AM91" i="10"/>
  <c r="AO57" i="10"/>
  <c r="AV100" i="10"/>
  <c r="AZ100" i="10"/>
  <c r="AQ37" i="10"/>
  <c r="AM103" i="10"/>
  <c r="AX103" i="10"/>
  <c r="AL104" i="10"/>
  <c r="AX91" i="10"/>
  <c r="AQ57" i="10"/>
  <c r="AS48" i="10"/>
  <c r="AZ48" i="10"/>
  <c r="AS100" i="10"/>
  <c r="AR100" i="10"/>
  <c r="AO64" i="10"/>
  <c r="AX37" i="10"/>
  <c r="AU98" i="10"/>
  <c r="AR57" i="10"/>
  <c r="AN12" i="10"/>
  <c r="AN48" i="10"/>
  <c r="AY37" i="10"/>
  <c r="AL67" i="10"/>
  <c r="AQ12" i="10"/>
  <c r="AS67" i="10"/>
  <c r="AS57" i="10"/>
  <c r="AO12" i="10"/>
  <c r="AY25" i="10"/>
  <c r="AV42" i="10"/>
  <c r="AR97" i="10"/>
  <c r="AM67" i="10"/>
  <c r="AS13" i="10"/>
  <c r="AN13" i="10"/>
  <c r="AY13" i="10"/>
  <c r="AT13" i="10"/>
  <c r="AO13" i="10"/>
  <c r="AX13" i="10"/>
  <c r="AP39" i="10"/>
  <c r="AV86" i="10"/>
  <c r="AY86" i="10"/>
  <c r="AT86" i="10"/>
  <c r="AS86" i="10"/>
  <c r="AP86" i="10"/>
  <c r="AM86" i="10"/>
  <c r="AX86" i="10"/>
  <c r="AW86" i="10"/>
  <c r="AL86" i="10"/>
  <c r="AZ86" i="10"/>
  <c r="AQ86" i="10"/>
  <c r="AO86" i="10"/>
  <c r="AT12" i="10"/>
  <c r="AZ19" i="10"/>
  <c r="AU12" i="10"/>
  <c r="AN19" i="10"/>
  <c r="AT36" i="10"/>
  <c r="AM36" i="10"/>
  <c r="AN54" i="10"/>
  <c r="AW12" i="10"/>
  <c r="AW19" i="10"/>
  <c r="AP19" i="10"/>
  <c r="AT97" i="10"/>
  <c r="AT39" i="10"/>
  <c r="AZ13" i="10"/>
  <c r="AV78" i="10"/>
  <c r="AO78" i="10"/>
  <c r="AS78" i="10"/>
  <c r="AQ78" i="10"/>
  <c r="AP78" i="10"/>
  <c r="AN36" i="10"/>
  <c r="AZ36" i="10"/>
  <c r="AP54" i="10"/>
  <c r="AX12" i="10"/>
  <c r="AX19" i="10"/>
  <c r="AQ19" i="10"/>
  <c r="AO42" i="10"/>
  <c r="AU97" i="10"/>
  <c r="AW39" i="10"/>
  <c r="AP13" i="10"/>
  <c r="AV70" i="10"/>
  <c r="AX70" i="10"/>
  <c r="AN70" i="10"/>
  <c r="AR70" i="10"/>
  <c r="AQ70" i="10"/>
  <c r="AW70" i="10"/>
  <c r="AL70" i="10"/>
  <c r="AM70" i="10"/>
  <c r="AY70" i="10"/>
  <c r="AS70" i="10"/>
  <c r="AP70" i="10"/>
  <c r="AU36" i="10"/>
  <c r="AR36" i="10"/>
  <c r="AO66" i="10"/>
  <c r="AM54" i="10"/>
  <c r="AL12" i="10"/>
  <c r="AL19" i="10"/>
  <c r="AT19" i="10"/>
  <c r="AO25" i="10"/>
  <c r="AS42" i="10"/>
  <c r="AV97" i="10"/>
  <c r="AY39" i="10"/>
  <c r="AZ70" i="10"/>
  <c r="AM78" i="10"/>
  <c r="AU13" i="10"/>
  <c r="AV36" i="10"/>
  <c r="AP66" i="10"/>
  <c r="AZ54" i="10"/>
  <c r="AY12" i="10"/>
  <c r="AM19" i="10"/>
  <c r="AM25" i="10"/>
  <c r="AP25" i="10"/>
  <c r="AT42" i="10"/>
  <c r="AP97" i="10"/>
  <c r="AN97" i="10"/>
  <c r="AM39" i="10"/>
  <c r="AU70" i="10"/>
  <c r="AT70" i="10"/>
  <c r="AL78" i="10"/>
  <c r="AQ13" i="10"/>
  <c r="AO36" i="10"/>
  <c r="AW66" i="10"/>
  <c r="AS12" i="10"/>
  <c r="AM12" i="10"/>
  <c r="AR19" i="10"/>
  <c r="AX25" i="10"/>
  <c r="AQ25" i="10"/>
  <c r="AU42" i="10"/>
  <c r="AQ97" i="10"/>
  <c r="AL97" i="10"/>
  <c r="AZ39" i="10"/>
  <c r="AN86" i="10"/>
  <c r="AT78" i="10"/>
  <c r="AM13" i="10"/>
  <c r="AU78" i="10"/>
  <c r="AT64" i="10"/>
  <c r="AS64" i="10"/>
  <c r="AW64" i="10"/>
  <c r="AV64" i="10"/>
  <c r="AU64" i="10"/>
  <c r="AL13" i="10"/>
  <c r="AV19" i="10"/>
  <c r="AY97" i="10"/>
  <c r="AZ98" i="10"/>
  <c r="AW36" i="10"/>
  <c r="AY19" i="10"/>
  <c r="AZ97" i="10"/>
  <c r="AX36" i="10"/>
  <c r="AM97" i="10"/>
  <c r="AQ39" i="10"/>
  <c r="AW13" i="10"/>
  <c r="AL36" i="10"/>
  <c r="AO97" i="10"/>
  <c r="AR39" i="10"/>
  <c r="AU54" i="10"/>
  <c r="AP42" i="10"/>
  <c r="AR86" i="10"/>
  <c r="AZ78" i="10"/>
  <c r="AO37" i="10"/>
  <c r="AN37" i="10"/>
  <c r="AU37" i="10"/>
  <c r="AS37" i="10"/>
  <c r="AR37" i="10"/>
  <c r="AT37" i="10"/>
  <c r="AM37" i="10"/>
  <c r="AV67" i="10"/>
  <c r="AZ67" i="10"/>
  <c r="AY67" i="10"/>
  <c r="AX67" i="10"/>
  <c r="AW67" i="10"/>
  <c r="AU101" i="10"/>
  <c r="AO101" i="10"/>
  <c r="AS101" i="10"/>
  <c r="AP101" i="10"/>
  <c r="AZ101" i="10"/>
  <c r="AT101" i="10"/>
  <c r="AR101" i="10"/>
  <c r="AY101" i="10"/>
  <c r="AX101" i="10"/>
  <c r="AN101" i="10"/>
  <c r="AL101" i="10"/>
  <c r="AQ101" i="10"/>
  <c r="AM101" i="10"/>
  <c r="AW101" i="10"/>
  <c r="AV101" i="10"/>
  <c r="D12" i="10"/>
  <c r="AL44" i="10"/>
  <c r="AZ44" i="10"/>
  <c r="AX44" i="10"/>
  <c r="AV44" i="10"/>
  <c r="AW44" i="10"/>
  <c r="AP44" i="10"/>
  <c r="AU44" i="10"/>
  <c r="AT44" i="10"/>
  <c r="AR44" i="10"/>
  <c r="AN44" i="10"/>
  <c r="AS44" i="10"/>
  <c r="AO44" i="10"/>
  <c r="AM44" i="10"/>
  <c r="AY44" i="10"/>
  <c r="AQ44" i="10"/>
  <c r="AX20" i="10"/>
  <c r="AW20" i="10"/>
  <c r="AP20" i="10"/>
  <c r="AM20" i="10"/>
  <c r="AY20" i="10"/>
  <c r="AV20" i="10"/>
  <c r="AU20" i="10"/>
  <c r="AT20" i="10"/>
  <c r="AS20" i="10"/>
  <c r="AR20" i="10"/>
  <c r="AQ20" i="10"/>
  <c r="AL20" i="10"/>
  <c r="AZ20" i="10"/>
  <c r="AO20" i="10"/>
  <c r="AN20" i="10"/>
  <c r="AW98" i="10"/>
  <c r="AQ91" i="10"/>
  <c r="AO54" i="10"/>
  <c r="AR54" i="10"/>
  <c r="AX56" i="10"/>
  <c r="AW56" i="10"/>
  <c r="AP56" i="10"/>
  <c r="AN56" i="10"/>
  <c r="AZ56" i="10"/>
  <c r="AO56" i="10"/>
  <c r="AY56" i="10"/>
  <c r="AV56" i="10"/>
  <c r="AU56" i="10"/>
  <c r="AQ56" i="10"/>
  <c r="AT56" i="10"/>
  <c r="AS56" i="10"/>
  <c r="AR56" i="10"/>
  <c r="AM56" i="10"/>
  <c r="AL56" i="10"/>
  <c r="AV17" i="10"/>
  <c r="AM17" i="10"/>
  <c r="AT17" i="10"/>
  <c r="AL17" i="10"/>
  <c r="AX17" i="10"/>
  <c r="AP17" i="10"/>
  <c r="AU17" i="10"/>
  <c r="AS17" i="10"/>
  <c r="AQ17" i="10"/>
  <c r="AN17" i="10"/>
  <c r="AZ17" i="10"/>
  <c r="AW17" i="10"/>
  <c r="AR17" i="10"/>
  <c r="AO17" i="10"/>
  <c r="AY17" i="10"/>
  <c r="AR52" i="10"/>
  <c r="AQ52" i="10"/>
  <c r="AM52" i="10"/>
  <c r="AL52" i="10"/>
  <c r="AU52" i="10"/>
  <c r="AX52" i="10"/>
  <c r="AN52" i="10"/>
  <c r="AS52" i="10"/>
  <c r="AY52" i="10"/>
  <c r="AO52" i="10"/>
  <c r="AZ52" i="10"/>
  <c r="AP52" i="10"/>
  <c r="AT52" i="10"/>
  <c r="AW52" i="10"/>
  <c r="AV52" i="10"/>
  <c r="AW76" i="10"/>
  <c r="AT76" i="10"/>
  <c r="AO76" i="10"/>
  <c r="AM76" i="10"/>
  <c r="AZ76" i="10"/>
  <c r="AL76" i="10"/>
  <c r="AQ76" i="10"/>
  <c r="AP76" i="10"/>
  <c r="AY76" i="10"/>
  <c r="AX76" i="10"/>
  <c r="AV76" i="10"/>
  <c r="AU76" i="10"/>
  <c r="AN76" i="10"/>
  <c r="AS76" i="10"/>
  <c r="AR76" i="10"/>
  <c r="AL61" i="10"/>
  <c r="AZ61" i="10"/>
  <c r="AX61" i="10"/>
  <c r="AW61" i="10"/>
  <c r="AU61" i="10"/>
  <c r="AV61" i="10"/>
  <c r="AY61" i="10"/>
  <c r="AM61" i="10"/>
  <c r="AQ61" i="10"/>
  <c r="AP61" i="10"/>
  <c r="AT61" i="10"/>
  <c r="AO61" i="10"/>
  <c r="AN61" i="10"/>
  <c r="AR61" i="10"/>
  <c r="AS61" i="10"/>
  <c r="AM58" i="10"/>
  <c r="AL58" i="10"/>
  <c r="AY58" i="10"/>
  <c r="AX58" i="10"/>
  <c r="AZ58" i="10"/>
  <c r="AW58" i="10"/>
  <c r="AP58" i="10"/>
  <c r="AT58" i="10"/>
  <c r="AO58" i="10"/>
  <c r="AV58" i="10"/>
  <c r="AU58" i="10"/>
  <c r="AN58" i="10"/>
  <c r="AS58" i="10"/>
  <c r="AR58" i="10"/>
  <c r="AQ58" i="10"/>
  <c r="AX98" i="10"/>
  <c r="AZ81" i="10"/>
  <c r="AT81" i="10"/>
  <c r="AR81" i="10"/>
  <c r="AO81" i="10"/>
  <c r="AM81" i="10"/>
  <c r="AL81" i="10"/>
  <c r="AQ81" i="10"/>
  <c r="AP81" i="10"/>
  <c r="AY81" i="10"/>
  <c r="AV81" i="10"/>
  <c r="AU81" i="10"/>
  <c r="AW81" i="10"/>
  <c r="AX81" i="10"/>
  <c r="AS81" i="10"/>
  <c r="AN81" i="10"/>
  <c r="AP98" i="10"/>
  <c r="AS91" i="10"/>
  <c r="AQ89" i="10"/>
  <c r="AX89" i="10"/>
  <c r="AW89" i="10"/>
  <c r="AM89" i="10"/>
  <c r="AU89" i="10"/>
  <c r="AS89" i="10"/>
  <c r="AL89" i="10"/>
  <c r="AZ89" i="10"/>
  <c r="AV89" i="10"/>
  <c r="AR89" i="10"/>
  <c r="AY89" i="10"/>
  <c r="AT89" i="10"/>
  <c r="AO89" i="10"/>
  <c r="AP89" i="10"/>
  <c r="AN89" i="10"/>
  <c r="AU99" i="10"/>
  <c r="AL99" i="10"/>
  <c r="AT99" i="10"/>
  <c r="AR99" i="10"/>
  <c r="AZ99" i="10"/>
  <c r="AM99" i="10"/>
  <c r="AQ99" i="10"/>
  <c r="AX99" i="10"/>
  <c r="AW99" i="10"/>
  <c r="AS99" i="10"/>
  <c r="AY99" i="10"/>
  <c r="AP99" i="10"/>
  <c r="AV99" i="10"/>
  <c r="AO99" i="10"/>
  <c r="AN99" i="10"/>
  <c r="AL59" i="10"/>
  <c r="AZ59" i="10"/>
  <c r="AX59" i="10"/>
  <c r="AS59" i="10"/>
  <c r="AO59" i="10"/>
  <c r="AP59" i="10"/>
  <c r="AW59" i="10"/>
  <c r="AV59" i="10"/>
  <c r="AU59" i="10"/>
  <c r="AT59" i="10"/>
  <c r="AN59" i="10"/>
  <c r="AM59" i="10"/>
  <c r="AY59" i="10"/>
  <c r="AR59" i="10"/>
  <c r="AQ59" i="10"/>
  <c r="AY57" i="10"/>
  <c r="AS54" i="10"/>
  <c r="AL38" i="10"/>
  <c r="AX38" i="10"/>
  <c r="AQ38" i="10"/>
  <c r="AP38" i="10"/>
  <c r="AV38" i="10"/>
  <c r="AU38" i="10"/>
  <c r="AT38" i="10"/>
  <c r="AS38" i="10"/>
  <c r="AW38" i="10"/>
  <c r="AZ38" i="10"/>
  <c r="AR38" i="10"/>
  <c r="AM38" i="10"/>
  <c r="AO38" i="10"/>
  <c r="AN38" i="10"/>
  <c r="AY38" i="10"/>
  <c r="AM74" i="10"/>
  <c r="AL74" i="10"/>
  <c r="AX74" i="10"/>
  <c r="AW74" i="10"/>
  <c r="AY74" i="10"/>
  <c r="AQ74" i="10"/>
  <c r="AP74" i="10"/>
  <c r="AO74" i="10"/>
  <c r="AN74" i="10"/>
  <c r="AZ74" i="10"/>
  <c r="AV74" i="10"/>
  <c r="AU74" i="10"/>
  <c r="AT74" i="10"/>
  <c r="AS74" i="10"/>
  <c r="AR74" i="10"/>
  <c r="AO65" i="10"/>
  <c r="AN65" i="10"/>
  <c r="AY65" i="10"/>
  <c r="AX65" i="10"/>
  <c r="AL65" i="10"/>
  <c r="AR65" i="10"/>
  <c r="AW65" i="10"/>
  <c r="AU65" i="10"/>
  <c r="AT65" i="10"/>
  <c r="AP65" i="10"/>
  <c r="AV65" i="10"/>
  <c r="AQ65" i="10"/>
  <c r="AZ65" i="10"/>
  <c r="AS65" i="10"/>
  <c r="AM65" i="10"/>
  <c r="AU91" i="10"/>
  <c r="AM57" i="10"/>
  <c r="AL43" i="10"/>
  <c r="AZ43" i="10"/>
  <c r="AQ43" i="10"/>
  <c r="AR43" i="10"/>
  <c r="AP43" i="10"/>
  <c r="AX43" i="10"/>
  <c r="AW43" i="10"/>
  <c r="AV43" i="10"/>
  <c r="AU43" i="10"/>
  <c r="AS43" i="10"/>
  <c r="AM43" i="10"/>
  <c r="AT43" i="10"/>
  <c r="AY43" i="10"/>
  <c r="AO43" i="10"/>
  <c r="AN43" i="10"/>
  <c r="AR71" i="10"/>
  <c r="AQ71" i="10"/>
  <c r="AM71" i="10"/>
  <c r="AL71" i="10"/>
  <c r="AZ71" i="10"/>
  <c r="AY71" i="10"/>
  <c r="AN71" i="10"/>
  <c r="AX71" i="10"/>
  <c r="AW71" i="10"/>
  <c r="AP71" i="10"/>
  <c r="AV71" i="10"/>
  <c r="AU71" i="10"/>
  <c r="AT71" i="10"/>
  <c r="AO71" i="10"/>
  <c r="AS71" i="10"/>
  <c r="AN31" i="10"/>
  <c r="AR31" i="10"/>
  <c r="AL31" i="10"/>
  <c r="AY31" i="10"/>
  <c r="AW31" i="10"/>
  <c r="AV31" i="10"/>
  <c r="AZ31" i="10"/>
  <c r="AS31" i="10"/>
  <c r="AQ31" i="10"/>
  <c r="AU31" i="10"/>
  <c r="AX31" i="10"/>
  <c r="AT31" i="10"/>
  <c r="AO31" i="10"/>
  <c r="AM31" i="10"/>
  <c r="AP31" i="10"/>
  <c r="AM98" i="10"/>
  <c r="AS66" i="10"/>
  <c r="AZ57" i="10"/>
  <c r="AV54" i="10"/>
  <c r="AM83" i="10"/>
  <c r="AL83" i="10"/>
  <c r="AT83" i="10"/>
  <c r="AO83" i="10"/>
  <c r="AQ83" i="10"/>
  <c r="AN83" i="10"/>
  <c r="AY83" i="10"/>
  <c r="AW83" i="10"/>
  <c r="AS83" i="10"/>
  <c r="AR83" i="10"/>
  <c r="AX83" i="10"/>
  <c r="AU83" i="10"/>
  <c r="AV83" i="10"/>
  <c r="AZ83" i="10"/>
  <c r="AP83" i="10"/>
  <c r="AR46" i="10"/>
  <c r="AQ46" i="10"/>
  <c r="AY46" i="10"/>
  <c r="AU46" i="10"/>
  <c r="AZ46" i="10"/>
  <c r="AN46" i="10"/>
  <c r="AS46" i="10"/>
  <c r="AP46" i="10"/>
  <c r="AT46" i="10"/>
  <c r="AO46" i="10"/>
  <c r="AM46" i="10"/>
  <c r="AX46" i="10"/>
  <c r="AV46" i="10"/>
  <c r="AW46" i="10"/>
  <c r="AL46" i="10"/>
  <c r="AS82" i="10"/>
  <c r="AR82" i="10"/>
  <c r="AL82" i="10"/>
  <c r="AM82" i="10"/>
  <c r="AY82" i="10"/>
  <c r="AQ82" i="10"/>
  <c r="AV82" i="10"/>
  <c r="AU82" i="10"/>
  <c r="AP82" i="10"/>
  <c r="AN82" i="10"/>
  <c r="AT82" i="10"/>
  <c r="AO82" i="10"/>
  <c r="AZ82" i="10"/>
  <c r="AX82" i="10"/>
  <c r="AW82" i="10"/>
  <c r="AZ106" i="10"/>
  <c r="AT106" i="10"/>
  <c r="AM106" i="10"/>
  <c r="AS106" i="10"/>
  <c r="AW106" i="10"/>
  <c r="AY106" i="10"/>
  <c r="AL106" i="10"/>
  <c r="AP106" i="10"/>
  <c r="AO106" i="10"/>
  <c r="AN106" i="10"/>
  <c r="AV106" i="10"/>
  <c r="AR106" i="10"/>
  <c r="AQ106" i="10"/>
  <c r="AX106" i="10"/>
  <c r="AU106" i="10"/>
  <c r="AT91" i="10"/>
  <c r="AW57" i="10"/>
  <c r="AP32" i="10"/>
  <c r="AO32" i="10"/>
  <c r="AV32" i="10"/>
  <c r="AM32" i="10"/>
  <c r="AU32" i="10"/>
  <c r="AX32" i="10"/>
  <c r="AZ32" i="10"/>
  <c r="AY32" i="10"/>
  <c r="AQ32" i="10"/>
  <c r="AW32" i="10"/>
  <c r="AN32" i="10"/>
  <c r="AL32" i="10"/>
  <c r="AR32" i="10"/>
  <c r="AT32" i="10"/>
  <c r="AS32" i="10"/>
  <c r="AU50" i="10"/>
  <c r="AM50" i="10"/>
  <c r="AT50" i="10"/>
  <c r="AW50" i="10"/>
  <c r="AR50" i="10"/>
  <c r="AQ50" i="10"/>
  <c r="AV50" i="10"/>
  <c r="AS50" i="10"/>
  <c r="AP50" i="10"/>
  <c r="AO50" i="10"/>
  <c r="AN50" i="10"/>
  <c r="AL50" i="10"/>
  <c r="AY50" i="10"/>
  <c r="AX50" i="10"/>
  <c r="AZ50" i="10"/>
  <c r="AW91" i="10"/>
  <c r="AU66" i="10"/>
  <c r="AN57" i="10"/>
  <c r="AX54" i="10"/>
  <c r="AM10" i="10"/>
  <c r="AZ47" i="10"/>
  <c r="AY47" i="10"/>
  <c r="AR47" i="10"/>
  <c r="AQ47" i="10"/>
  <c r="AX47" i="10"/>
  <c r="AO47" i="10"/>
  <c r="AN47" i="10"/>
  <c r="AL47" i="10"/>
  <c r="AS47" i="10"/>
  <c r="AW47" i="10"/>
  <c r="AM47" i="10"/>
  <c r="AP47" i="10"/>
  <c r="AV47" i="10"/>
  <c r="AU47" i="10"/>
  <c r="AT47" i="10"/>
  <c r="AX105" i="10"/>
  <c r="AP105" i="10"/>
  <c r="AM105" i="10"/>
  <c r="AT105" i="10"/>
  <c r="AV105" i="10"/>
  <c r="AQ105" i="10"/>
  <c r="AN105" i="10"/>
  <c r="AZ105" i="10"/>
  <c r="AY105" i="10"/>
  <c r="AL105" i="10"/>
  <c r="AR105" i="10"/>
  <c r="AW105" i="10"/>
  <c r="AS105" i="10"/>
  <c r="AU105" i="10"/>
  <c r="AO105" i="10"/>
  <c r="AL34" i="10"/>
  <c r="AZ34" i="10"/>
  <c r="AT34" i="10"/>
  <c r="AO34" i="10"/>
  <c r="AN34" i="10"/>
  <c r="AS34" i="10"/>
  <c r="AY34" i="10"/>
  <c r="AR34" i="10"/>
  <c r="AQ34" i="10"/>
  <c r="AP34" i="10"/>
  <c r="AX34" i="10"/>
  <c r="AW34" i="10"/>
  <c r="AV34" i="10"/>
  <c r="AM34" i="10"/>
  <c r="AU34" i="10"/>
  <c r="AY41" i="10"/>
  <c r="AX41" i="10"/>
  <c r="AR41" i="10"/>
  <c r="AO41" i="10"/>
  <c r="AP41" i="10"/>
  <c r="AW41" i="10"/>
  <c r="AV41" i="10"/>
  <c r="AU41" i="10"/>
  <c r="AT41" i="10"/>
  <c r="AN41" i="10"/>
  <c r="AL41" i="10"/>
  <c r="AQ41" i="10"/>
  <c r="AM41" i="10"/>
  <c r="AS41" i="10"/>
  <c r="AZ41" i="10"/>
  <c r="AL16" i="10"/>
  <c r="AY16" i="10"/>
  <c r="AV16" i="10"/>
  <c r="AZ16" i="10"/>
  <c r="AT16" i="10"/>
  <c r="AN16" i="10"/>
  <c r="AS16" i="10"/>
  <c r="AR16" i="10"/>
  <c r="AP16" i="10"/>
  <c r="AQ16" i="10"/>
  <c r="AM16" i="10"/>
  <c r="AU16" i="10"/>
  <c r="AX16" i="10"/>
  <c r="AW16" i="10"/>
  <c r="AO16" i="10"/>
  <c r="AO35" i="10"/>
  <c r="AM35" i="10"/>
  <c r="AY35" i="10"/>
  <c r="AP35" i="10"/>
  <c r="AN35" i="10"/>
  <c r="AQ35" i="10"/>
  <c r="AZ35" i="10"/>
  <c r="AX35" i="10"/>
  <c r="AW35" i="10"/>
  <c r="AV35" i="10"/>
  <c r="AU35" i="10"/>
  <c r="AT35" i="10"/>
  <c r="AL35" i="10"/>
  <c r="AS35" i="10"/>
  <c r="AR35" i="10"/>
  <c r="AN77" i="10"/>
  <c r="AM77" i="10"/>
  <c r="AQ77" i="10"/>
  <c r="AR77" i="10"/>
  <c r="AY77" i="10"/>
  <c r="AP77" i="10"/>
  <c r="AO77" i="10"/>
  <c r="AL77" i="10"/>
  <c r="AX77" i="10"/>
  <c r="AW77" i="10"/>
  <c r="AT77" i="10"/>
  <c r="AV77" i="10"/>
  <c r="AZ77" i="10"/>
  <c r="AU77" i="10"/>
  <c r="AS77" i="10"/>
  <c r="AQ54" i="10"/>
  <c r="AL98" i="10"/>
  <c r="AT54" i="10"/>
  <c r="AQ80" i="10"/>
  <c r="AP80" i="10"/>
  <c r="AY80" i="10"/>
  <c r="AX80" i="10"/>
  <c r="AW80" i="10"/>
  <c r="AV80" i="10"/>
  <c r="AZ80" i="10"/>
  <c r="AN80" i="10"/>
  <c r="AS80" i="10"/>
  <c r="AT80" i="10"/>
  <c r="AR80" i="10"/>
  <c r="AO80" i="10"/>
  <c r="AU80" i="10"/>
  <c r="AL80" i="10"/>
  <c r="AM80" i="10"/>
  <c r="AL54" i="10"/>
  <c r="AS49" i="10"/>
  <c r="AR49" i="10"/>
  <c r="AL49" i="10"/>
  <c r="AT49" i="10"/>
  <c r="AW49" i="10"/>
  <c r="AQ49" i="10"/>
  <c r="AP49" i="10"/>
  <c r="AO49" i="10"/>
  <c r="AV49" i="10"/>
  <c r="AN49" i="10"/>
  <c r="AY49" i="10"/>
  <c r="AX49" i="10"/>
  <c r="AM49" i="10"/>
  <c r="AZ49" i="10"/>
  <c r="AU49" i="10"/>
  <c r="AX53" i="10"/>
  <c r="AS53" i="10"/>
  <c r="AQ53" i="10"/>
  <c r="AP53" i="10"/>
  <c r="AN53" i="10"/>
  <c r="AY53" i="10"/>
  <c r="AM53" i="10"/>
  <c r="AW53" i="10"/>
  <c r="AU53" i="10"/>
  <c r="AL53" i="10"/>
  <c r="AO53" i="10"/>
  <c r="AV53" i="10"/>
  <c r="AT53" i="10"/>
  <c r="AZ53" i="10"/>
  <c r="AR53" i="10"/>
  <c r="AZ29" i="10"/>
  <c r="AY29" i="10"/>
  <c r="AP29" i="10"/>
  <c r="AS29" i="10"/>
  <c r="AW29" i="10"/>
  <c r="AL29" i="10"/>
  <c r="AN29" i="10"/>
  <c r="AX29" i="10"/>
  <c r="AR29" i="10"/>
  <c r="AV29" i="10"/>
  <c r="AM29" i="10"/>
  <c r="AU29" i="10"/>
  <c r="AT29" i="10"/>
  <c r="AQ29" i="10"/>
  <c r="AO29" i="10"/>
  <c r="AN73" i="10"/>
  <c r="AU73" i="10"/>
  <c r="AV73" i="10"/>
  <c r="AS73" i="10"/>
  <c r="AX73" i="10"/>
  <c r="AW73" i="10"/>
  <c r="AT73" i="10"/>
  <c r="AQ73" i="10"/>
  <c r="AO73" i="10"/>
  <c r="AP73" i="10"/>
  <c r="AY73" i="10"/>
  <c r="AZ73" i="10"/>
  <c r="AR73" i="10"/>
  <c r="AM73" i="10"/>
  <c r="AL73" i="10"/>
  <c r="AV98" i="10"/>
  <c r="AO91" i="10"/>
  <c r="AR91" i="10"/>
  <c r="AW11" i="10"/>
  <c r="AL11" i="10"/>
  <c r="AV11" i="10"/>
  <c r="AS11" i="10"/>
  <c r="AT11" i="10"/>
  <c r="AX11" i="10"/>
  <c r="AR11" i="10"/>
  <c r="AQ11" i="10"/>
  <c r="AO11" i="10"/>
  <c r="AN11" i="10"/>
  <c r="AP11" i="10"/>
  <c r="AU11" i="10"/>
  <c r="AM11" i="10"/>
  <c r="AZ11" i="10"/>
  <c r="AY11" i="10"/>
  <c r="AT62" i="10"/>
  <c r="AQ62" i="10"/>
  <c r="AS62" i="10"/>
  <c r="AZ62" i="10"/>
  <c r="AY62" i="10"/>
  <c r="AX62" i="10"/>
  <c r="AW62" i="10"/>
  <c r="AP62" i="10"/>
  <c r="AO62" i="10"/>
  <c r="AN62" i="10"/>
  <c r="AM62" i="10"/>
  <c r="AL62" i="10"/>
  <c r="AR62" i="10"/>
  <c r="AV62" i="10"/>
  <c r="AU62" i="10"/>
  <c r="AP55" i="10"/>
  <c r="AW55" i="10"/>
  <c r="AO55" i="10"/>
  <c r="AN55" i="10"/>
  <c r="AZ55" i="10"/>
  <c r="AY55" i="10"/>
  <c r="AT55" i="10"/>
  <c r="AQ55" i="10"/>
  <c r="AX55" i="10"/>
  <c r="AS55" i="10"/>
  <c r="AV55" i="10"/>
  <c r="AU55" i="10"/>
  <c r="AR55" i="10"/>
  <c r="AM55" i="10"/>
  <c r="AL55" i="10"/>
  <c r="AT93" i="10"/>
  <c r="AS93" i="10"/>
  <c r="AQ93" i="10"/>
  <c r="AO93" i="10"/>
  <c r="AX93" i="10"/>
  <c r="AL93" i="10"/>
  <c r="AP93" i="10"/>
  <c r="AW93" i="10"/>
  <c r="AU93" i="10"/>
  <c r="AM93" i="10"/>
  <c r="AR93" i="10"/>
  <c r="AV93" i="10"/>
  <c r="AN93" i="10"/>
  <c r="AZ93" i="10"/>
  <c r="AY93" i="10"/>
  <c r="AQ98" i="10"/>
  <c r="AY91" i="10"/>
  <c r="E138" i="9"/>
  <c r="F139" i="9"/>
  <c r="AW102" i="10"/>
  <c r="AT102" i="10"/>
  <c r="AR102" i="10"/>
  <c r="AP102" i="10"/>
  <c r="AL102" i="10"/>
  <c r="AY102" i="10"/>
  <c r="AS102" i="10"/>
  <c r="AO102" i="10"/>
  <c r="AN102" i="10"/>
  <c r="AQ102" i="10"/>
  <c r="AX102" i="10"/>
  <c r="AV102" i="10"/>
  <c r="AM102" i="10"/>
  <c r="AZ102" i="10"/>
  <c r="AU102" i="10"/>
  <c r="AR95" i="10"/>
  <c r="AN95" i="10"/>
  <c r="AL95" i="10"/>
  <c r="AZ95" i="10"/>
  <c r="AO95" i="10"/>
  <c r="AQ95" i="10"/>
  <c r="AV95" i="10"/>
  <c r="AS95" i="10"/>
  <c r="AT95" i="10"/>
  <c r="AU95" i="10"/>
  <c r="AM95" i="10"/>
  <c r="AY95" i="10"/>
  <c r="AX95" i="10"/>
  <c r="AW95" i="10"/>
  <c r="AP95" i="10"/>
  <c r="AR107" i="10"/>
  <c r="AP107" i="10"/>
  <c r="AL107" i="10"/>
  <c r="AY107" i="10"/>
  <c r="AN107" i="10"/>
  <c r="AQ107" i="10"/>
  <c r="AO107" i="10"/>
  <c r="AT107" i="10"/>
  <c r="AS107" i="10"/>
  <c r="AM107" i="10"/>
  <c r="AX107" i="10"/>
  <c r="AW107" i="10"/>
  <c r="AV107" i="10"/>
  <c r="AU107" i="10"/>
  <c r="AZ107" i="10"/>
  <c r="AN40" i="10"/>
  <c r="AV40" i="10"/>
  <c r="AS40" i="10"/>
  <c r="AU40" i="10"/>
  <c r="AQ40" i="10"/>
  <c r="AP40" i="10"/>
  <c r="AT40" i="10"/>
  <c r="AO40" i="10"/>
  <c r="AM40" i="10"/>
  <c r="AL40" i="10"/>
  <c r="AW40" i="10"/>
  <c r="AZ40" i="10"/>
  <c r="AR40" i="10"/>
  <c r="AY40" i="10"/>
  <c r="AX40" i="10"/>
  <c r="AV91" i="10"/>
  <c r="AZ66" i="10"/>
  <c r="AY98" i="10"/>
  <c r="AT66" i="10"/>
  <c r="AR66" i="10"/>
  <c r="AW54" i="10"/>
  <c r="AQ68" i="10"/>
  <c r="AP68" i="10"/>
  <c r="AN68" i="10"/>
  <c r="AV68" i="10"/>
  <c r="AM68" i="10"/>
  <c r="AR68" i="10"/>
  <c r="AZ68" i="10"/>
  <c r="AY68" i="10"/>
  <c r="AO68" i="10"/>
  <c r="AW68" i="10"/>
  <c r="AX68" i="10"/>
  <c r="AL68" i="10"/>
  <c r="AU68" i="10"/>
  <c r="AT68" i="10"/>
  <c r="AS68" i="10"/>
  <c r="AO98" i="10"/>
  <c r="AU57" i="10"/>
  <c r="AR98" i="10"/>
  <c r="AS98" i="10"/>
  <c r="AP91" i="10"/>
  <c r="AN91" i="10"/>
  <c r="AV66" i="10"/>
  <c r="AP57" i="10"/>
  <c r="AL57" i="10"/>
  <c r="AT10" i="10"/>
  <c r="AT98" i="10"/>
  <c r="AZ91" i="10"/>
  <c r="AV57" i="10"/>
  <c r="AY87" i="10"/>
  <c r="AS87" i="10"/>
  <c r="AN87" i="10"/>
  <c r="AM87" i="10"/>
  <c r="AT87" i="10"/>
  <c r="AR87" i="10"/>
  <c r="AL87" i="10"/>
  <c r="AZ87" i="10"/>
  <c r="AQ87" i="10"/>
  <c r="AO87" i="10"/>
  <c r="AP87" i="10"/>
  <c r="AW87" i="10"/>
  <c r="AX87" i="10"/>
  <c r="AV87" i="10"/>
  <c r="AU87" i="10"/>
  <c r="AY22" i="10"/>
  <c r="AZ22" i="10"/>
  <c r="AX22" i="10"/>
  <c r="AN22" i="10"/>
  <c r="AV22" i="10"/>
  <c r="AS22" i="10"/>
  <c r="AU22" i="10"/>
  <c r="AR22" i="10"/>
  <c r="AQ22" i="10"/>
  <c r="AP22" i="10"/>
  <c r="AT22" i="10"/>
  <c r="AW22" i="10"/>
  <c r="AO22" i="10"/>
  <c r="AM22" i="10"/>
  <c r="AL22" i="10"/>
  <c r="AX9" i="10"/>
  <c r="AL9" i="10"/>
  <c r="AN9" i="10"/>
  <c r="AZ9" i="10"/>
  <c r="AM9" i="10"/>
  <c r="AY9" i="10"/>
  <c r="AW9" i="10"/>
  <c r="AP9" i="10"/>
  <c r="AO9" i="10"/>
  <c r="AV9" i="10"/>
  <c r="AT9" i="10"/>
  <c r="AS9" i="10"/>
  <c r="AR9" i="10"/>
  <c r="AU9" i="10"/>
  <c r="AQ9" i="10"/>
  <c r="AX27" i="10"/>
  <c r="AL27" i="10"/>
  <c r="AN27" i="10"/>
  <c r="G41" i="40" s="1"/>
  <c r="AZ27" i="10"/>
  <c r="AM27" i="10"/>
  <c r="F41" i="40" s="1"/>
  <c r="AY27" i="10"/>
  <c r="AW27" i="10"/>
  <c r="AV27" i="10"/>
  <c r="AU27" i="10"/>
  <c r="AT27" i="10"/>
  <c r="AS27" i="10"/>
  <c r="AQ27" i="10"/>
  <c r="AP27" i="10"/>
  <c r="I41" i="40" s="1"/>
  <c r="AO27" i="10"/>
  <c r="H41" i="40" s="1"/>
  <c r="AR27" i="10"/>
  <c r="AR30" i="10"/>
  <c r="AZ30" i="10"/>
  <c r="AM30" i="10"/>
  <c r="AY30" i="10"/>
  <c r="AL30" i="10"/>
  <c r="AX30" i="10"/>
  <c r="AW30" i="10"/>
  <c r="AP30" i="10"/>
  <c r="AO30" i="10"/>
  <c r="AN30" i="10"/>
  <c r="AV30" i="10"/>
  <c r="AU30" i="10"/>
  <c r="AT30" i="10"/>
  <c r="AS30" i="10"/>
  <c r="AQ30" i="10"/>
  <c r="AR24" i="10"/>
  <c r="AZ24" i="10"/>
  <c r="AM24" i="10"/>
  <c r="AY24" i="10"/>
  <c r="AL24" i="10"/>
  <c r="AX24" i="10"/>
  <c r="AW24" i="10"/>
  <c r="AN24" i="10"/>
  <c r="AQ24" i="10"/>
  <c r="AU24" i="10"/>
  <c r="AT24" i="10"/>
  <c r="AS24" i="10"/>
  <c r="AP24" i="10"/>
  <c r="AV24" i="10"/>
  <c r="AO24" i="10"/>
  <c r="AX15" i="10"/>
  <c r="AL15" i="10"/>
  <c r="AN15" i="10"/>
  <c r="AZ15" i="10"/>
  <c r="AM15" i="10"/>
  <c r="AY15" i="10"/>
  <c r="AW15" i="10"/>
  <c r="AR15" i="10"/>
  <c r="AU15" i="10"/>
  <c r="AQ15" i="10"/>
  <c r="AP15" i="10"/>
  <c r="AO15" i="10"/>
  <c r="AV15" i="10"/>
  <c r="AT15" i="10"/>
  <c r="AS15" i="10"/>
  <c r="D139" i="18" l="1"/>
  <c r="C140" i="18" s="1"/>
  <c r="C141" i="18"/>
  <c r="C139" i="18"/>
  <c r="C130" i="27"/>
  <c r="D130" i="27"/>
  <c r="C131" i="27" s="1"/>
  <c r="C132" i="27"/>
  <c r="C132" i="21"/>
  <c r="D130" i="21"/>
  <c r="C131" i="21" s="1"/>
  <c r="C130" i="21"/>
  <c r="H163" i="27"/>
  <c r="H173" i="27" s="1"/>
  <c r="H174" i="27" s="1"/>
  <c r="H175" i="27" s="1"/>
  <c r="H179" i="27"/>
  <c r="G177" i="21"/>
  <c r="G161" i="21" s="1"/>
  <c r="G171" i="21" s="1"/>
  <c r="G172" i="21" s="1"/>
  <c r="G173" i="21" s="1"/>
  <c r="H176" i="21"/>
  <c r="H177" i="21" s="1"/>
  <c r="I178" i="27"/>
  <c r="I179" i="27" s="1"/>
  <c r="H161" i="21"/>
  <c r="H171" i="21" s="1"/>
  <c r="H172" i="21" s="1"/>
  <c r="I176" i="21"/>
  <c r="I177" i="21" s="1"/>
  <c r="K191" i="18"/>
  <c r="K192" i="18" s="1"/>
  <c r="K176" i="18" s="1"/>
  <c r="K186" i="18" s="1"/>
  <c r="K187" i="18" s="1"/>
  <c r="K188" i="18" s="1"/>
  <c r="I148" i="13"/>
  <c r="I158" i="13" s="1"/>
  <c r="I159" i="13" s="1"/>
  <c r="I160" i="13" s="1"/>
  <c r="H38" i="40"/>
  <c r="H40" i="40"/>
  <c r="F40" i="40"/>
  <c r="I38" i="40"/>
  <c r="G42" i="40"/>
  <c r="G38" i="40"/>
  <c r="F42" i="40"/>
  <c r="G39" i="40"/>
  <c r="H42" i="40"/>
  <c r="I42" i="40"/>
  <c r="I39" i="40"/>
  <c r="G40" i="40"/>
  <c r="H39" i="40"/>
  <c r="F39" i="40"/>
  <c r="C13" i="40"/>
  <c r="D13" i="40"/>
  <c r="E41" i="40"/>
  <c r="I40" i="40"/>
  <c r="F38" i="40"/>
  <c r="AZ7" i="10"/>
  <c r="AP7" i="10"/>
  <c r="AU7" i="10"/>
  <c r="D69" i="46"/>
  <c r="E69" i="46"/>
  <c r="E121" i="40"/>
  <c r="G139" i="9"/>
  <c r="F138" i="9"/>
  <c r="D13" i="10"/>
  <c r="H173" i="21" l="1"/>
  <c r="I163" i="27"/>
  <c r="I173" i="27" s="1"/>
  <c r="I174" i="27" s="1"/>
  <c r="I175" i="27" s="1"/>
  <c r="J178" i="27"/>
  <c r="J179" i="27" s="1"/>
  <c r="I161" i="21"/>
  <c r="I171" i="21" s="1"/>
  <c r="I172" i="21" s="1"/>
  <c r="I173" i="21" s="1"/>
  <c r="J176" i="21"/>
  <c r="J177" i="21" s="1"/>
  <c r="L191" i="18"/>
  <c r="L192" i="18" s="1"/>
  <c r="J163" i="13"/>
  <c r="J164" i="13" s="1"/>
  <c r="E38" i="40"/>
  <c r="D10" i="40"/>
  <c r="C10" i="40"/>
  <c r="I47" i="40"/>
  <c r="I37" i="40"/>
  <c r="I48" i="40" s="1"/>
  <c r="I59" i="40" s="1"/>
  <c r="I84" i="40" s="1"/>
  <c r="I20" i="40"/>
  <c r="D41" i="40"/>
  <c r="C41" i="40"/>
  <c r="D12" i="40"/>
  <c r="C12" i="40"/>
  <c r="E40" i="40"/>
  <c r="H47" i="40"/>
  <c r="H37" i="40"/>
  <c r="H48" i="40" s="1"/>
  <c r="H59" i="40" s="1"/>
  <c r="H84" i="40" s="1"/>
  <c r="H20" i="40"/>
  <c r="G47" i="40"/>
  <c r="G37" i="40"/>
  <c r="G48" i="40" s="1"/>
  <c r="G59" i="40" s="1"/>
  <c r="G84" i="40" s="1"/>
  <c r="G20" i="40"/>
  <c r="E39" i="40"/>
  <c r="C11" i="40"/>
  <c r="D11" i="40"/>
  <c r="F47" i="40"/>
  <c r="F37" i="40"/>
  <c r="F48" i="40" s="1"/>
  <c r="F59" i="40" s="1"/>
  <c r="F84" i="40" s="1"/>
  <c r="F20" i="40"/>
  <c r="C9" i="40"/>
  <c r="E37" i="40"/>
  <c r="E20" i="40"/>
  <c r="D9" i="40"/>
  <c r="E42" i="40"/>
  <c r="D14" i="40"/>
  <c r="C14" i="40"/>
  <c r="F119" i="40"/>
  <c r="H139" i="9"/>
  <c r="G138" i="9"/>
  <c r="D14" i="10"/>
  <c r="J163" i="27" l="1"/>
  <c r="J173" i="27" s="1"/>
  <c r="J174" i="27" s="1"/>
  <c r="J175" i="27" s="1"/>
  <c r="J161" i="21"/>
  <c r="J171" i="21" s="1"/>
  <c r="J172" i="21" s="1"/>
  <c r="J173" i="21" s="1"/>
  <c r="K176" i="21"/>
  <c r="K177" i="21" s="1"/>
  <c r="L176" i="18"/>
  <c r="L186" i="18" s="1"/>
  <c r="L187" i="18" s="1"/>
  <c r="L188" i="18" s="1"/>
  <c r="J148" i="13"/>
  <c r="J158" i="13" s="1"/>
  <c r="J159" i="13" s="1"/>
  <c r="J160" i="13" s="1"/>
  <c r="E131" i="40"/>
  <c r="E136" i="40" s="1"/>
  <c r="G88" i="40"/>
  <c r="D131" i="40"/>
  <c r="D136" i="40" s="1"/>
  <c r="F88" i="40"/>
  <c r="C42" i="40"/>
  <c r="D42" i="40"/>
  <c r="C37" i="40"/>
  <c r="E48" i="40"/>
  <c r="D37" i="40"/>
  <c r="E47" i="40"/>
  <c r="C19" i="40"/>
  <c r="D19" i="40"/>
  <c r="H88" i="40"/>
  <c r="F131" i="40"/>
  <c r="F136" i="40" s="1"/>
  <c r="C40" i="40"/>
  <c r="D40" i="40"/>
  <c r="G131" i="40"/>
  <c r="G136" i="40" s="1"/>
  <c r="I88" i="40"/>
  <c r="C39" i="40"/>
  <c r="D39" i="40"/>
  <c r="D20" i="40"/>
  <c r="C20" i="40"/>
  <c r="C38" i="40"/>
  <c r="D38" i="40"/>
  <c r="F121" i="40"/>
  <c r="G119" i="40" s="1"/>
  <c r="H138" i="9"/>
  <c r="I139" i="9"/>
  <c r="D15" i="10"/>
  <c r="K178" i="27" l="1"/>
  <c r="K179" i="27" s="1"/>
  <c r="K163" i="27" s="1"/>
  <c r="K173" i="27" s="1"/>
  <c r="K174" i="27" s="1"/>
  <c r="K175" i="27" s="1"/>
  <c r="K161" i="21"/>
  <c r="K171" i="21" s="1"/>
  <c r="K172" i="21" s="1"/>
  <c r="K173" i="21" s="1"/>
  <c r="L176" i="21"/>
  <c r="L177" i="21" s="1"/>
  <c r="M191" i="18"/>
  <c r="M192" i="18" s="1"/>
  <c r="K163" i="13"/>
  <c r="K164" i="13" s="1"/>
  <c r="D158" i="40"/>
  <c r="C47" i="40"/>
  <c r="D47" i="40"/>
  <c r="E59" i="40"/>
  <c r="C48" i="40"/>
  <c r="D48" i="40"/>
  <c r="G121" i="40"/>
  <c r="H119" i="40" s="1"/>
  <c r="J139" i="9"/>
  <c r="I138" i="9"/>
  <c r="D16" i="10"/>
  <c r="D18" i="10"/>
  <c r="L178" i="27" l="1"/>
  <c r="L179" i="27" s="1"/>
  <c r="L163" i="27" s="1"/>
  <c r="L173" i="27" s="1"/>
  <c r="L174" i="27" s="1"/>
  <c r="L175" i="27" s="1"/>
  <c r="L161" i="21"/>
  <c r="L171" i="21" s="1"/>
  <c r="L172" i="21" s="1"/>
  <c r="L173" i="21" s="1"/>
  <c r="M176" i="21"/>
  <c r="M177" i="21" s="1"/>
  <c r="M176" i="18"/>
  <c r="M186" i="18" s="1"/>
  <c r="M187" i="18" s="1"/>
  <c r="M188" i="18" s="1"/>
  <c r="N191" i="18"/>
  <c r="N192" i="18" s="1"/>
  <c r="K148" i="13"/>
  <c r="K158" i="13" s="1"/>
  <c r="K159" i="13" s="1"/>
  <c r="K160" i="13" s="1"/>
  <c r="L163" i="13"/>
  <c r="L164" i="13" s="1"/>
  <c r="C158" i="40"/>
  <c r="E101" i="40"/>
  <c r="C104" i="40"/>
  <c r="C59" i="40"/>
  <c r="D59" i="40"/>
  <c r="E84" i="40"/>
  <c r="H121" i="40"/>
  <c r="I119" i="40" s="1"/>
  <c r="D19" i="10"/>
  <c r="D20" i="10" s="1"/>
  <c r="D21" i="10" s="1"/>
  <c r="D22" i="10" s="1"/>
  <c r="D23" i="10" s="1"/>
  <c r="J138" i="9"/>
  <c r="K139" i="9"/>
  <c r="D17" i="10"/>
  <c r="M178" i="27" l="1"/>
  <c r="M179" i="27" s="1"/>
  <c r="M161" i="21"/>
  <c r="M171" i="21" s="1"/>
  <c r="M172" i="21" s="1"/>
  <c r="M173" i="21" s="1"/>
  <c r="N176" i="21"/>
  <c r="N177" i="21" s="1"/>
  <c r="N176" i="18"/>
  <c r="N186" i="18" s="1"/>
  <c r="N187" i="18" s="1"/>
  <c r="N188" i="18" s="1"/>
  <c r="O191" i="18"/>
  <c r="O192" i="18" s="1"/>
  <c r="L148" i="13"/>
  <c r="L158" i="13" s="1"/>
  <c r="L159" i="13" s="1"/>
  <c r="L160" i="13" s="1"/>
  <c r="E88" i="40"/>
  <c r="C131" i="40"/>
  <c r="C136" i="40" s="1"/>
  <c r="D84" i="40"/>
  <c r="C84" i="40"/>
  <c r="C105" i="40"/>
  <c r="C106" i="40" s="1"/>
  <c r="D157" i="40"/>
  <c r="E158" i="40"/>
  <c r="I121" i="40"/>
  <c r="J119" i="40" s="1"/>
  <c r="D24" i="10"/>
  <c r="K138" i="9"/>
  <c r="L139" i="9"/>
  <c r="N178" i="27" l="1"/>
  <c r="M163" i="27"/>
  <c r="M173" i="27" s="1"/>
  <c r="M174" i="27" s="1"/>
  <c r="M175" i="27" s="1"/>
  <c r="N161" i="21"/>
  <c r="N171" i="21" s="1"/>
  <c r="N172" i="21" s="1"/>
  <c r="N173" i="21" s="1"/>
  <c r="O176" i="21"/>
  <c r="O177" i="21" s="1"/>
  <c r="O176" i="18"/>
  <c r="O186" i="18" s="1"/>
  <c r="O187" i="18" s="1"/>
  <c r="O188" i="18" s="1"/>
  <c r="P191" i="18"/>
  <c r="P192" i="18" s="1"/>
  <c r="M163" i="13"/>
  <c r="M164" i="13" s="1"/>
  <c r="D104" i="40"/>
  <c r="C107" i="40"/>
  <c r="C108" i="40" s="1"/>
  <c r="E100" i="40"/>
  <c r="C157" i="40"/>
  <c r="D88" i="40"/>
  <c r="C88" i="40"/>
  <c r="J121" i="40"/>
  <c r="K119" i="40" s="1"/>
  <c r="D25" i="10"/>
  <c r="M139" i="9"/>
  <c r="L138" i="9"/>
  <c r="N179" i="27" l="1"/>
  <c r="N163" i="27" s="1"/>
  <c r="N173" i="27" s="1"/>
  <c r="N174" i="27" s="1"/>
  <c r="N175" i="27" s="1"/>
  <c r="O178" i="27"/>
  <c r="O179" i="27" s="1"/>
  <c r="O161" i="21"/>
  <c r="O171" i="21" s="1"/>
  <c r="O172" i="21" s="1"/>
  <c r="O173" i="21" s="1"/>
  <c r="P176" i="21"/>
  <c r="P177" i="21" s="1"/>
  <c r="P176" i="18"/>
  <c r="P186" i="18" s="1"/>
  <c r="P187" i="18" s="1"/>
  <c r="P188" i="18" s="1"/>
  <c r="M148" i="13"/>
  <c r="M158" i="13" s="1"/>
  <c r="M159" i="13" s="1"/>
  <c r="M160" i="13" s="1"/>
  <c r="D107" i="40"/>
  <c r="E107" i="40" s="1"/>
  <c r="E104" i="40"/>
  <c r="E103" i="40" s="1"/>
  <c r="E157" i="40"/>
  <c r="K121" i="40"/>
  <c r="L119" i="40" s="1"/>
  <c r="N139" i="9"/>
  <c r="M138" i="9"/>
  <c r="D26" i="10"/>
  <c r="P178" i="27" l="1"/>
  <c r="O163" i="27"/>
  <c r="O173" i="27" s="1"/>
  <c r="O174" i="27" s="1"/>
  <c r="O175" i="27" s="1"/>
  <c r="P161" i="21"/>
  <c r="P171" i="21" s="1"/>
  <c r="P172" i="21" s="1"/>
  <c r="P173" i="21" s="1"/>
  <c r="Q176" i="21"/>
  <c r="Q177" i="21" s="1"/>
  <c r="Q191" i="18"/>
  <c r="Q192" i="18" s="1"/>
  <c r="N163" i="13"/>
  <c r="N164" i="13" s="1"/>
  <c r="G139" i="40"/>
  <c r="G141" i="40" s="1"/>
  <c r="G140" i="40" s="1"/>
  <c r="C139" i="40"/>
  <c r="C141" i="40" s="1"/>
  <c r="C140" i="40" s="1"/>
  <c r="D139" i="40"/>
  <c r="D141" i="40" s="1"/>
  <c r="D140" i="40" s="1"/>
  <c r="E139" i="40"/>
  <c r="E141" i="40" s="1"/>
  <c r="E140" i="40" s="1"/>
  <c r="F139" i="40"/>
  <c r="F141" i="40" s="1"/>
  <c r="F140" i="40" s="1"/>
  <c r="D106" i="40"/>
  <c r="E105" i="40"/>
  <c r="L121" i="40"/>
  <c r="M119" i="40" s="1"/>
  <c r="D27" i="10"/>
  <c r="N138" i="9"/>
  <c r="O139" i="9"/>
  <c r="P179" i="27" l="1"/>
  <c r="P163" i="27" s="1"/>
  <c r="P173" i="27" s="1"/>
  <c r="P174" i="27" s="1"/>
  <c r="P175" i="27" s="1"/>
  <c r="Q178" i="27"/>
  <c r="Q161" i="21"/>
  <c r="Q171" i="21" s="1"/>
  <c r="Q172" i="21" s="1"/>
  <c r="Q173" i="21" s="1"/>
  <c r="Q176" i="18"/>
  <c r="Q186" i="18" s="1"/>
  <c r="Q187" i="18" s="1"/>
  <c r="Q188" i="18" s="1"/>
  <c r="N148" i="13"/>
  <c r="N158" i="13" s="1"/>
  <c r="N159" i="13" s="1"/>
  <c r="N160" i="13" s="1"/>
  <c r="D108" i="40"/>
  <c r="E108" i="40" s="1"/>
  <c r="E106" i="40"/>
  <c r="M121" i="40"/>
  <c r="N119" i="40" s="1"/>
  <c r="D28" i="10"/>
  <c r="O138" i="9"/>
  <c r="P139" i="9"/>
  <c r="Q179" i="27" l="1"/>
  <c r="Q163" i="27" s="1"/>
  <c r="Q173" i="27" s="1"/>
  <c r="Q174" i="27" s="1"/>
  <c r="Q175" i="27" s="1"/>
  <c r="R178" i="27"/>
  <c r="R179" i="27" s="1"/>
  <c r="R163" i="27"/>
  <c r="R173" i="27" s="1"/>
  <c r="R174" i="27" s="1"/>
  <c r="S178" i="27"/>
  <c r="S179" i="27" s="1"/>
  <c r="R176" i="21"/>
  <c r="R177" i="21" s="1"/>
  <c r="R191" i="18"/>
  <c r="R192" i="18" s="1"/>
  <c r="R176" i="18"/>
  <c r="R186" i="18" s="1"/>
  <c r="R187" i="18" s="1"/>
  <c r="R188" i="18" s="1"/>
  <c r="O163" i="13"/>
  <c r="O164" i="13" s="1"/>
  <c r="N121" i="40"/>
  <c r="O119" i="40" s="1"/>
  <c r="Q139" i="9"/>
  <c r="P138" i="9"/>
  <c r="D29" i="10"/>
  <c r="R175" i="27" l="1"/>
  <c r="S163" i="27"/>
  <c r="S173" i="27" s="1"/>
  <c r="S174" i="27" s="1"/>
  <c r="S175" i="27" s="1"/>
  <c r="T178" i="27"/>
  <c r="T179" i="27" s="1"/>
  <c r="R161" i="21"/>
  <c r="R171" i="21" s="1"/>
  <c r="R172" i="21" s="1"/>
  <c r="R173" i="21" s="1"/>
  <c r="S191" i="18"/>
  <c r="S192" i="18" s="1"/>
  <c r="O148" i="13"/>
  <c r="O158" i="13" s="1"/>
  <c r="O159" i="13" s="1"/>
  <c r="O160" i="13" s="1"/>
  <c r="P163" i="13"/>
  <c r="P164" i="13" s="1"/>
  <c r="O121" i="40"/>
  <c r="P119" i="40" s="1"/>
  <c r="D30" i="10"/>
  <c r="R139" i="9"/>
  <c r="Q138" i="9"/>
  <c r="T163" i="27" l="1"/>
  <c r="T173" i="27" s="1"/>
  <c r="T174" i="27" s="1"/>
  <c r="T175" i="27" s="1"/>
  <c r="S176" i="21"/>
  <c r="S177" i="21" s="1"/>
  <c r="S176" i="18"/>
  <c r="S186" i="18" s="1"/>
  <c r="S187" i="18" s="1"/>
  <c r="S188" i="18" s="1"/>
  <c r="P148" i="13"/>
  <c r="P158" i="13" s="1"/>
  <c r="P159" i="13" s="1"/>
  <c r="P160" i="13" s="1"/>
  <c r="P121" i="40"/>
  <c r="Q119" i="40" s="1"/>
  <c r="S139" i="9"/>
  <c r="R138" i="9"/>
  <c r="D31" i="10"/>
  <c r="U178" i="27" l="1"/>
  <c r="S161" i="21"/>
  <c r="S171" i="21" s="1"/>
  <c r="S172" i="21" s="1"/>
  <c r="S173" i="21" s="1"/>
  <c r="T176" i="21"/>
  <c r="T177" i="21" s="1"/>
  <c r="Q163" i="13"/>
  <c r="T191" i="18"/>
  <c r="T192" i="18" s="1"/>
  <c r="Q121" i="40"/>
  <c r="R119" i="40" s="1"/>
  <c r="D32" i="10"/>
  <c r="T139" i="9"/>
  <c r="S138" i="9"/>
  <c r="U179" i="27" l="1"/>
  <c r="U163" i="27" s="1"/>
  <c r="U173" i="27" s="1"/>
  <c r="U174" i="27" s="1"/>
  <c r="U175" i="27" s="1"/>
  <c r="V178" i="27"/>
  <c r="V179" i="27" s="1"/>
  <c r="Q164" i="13"/>
  <c r="R163" i="13" s="1"/>
  <c r="R164" i="13" s="1"/>
  <c r="V163" i="27"/>
  <c r="V173" i="27" s="1"/>
  <c r="V174" i="27" s="1"/>
  <c r="W178" i="27"/>
  <c r="W179" i="27" s="1"/>
  <c r="T161" i="21"/>
  <c r="T171" i="21" s="1"/>
  <c r="T172" i="21" s="1"/>
  <c r="U176" i="21"/>
  <c r="U177" i="21" s="1"/>
  <c r="T173" i="21"/>
  <c r="T176" i="18"/>
  <c r="T186" i="18" s="1"/>
  <c r="T187" i="18" s="1"/>
  <c r="T188" i="18" s="1"/>
  <c r="U191" i="18"/>
  <c r="U192" i="18" s="1"/>
  <c r="R148" i="13"/>
  <c r="R158" i="13" s="1"/>
  <c r="R159" i="13" s="1"/>
  <c r="R121" i="40"/>
  <c r="S119" i="40" s="1"/>
  <c r="D33" i="10"/>
  <c r="U139" i="9"/>
  <c r="T138" i="9"/>
  <c r="V175" i="27" l="1"/>
  <c r="Q148" i="13"/>
  <c r="Q158" i="13" s="1"/>
  <c r="Q159" i="13" s="1"/>
  <c r="Q160" i="13" s="1"/>
  <c r="R160" i="13" s="1"/>
  <c r="W163" i="27"/>
  <c r="W173" i="27" s="1"/>
  <c r="W174" i="27" s="1"/>
  <c r="W175" i="27" s="1"/>
  <c r="X178" i="27"/>
  <c r="X179" i="27" s="1"/>
  <c r="U161" i="21"/>
  <c r="U171" i="21" s="1"/>
  <c r="U172" i="21" s="1"/>
  <c r="U173" i="21" s="1"/>
  <c r="V176" i="21"/>
  <c r="V177" i="21" s="1"/>
  <c r="U176" i="18"/>
  <c r="U186" i="18" s="1"/>
  <c r="U187" i="18" s="1"/>
  <c r="U188" i="18" s="1"/>
  <c r="V191" i="18"/>
  <c r="V192" i="18" s="1"/>
  <c r="S163" i="13"/>
  <c r="S164" i="13" s="1"/>
  <c r="S121" i="40"/>
  <c r="T119" i="40" s="1"/>
  <c r="U138" i="9"/>
  <c r="V139" i="9"/>
  <c r="D34" i="10"/>
  <c r="X163" i="27" l="1"/>
  <c r="X173" i="27" s="1"/>
  <c r="X174" i="27" s="1"/>
  <c r="X175" i="27" s="1"/>
  <c r="Y178" i="27"/>
  <c r="Y179" i="27" s="1"/>
  <c r="V161" i="21"/>
  <c r="V171" i="21" s="1"/>
  <c r="V172" i="21" s="1"/>
  <c r="V173" i="21" s="1"/>
  <c r="W176" i="21"/>
  <c r="W177" i="21" s="1"/>
  <c r="V176" i="18"/>
  <c r="V186" i="18" s="1"/>
  <c r="V187" i="18" s="1"/>
  <c r="V188" i="18" s="1"/>
  <c r="W191" i="18"/>
  <c r="W192" i="18" s="1"/>
  <c r="S148" i="13"/>
  <c r="S158" i="13" s="1"/>
  <c r="S159" i="13" s="1"/>
  <c r="S160" i="13" s="1"/>
  <c r="T121" i="40"/>
  <c r="U119" i="40" s="1"/>
  <c r="D35" i="10"/>
  <c r="V138" i="9"/>
  <c r="W139" i="9"/>
  <c r="Y163" i="27" l="1"/>
  <c r="Y173" i="27" s="1"/>
  <c r="Y174" i="27" s="1"/>
  <c r="Y175" i="27" s="1"/>
  <c r="Z178" i="27"/>
  <c r="Z179" i="27" s="1"/>
  <c r="W161" i="21"/>
  <c r="W171" i="21" s="1"/>
  <c r="W172" i="21" s="1"/>
  <c r="W173" i="21" s="1"/>
  <c r="X176" i="21"/>
  <c r="X177" i="21" s="1"/>
  <c r="W176" i="18"/>
  <c r="W186" i="18" s="1"/>
  <c r="W187" i="18" s="1"/>
  <c r="W188" i="18" s="1"/>
  <c r="X191" i="18"/>
  <c r="X192" i="18" s="1"/>
  <c r="T163" i="13"/>
  <c r="T164" i="13" s="1"/>
  <c r="U121" i="40"/>
  <c r="V119" i="40" s="1"/>
  <c r="W138" i="9"/>
  <c r="X139" i="9"/>
  <c r="D36" i="10"/>
  <c r="Z163" i="27" l="1"/>
  <c r="Z173" i="27" s="1"/>
  <c r="Z174" i="27" s="1"/>
  <c r="Z175" i="27" s="1"/>
  <c r="X161" i="21"/>
  <c r="X171" i="21" s="1"/>
  <c r="X172" i="21" s="1"/>
  <c r="X173" i="21" s="1"/>
  <c r="Y176" i="21"/>
  <c r="Y177" i="21" s="1"/>
  <c r="X176" i="18"/>
  <c r="X186" i="18" s="1"/>
  <c r="X187" i="18" s="1"/>
  <c r="X188" i="18" s="1"/>
  <c r="Y191" i="18"/>
  <c r="Y192" i="18" s="1"/>
  <c r="T148" i="13"/>
  <c r="T158" i="13" s="1"/>
  <c r="T159" i="13" s="1"/>
  <c r="T160" i="13" s="1"/>
  <c r="V121" i="40"/>
  <c r="W119" i="40" s="1"/>
  <c r="D37" i="10"/>
  <c r="D38" i="10" s="1"/>
  <c r="D39" i="10" s="1"/>
  <c r="D40" i="10" s="1"/>
  <c r="D41" i="10" s="1"/>
  <c r="D42" i="10" s="1"/>
  <c r="D43" i="10" s="1"/>
  <c r="D44" i="10" s="1"/>
  <c r="D45" i="10" s="1"/>
  <c r="D46" i="10" s="1"/>
  <c r="D47" i="10" s="1"/>
  <c r="D48" i="10" s="1"/>
  <c r="D49" i="10" s="1"/>
  <c r="D50" i="10" s="1"/>
  <c r="D51" i="10" s="1"/>
  <c r="D52" i="10" s="1"/>
  <c r="D53" i="10" s="1"/>
  <c r="D54" i="10" s="1"/>
  <c r="D55" i="10" s="1"/>
  <c r="D56" i="10" s="1"/>
  <c r="D57" i="10" s="1"/>
  <c r="D58" i="10" s="1"/>
  <c r="D59" i="10" s="1"/>
  <c r="D60" i="10" s="1"/>
  <c r="D61" i="10" s="1"/>
  <c r="D62" i="10" s="1"/>
  <c r="D63" i="10" s="1"/>
  <c r="D64" i="10" s="1"/>
  <c r="D65" i="10" s="1"/>
  <c r="D66" i="10" s="1"/>
  <c r="D67" i="10" s="1"/>
  <c r="D68" i="10" s="1"/>
  <c r="D69" i="10" s="1"/>
  <c r="D70" i="10" s="1"/>
  <c r="D71" i="10" s="1"/>
  <c r="D72" i="10" s="1"/>
  <c r="D73" i="10" s="1"/>
  <c r="D74" i="10" s="1"/>
  <c r="D75" i="10" s="1"/>
  <c r="D76" i="10" s="1"/>
  <c r="D77" i="10" s="1"/>
  <c r="D78" i="10" s="1"/>
  <c r="D79" i="10" s="1"/>
  <c r="D80" i="10" s="1"/>
  <c r="D81" i="10" s="1"/>
  <c r="D82" i="10" s="1"/>
  <c r="D83" i="10" s="1"/>
  <c r="D84" i="10" s="1"/>
  <c r="D85" i="10" s="1"/>
  <c r="D86" i="10" s="1"/>
  <c r="D87" i="10" s="1"/>
  <c r="D88" i="10" s="1"/>
  <c r="D89" i="10" s="1"/>
  <c r="D90" i="10" s="1"/>
  <c r="D91" i="10" s="1"/>
  <c r="D92" i="10" s="1"/>
  <c r="D93" i="10" s="1"/>
  <c r="D94" i="10" s="1"/>
  <c r="D95" i="10" s="1"/>
  <c r="D96" i="10" s="1"/>
  <c r="D97" i="10" s="1"/>
  <c r="D98" i="10" s="1"/>
  <c r="D99" i="10" s="1"/>
  <c r="D100" i="10" s="1"/>
  <c r="D101" i="10" s="1"/>
  <c r="D102" i="10" s="1"/>
  <c r="D103" i="10" s="1"/>
  <c r="D104" i="10" s="1"/>
  <c r="D105" i="10" s="1"/>
  <c r="D106" i="10" s="1"/>
  <c r="D107" i="10" s="1"/>
  <c r="Y139" i="9"/>
  <c r="X138" i="9"/>
  <c r="AA178" i="27" l="1"/>
  <c r="AA179" i="27" s="1"/>
  <c r="AA163" i="27"/>
  <c r="AA173" i="27" s="1"/>
  <c r="AA174" i="27" s="1"/>
  <c r="AA175" i="27" s="1"/>
  <c r="AB178" i="27"/>
  <c r="AB179" i="27" s="1"/>
  <c r="Y161" i="21"/>
  <c r="Y171" i="21" s="1"/>
  <c r="Y172" i="21" s="1"/>
  <c r="Y173" i="21" s="1"/>
  <c r="Y176" i="18"/>
  <c r="Y186" i="18" s="1"/>
  <c r="Y187" i="18" s="1"/>
  <c r="Y188" i="18" s="1"/>
  <c r="U163" i="13"/>
  <c r="U164" i="13" s="1"/>
  <c r="W121" i="40"/>
  <c r="X119" i="40" s="1"/>
  <c r="U28" i="10"/>
  <c r="Y138" i="9"/>
  <c r="Z139" i="9"/>
  <c r="Z8" i="10"/>
  <c r="T8" i="10"/>
  <c r="Y8" i="10"/>
  <c r="AA8" i="10"/>
  <c r="L8" i="10"/>
  <c r="X8" i="10"/>
  <c r="O8" i="10"/>
  <c r="U8" i="10"/>
  <c r="W8" i="10"/>
  <c r="X14" i="10"/>
  <c r="Y14" i="10"/>
  <c r="W14" i="10"/>
  <c r="AA14" i="10"/>
  <c r="Z14" i="10"/>
  <c r="U14" i="10"/>
  <c r="L14" i="10"/>
  <c r="Y18" i="10"/>
  <c r="W18" i="10"/>
  <c r="T14" i="10"/>
  <c r="X18" i="10"/>
  <c r="Z18" i="10"/>
  <c r="O18" i="10"/>
  <c r="O14" i="10"/>
  <c r="O23" i="10"/>
  <c r="U18" i="10"/>
  <c r="X23" i="10"/>
  <c r="AA23" i="10"/>
  <c r="T18" i="10"/>
  <c r="AA18" i="10"/>
  <c r="L23" i="10"/>
  <c r="L18" i="10"/>
  <c r="Z23" i="10"/>
  <c r="T23" i="10"/>
  <c r="W23" i="10"/>
  <c r="U23" i="10"/>
  <c r="Y23" i="10"/>
  <c r="Y26" i="10"/>
  <c r="U26" i="10"/>
  <c r="L26" i="10"/>
  <c r="W26" i="10"/>
  <c r="T26" i="10"/>
  <c r="O26" i="10"/>
  <c r="Z26" i="10"/>
  <c r="AA26" i="10"/>
  <c r="X26" i="10"/>
  <c r="O28" i="10"/>
  <c r="T28" i="10"/>
  <c r="X28" i="10"/>
  <c r="L28" i="10"/>
  <c r="AA28" i="10"/>
  <c r="W28" i="10"/>
  <c r="Z28" i="10"/>
  <c r="Y28" i="10"/>
  <c r="AB163" i="27" l="1"/>
  <c r="AB173" i="27" s="1"/>
  <c r="AB174" i="27" s="1"/>
  <c r="AB175" i="27" s="1"/>
  <c r="Z176" i="21"/>
  <c r="Z177" i="21" s="1"/>
  <c r="Z191" i="18"/>
  <c r="Z192" i="18" s="1"/>
  <c r="U148" i="13"/>
  <c r="U158" i="13" s="1"/>
  <c r="U159" i="13" s="1"/>
  <c r="U160" i="13" s="1"/>
  <c r="AB26" i="10"/>
  <c r="U108" i="10"/>
  <c r="V28" i="10"/>
  <c r="X121" i="40"/>
  <c r="Y119" i="40" s="1"/>
  <c r="V23" i="10"/>
  <c r="O108" i="10"/>
  <c r="Z108" i="10"/>
  <c r="V26" i="10"/>
  <c r="X108" i="10"/>
  <c r="V14" i="10"/>
  <c r="AA108" i="10"/>
  <c r="AB28" i="10"/>
  <c r="W108" i="10"/>
  <c r="AB18" i="10"/>
  <c r="L108" i="10"/>
  <c r="V8" i="10"/>
  <c r="T108" i="10"/>
  <c r="AB8" i="10"/>
  <c r="V18" i="10"/>
  <c r="AD23" i="10"/>
  <c r="Z138" i="9"/>
  <c r="AA139" i="9"/>
  <c r="AB23" i="10"/>
  <c r="AD8" i="10"/>
  <c r="Y108" i="10"/>
  <c r="AD14" i="10"/>
  <c r="AB14" i="10"/>
  <c r="AD28" i="10"/>
  <c r="AD26" i="10"/>
  <c r="AD18" i="10"/>
  <c r="AC178" i="27" l="1"/>
  <c r="AC179" i="27" s="1"/>
  <c r="AC163" i="27"/>
  <c r="AC173" i="27" s="1"/>
  <c r="AC174" i="27" s="1"/>
  <c r="AC175" i="27" s="1"/>
  <c r="Z161" i="21"/>
  <c r="Z171" i="21" s="1"/>
  <c r="Z172" i="21" s="1"/>
  <c r="Z173" i="21" s="1"/>
  <c r="AA176" i="21"/>
  <c r="AA177" i="21" s="1"/>
  <c r="Z176" i="18"/>
  <c r="Z186" i="18" s="1"/>
  <c r="Z187" i="18" s="1"/>
  <c r="Z188" i="18" s="1"/>
  <c r="AA191" i="18"/>
  <c r="AA192" i="18" s="1"/>
  <c r="V163" i="13"/>
  <c r="V164" i="13" s="1"/>
  <c r="AC26" i="10"/>
  <c r="AC23" i="10"/>
  <c r="AC28" i="10"/>
  <c r="AE28" i="10"/>
  <c r="AR28" i="10" s="1"/>
  <c r="AE23" i="10"/>
  <c r="AV23" i="10" s="1"/>
  <c r="AE26" i="10"/>
  <c r="AS26" i="10" s="1"/>
  <c r="Y121" i="40"/>
  <c r="Z119" i="40" s="1"/>
  <c r="AE14" i="10"/>
  <c r="AW14" i="10" s="1"/>
  <c r="AC14" i="10"/>
  <c r="AB108" i="10"/>
  <c r="AA138" i="9"/>
  <c r="AB139" i="9"/>
  <c r="AC18" i="10"/>
  <c r="AE18" i="10"/>
  <c r="AD108" i="10"/>
  <c r="AE8" i="10"/>
  <c r="AC8" i="10"/>
  <c r="V108" i="10"/>
  <c r="AV28" i="10" l="1"/>
  <c r="AQ28" i="10"/>
  <c r="AD178" i="27"/>
  <c r="AD179" i="27" s="1"/>
  <c r="AD163" i="27"/>
  <c r="AD173" i="27" s="1"/>
  <c r="AD174" i="27" s="1"/>
  <c r="AD175" i="27" s="1"/>
  <c r="AE178" i="27"/>
  <c r="AE179" i="27" s="1"/>
  <c r="AA161" i="21"/>
  <c r="AA171" i="21" s="1"/>
  <c r="AA172" i="21" s="1"/>
  <c r="AB176" i="21"/>
  <c r="AB177" i="21" s="1"/>
  <c r="AA173" i="21"/>
  <c r="AA176" i="18"/>
  <c r="AA186" i="18" s="1"/>
  <c r="AA187" i="18" s="1"/>
  <c r="AA188" i="18" s="1"/>
  <c r="V148" i="13"/>
  <c r="V158" i="13" s="1"/>
  <c r="V159" i="13" s="1"/>
  <c r="V160" i="13" s="1"/>
  <c r="AT28" i="10"/>
  <c r="AT23" i="10"/>
  <c r="AU28" i="10"/>
  <c r="AX28" i="10"/>
  <c r="AZ28" i="10"/>
  <c r="AY28" i="10"/>
  <c r="AP28" i="10"/>
  <c r="AW28" i="10"/>
  <c r="AM23" i="10"/>
  <c r="AS28" i="10"/>
  <c r="AZ26" i="10"/>
  <c r="AM28" i="10"/>
  <c r="AL28" i="10"/>
  <c r="AX23" i="10"/>
  <c r="AU23" i="10"/>
  <c r="AW23" i="10"/>
  <c r="AT26" i="10"/>
  <c r="AU26" i="10"/>
  <c r="AO28" i="10"/>
  <c r="AN28" i="10"/>
  <c r="AP23" i="10"/>
  <c r="AQ26" i="10"/>
  <c r="AQ23" i="10"/>
  <c r="AW26" i="10"/>
  <c r="AR23" i="10"/>
  <c r="AS23" i="10"/>
  <c r="AY23" i="10"/>
  <c r="AY26" i="10"/>
  <c r="AN23" i="10"/>
  <c r="AL23" i="10"/>
  <c r="AX26" i="10"/>
  <c r="AO23" i="10"/>
  <c r="AL26" i="10"/>
  <c r="AZ23" i="10"/>
  <c r="AP26" i="10"/>
  <c r="AR26" i="10"/>
  <c r="AV26" i="10"/>
  <c r="AO26" i="10"/>
  <c r="AM26" i="10"/>
  <c r="AX14" i="10"/>
  <c r="AV14" i="10"/>
  <c r="AZ14" i="10"/>
  <c r="AL14" i="10"/>
  <c r="AN26" i="10"/>
  <c r="AO14" i="10"/>
  <c r="AP14" i="10"/>
  <c r="AQ14" i="10"/>
  <c r="AM14" i="10"/>
  <c r="AU14" i="10"/>
  <c r="AY14" i="10"/>
  <c r="AT14" i="10"/>
  <c r="AC108" i="10"/>
  <c r="AS14" i="10"/>
  <c r="AR14" i="10"/>
  <c r="AN14" i="10"/>
  <c r="Z121" i="40"/>
  <c r="AA119" i="40" s="1"/>
  <c r="AL8" i="10"/>
  <c r="AV8" i="10"/>
  <c r="AX8" i="10"/>
  <c r="AY8" i="10"/>
  <c r="AT8" i="10"/>
  <c r="AS8" i="10"/>
  <c r="AP8" i="10"/>
  <c r="AR8" i="10"/>
  <c r="AN8" i="10"/>
  <c r="AM8" i="10"/>
  <c r="AZ8" i="10"/>
  <c r="AU8" i="10"/>
  <c r="AQ8" i="10"/>
  <c r="AO8" i="10"/>
  <c r="AW8" i="10"/>
  <c r="AE108" i="10"/>
  <c r="AB138" i="9"/>
  <c r="AC139" i="9"/>
  <c r="AN18" i="10"/>
  <c r="AR18" i="10"/>
  <c r="AV18" i="10"/>
  <c r="AZ18" i="10"/>
  <c r="AQ18" i="10"/>
  <c r="AL18" i="10"/>
  <c r="AT18" i="10"/>
  <c r="AP18" i="10"/>
  <c r="AM18" i="10"/>
  <c r="AU18" i="10"/>
  <c r="AY18" i="10"/>
  <c r="AX18" i="10"/>
  <c r="AW18" i="10"/>
  <c r="AS18" i="10"/>
  <c r="AO18" i="10"/>
  <c r="AE163" i="27" l="1"/>
  <c r="AE173" i="27" s="1"/>
  <c r="AE174" i="27" s="1"/>
  <c r="AE175" i="27" s="1"/>
  <c r="AF178" i="27"/>
  <c r="AB161" i="21"/>
  <c r="AB171" i="21" s="1"/>
  <c r="AB172" i="21" s="1"/>
  <c r="AB173" i="21" s="1"/>
  <c r="AC176" i="21"/>
  <c r="AC177" i="21" s="1"/>
  <c r="AB191" i="18"/>
  <c r="AB192" i="18" s="1"/>
  <c r="W163" i="13"/>
  <c r="W164" i="13" s="1"/>
  <c r="AA121" i="40"/>
  <c r="AB119" i="40" s="1"/>
  <c r="AZ108" i="10"/>
  <c r="J37" i="46" s="1"/>
  <c r="J68" i="46" s="1"/>
  <c r="AN108" i="10"/>
  <c r="AR108" i="10"/>
  <c r="AP108" i="10"/>
  <c r="AS108" i="10"/>
  <c r="AT108" i="10"/>
  <c r="AW108" i="10"/>
  <c r="G37" i="46" s="1"/>
  <c r="G68" i="46" s="1"/>
  <c r="AO108" i="10"/>
  <c r="AD139" i="9"/>
  <c r="AC138" i="9"/>
  <c r="AM108" i="10"/>
  <c r="AY108" i="10"/>
  <c r="I37" i="46" s="1"/>
  <c r="I68" i="46" s="1"/>
  <c r="AX108" i="10"/>
  <c r="H37" i="46" s="1"/>
  <c r="H68" i="46" s="1"/>
  <c r="AV108" i="10"/>
  <c r="AQ108" i="10"/>
  <c r="AL108" i="10"/>
  <c r="AU108" i="10"/>
  <c r="AF179" i="27" l="1"/>
  <c r="AF163" i="27" s="1"/>
  <c r="AF173" i="27" s="1"/>
  <c r="AF174" i="27" s="1"/>
  <c r="AF175" i="27" s="1"/>
  <c r="AC161" i="21"/>
  <c r="AC171" i="21" s="1"/>
  <c r="AC172" i="21" s="1"/>
  <c r="AC173" i="21" s="1"/>
  <c r="AD176" i="21"/>
  <c r="AD177" i="21" s="1"/>
  <c r="AB176" i="18"/>
  <c r="AB186" i="18" s="1"/>
  <c r="AB187" i="18" s="1"/>
  <c r="AB188" i="18" s="1"/>
  <c r="AC191" i="18"/>
  <c r="AC192" i="18" s="1"/>
  <c r="W148" i="13"/>
  <c r="W158" i="13" s="1"/>
  <c r="W159" i="13" s="1"/>
  <c r="W160" i="13" s="1"/>
  <c r="F37" i="46"/>
  <c r="E10" i="46"/>
  <c r="D10" i="46"/>
  <c r="AB121" i="40"/>
  <c r="AC119" i="40" s="1"/>
  <c r="AE139" i="9"/>
  <c r="AD138" i="9"/>
  <c r="AD161" i="21" l="1"/>
  <c r="AD171" i="21" s="1"/>
  <c r="AD172" i="21" s="1"/>
  <c r="AD173" i="21" s="1"/>
  <c r="AE176" i="21"/>
  <c r="AE177" i="21" s="1"/>
  <c r="AC176" i="18"/>
  <c r="AC186" i="18" s="1"/>
  <c r="AC187" i="18" s="1"/>
  <c r="AC188" i="18" s="1"/>
  <c r="X163" i="13"/>
  <c r="X164" i="13" s="1"/>
  <c r="F68" i="46"/>
  <c r="D37" i="46"/>
  <c r="E37" i="46"/>
  <c r="AC121" i="40"/>
  <c r="AD119" i="40" s="1"/>
  <c r="AF139" i="9"/>
  <c r="AF138" i="9" s="1"/>
  <c r="AE138" i="9"/>
  <c r="AE161" i="21" l="1"/>
  <c r="AE171" i="21" s="1"/>
  <c r="AE172" i="21" s="1"/>
  <c r="AE173" i="21" s="1"/>
  <c r="AF176" i="21"/>
  <c r="AD191" i="18"/>
  <c r="AD192" i="18" s="1"/>
  <c r="AD176" i="18" s="1"/>
  <c r="AD186" i="18" s="1"/>
  <c r="AD187" i="18" s="1"/>
  <c r="AD188" i="18" s="1"/>
  <c r="X148" i="13"/>
  <c r="X158" i="13" s="1"/>
  <c r="X159" i="13" s="1"/>
  <c r="X160" i="13" s="1"/>
  <c r="E68" i="46"/>
  <c r="D68" i="46"/>
  <c r="F9" i="46" a="1"/>
  <c r="F9" i="46" s="1"/>
  <c r="AD121" i="40"/>
  <c r="AE119" i="40" s="1"/>
  <c r="D20" i="17" a="1"/>
  <c r="D20" i="17" s="1"/>
  <c r="E58" i="40" a="1"/>
  <c r="F36" i="46" a="1"/>
  <c r="D47" i="17" a="1"/>
  <c r="D47" i="17" s="1"/>
  <c r="D26" i="17" a="1"/>
  <c r="D26" i="17" s="1"/>
  <c r="E69" i="40" a="1"/>
  <c r="E69" i="40" s="1"/>
  <c r="C130" i="40" a="1"/>
  <c r="C130" i="40" s="1"/>
  <c r="E83" i="40" a="1"/>
  <c r="C120" i="40" a="1"/>
  <c r="C120" i="40" s="1"/>
  <c r="F18" i="46" a="1"/>
  <c r="F18" i="46" s="1"/>
  <c r="C113" i="40" a="1"/>
  <c r="C113" i="40" s="1"/>
  <c r="F48" i="46" a="1"/>
  <c r="F48" i="46" s="1"/>
  <c r="D9" i="17" a="1"/>
  <c r="D9" i="17" s="1"/>
  <c r="D40" i="17" a="1"/>
  <c r="D40" i="17" s="1"/>
  <c r="E75" i="40" a="1"/>
  <c r="E75" i="40" s="1"/>
  <c r="F67" i="46" a="1"/>
  <c r="AF177" i="21" l="1"/>
  <c r="AF161" i="21" s="1"/>
  <c r="AF171" i="21" s="1"/>
  <c r="AF172" i="21" s="1"/>
  <c r="AF173" i="21" s="1"/>
  <c r="AE191" i="18"/>
  <c r="AE192" i="18" s="1"/>
  <c r="Y163" i="13"/>
  <c r="Y164" i="13" s="1"/>
  <c r="AE121" i="40"/>
  <c r="AF119" i="40" s="1"/>
  <c r="AF121" i="40" s="1"/>
  <c r="C116" i="40" s="1"/>
  <c r="B117" i="40" s="1"/>
  <c r="F67" i="46"/>
  <c r="F36" i="46"/>
  <c r="AD63" i="40"/>
  <c r="V63" i="40"/>
  <c r="I63" i="40"/>
  <c r="AH63" i="40"/>
  <c r="U63" i="40"/>
  <c r="H63" i="40"/>
  <c r="AG63" i="40"/>
  <c r="T63" i="40"/>
  <c r="G63" i="40"/>
  <c r="AF63" i="40"/>
  <c r="S63" i="40"/>
  <c r="AB63" i="40"/>
  <c r="K63" i="40"/>
  <c r="AA63" i="40"/>
  <c r="J63" i="40"/>
  <c r="Z63" i="40"/>
  <c r="Y63" i="40"/>
  <c r="X63" i="40"/>
  <c r="AE63" i="40"/>
  <c r="AC63" i="40"/>
  <c r="W63" i="40"/>
  <c r="P63" i="40"/>
  <c r="E58" i="40"/>
  <c r="E63" i="40" s="1"/>
  <c r="Q63" i="40"/>
  <c r="N63" i="40"/>
  <c r="O63" i="40"/>
  <c r="M63" i="40"/>
  <c r="L63" i="40"/>
  <c r="R63" i="40"/>
  <c r="F63" i="40"/>
  <c r="E83" i="40"/>
  <c r="AE176" i="18" l="1"/>
  <c r="AE186" i="18" s="1"/>
  <c r="AE187" i="18" s="1"/>
  <c r="AE188" i="18" s="1"/>
  <c r="AF191" i="18"/>
  <c r="Y148" i="13"/>
  <c r="Y158" i="13" s="1"/>
  <c r="Y159" i="13" s="1"/>
  <c r="Y160" i="13" s="1"/>
  <c r="Z163" i="13"/>
  <c r="C63" i="40"/>
  <c r="D63" i="40"/>
  <c r="E138" i="40"/>
  <c r="E148" i="40" s="1"/>
  <c r="E149" i="40" s="1"/>
  <c r="Z138" i="40"/>
  <c r="Z148" i="40" s="1"/>
  <c r="Z149" i="40" s="1"/>
  <c r="X138" i="40"/>
  <c r="X148" i="40" s="1"/>
  <c r="X149" i="40" s="1"/>
  <c r="G138" i="40"/>
  <c r="G148" i="40" s="1"/>
  <c r="G149" i="40" s="1"/>
  <c r="C138" i="40"/>
  <c r="C148" i="40" s="1"/>
  <c r="N138" i="40"/>
  <c r="N148" i="40" s="1"/>
  <c r="N149" i="40" s="1"/>
  <c r="W138" i="40"/>
  <c r="W148" i="40" s="1"/>
  <c r="W149" i="40" s="1"/>
  <c r="H138" i="40"/>
  <c r="H148" i="40" s="1"/>
  <c r="H149" i="40" s="1"/>
  <c r="D127" i="40"/>
  <c r="B154" i="40" s="1"/>
  <c r="S138" i="40"/>
  <c r="S148" i="40" s="1"/>
  <c r="S149" i="40" s="1"/>
  <c r="R138" i="40"/>
  <c r="R148" i="40" s="1"/>
  <c r="R149" i="40" s="1"/>
  <c r="I138" i="40"/>
  <c r="I148" i="40" s="1"/>
  <c r="I149" i="40" s="1"/>
  <c r="D138" i="40"/>
  <c r="D148" i="40" s="1"/>
  <c r="D149" i="40" s="1"/>
  <c r="Y138" i="40"/>
  <c r="Y148" i="40" s="1"/>
  <c r="Y149" i="40" s="1"/>
  <c r="U138" i="40"/>
  <c r="U148" i="40" s="1"/>
  <c r="U149" i="40" s="1"/>
  <c r="J138" i="40"/>
  <c r="J148" i="40" s="1"/>
  <c r="J149" i="40" s="1"/>
  <c r="K138" i="40"/>
  <c r="K148" i="40" s="1"/>
  <c r="K149" i="40" s="1"/>
  <c r="P138" i="40"/>
  <c r="P148" i="40" s="1"/>
  <c r="P149" i="40" s="1"/>
  <c r="Q138" i="40"/>
  <c r="Q148" i="40" s="1"/>
  <c r="Q149" i="40" s="1"/>
  <c r="M138" i="40"/>
  <c r="M148" i="40" s="1"/>
  <c r="M149" i="40" s="1"/>
  <c r="V138" i="40"/>
  <c r="V148" i="40" s="1"/>
  <c r="V149" i="40" s="1"/>
  <c r="T138" i="40"/>
  <c r="T148" i="40" s="1"/>
  <c r="T149" i="40" s="1"/>
  <c r="AB138" i="40"/>
  <c r="AB148" i="40" s="1"/>
  <c r="AB149" i="40" s="1"/>
  <c r="AE138" i="40"/>
  <c r="AE148" i="40" s="1"/>
  <c r="AE149" i="40" s="1"/>
  <c r="AD138" i="40"/>
  <c r="AD148" i="40" s="1"/>
  <c r="AD149" i="40" s="1"/>
  <c r="AA138" i="40"/>
  <c r="AA148" i="40" s="1"/>
  <c r="AA149" i="40" s="1"/>
  <c r="AF138" i="40"/>
  <c r="AF148" i="40" s="1"/>
  <c r="AF149" i="40" s="1"/>
  <c r="O138" i="40"/>
  <c r="O148" i="40" s="1"/>
  <c r="O149" i="40" s="1"/>
  <c r="L138" i="40"/>
  <c r="L148" i="40" s="1"/>
  <c r="L149" i="40" s="1"/>
  <c r="F138" i="40"/>
  <c r="F148" i="40" s="1"/>
  <c r="F149" i="40" s="1"/>
  <c r="AC138" i="40"/>
  <c r="AC148" i="40" s="1"/>
  <c r="AC149" i="40" s="1"/>
  <c r="Q91" i="40"/>
  <c r="Q64" i="40"/>
  <c r="F72" i="46"/>
  <c r="F42" i="46"/>
  <c r="E41" i="46"/>
  <c r="D41" i="46"/>
  <c r="AF64" i="40"/>
  <c r="AF91" i="40"/>
  <c r="AE72" i="46"/>
  <c r="AE42" i="46"/>
  <c r="AC91" i="40"/>
  <c r="AC64" i="40"/>
  <c r="AF72" i="46"/>
  <c r="AF42" i="46"/>
  <c r="S72" i="46"/>
  <c r="S42" i="46"/>
  <c r="N64" i="40"/>
  <c r="N91" i="40"/>
  <c r="AB91" i="40"/>
  <c r="AB64" i="40"/>
  <c r="S64" i="40"/>
  <c r="S91" i="40"/>
  <c r="AI72" i="46"/>
  <c r="AI42" i="46"/>
  <c r="P91" i="40"/>
  <c r="P64" i="40"/>
  <c r="J72" i="46"/>
  <c r="J42" i="46"/>
  <c r="W64" i="40"/>
  <c r="W91" i="40"/>
  <c r="L72" i="46"/>
  <c r="L42" i="46"/>
  <c r="T64" i="40"/>
  <c r="T91" i="40"/>
  <c r="K72" i="46"/>
  <c r="K42" i="46"/>
  <c r="AE64" i="40"/>
  <c r="AE91" i="40"/>
  <c r="Y72" i="46"/>
  <c r="Y42" i="46"/>
  <c r="F91" i="40"/>
  <c r="F64" i="40"/>
  <c r="H64" i="40"/>
  <c r="H91" i="40"/>
  <c r="P42" i="46"/>
  <c r="P72" i="46"/>
  <c r="R64" i="40"/>
  <c r="R91" i="40"/>
  <c r="U64" i="40"/>
  <c r="U91" i="40"/>
  <c r="H42" i="46"/>
  <c r="H72" i="46"/>
  <c r="AG72" i="46"/>
  <c r="AG42" i="46"/>
  <c r="Z42" i="46"/>
  <c r="Z72" i="46"/>
  <c r="L91" i="40"/>
  <c r="L64" i="40"/>
  <c r="Z91" i="40"/>
  <c r="Z64" i="40"/>
  <c r="AH64" i="40"/>
  <c r="AH91" i="40"/>
  <c r="U42" i="46"/>
  <c r="U72" i="46"/>
  <c r="Q72" i="46"/>
  <c r="Q42" i="46"/>
  <c r="X72" i="46"/>
  <c r="X42" i="46"/>
  <c r="AD91" i="40"/>
  <c r="AD64" i="40"/>
  <c r="AC42" i="46"/>
  <c r="AC72" i="46"/>
  <c r="W42" i="46"/>
  <c r="W72" i="46"/>
  <c r="O42" i="46"/>
  <c r="O72" i="46"/>
  <c r="T42" i="46"/>
  <c r="T72" i="46"/>
  <c r="X91" i="40"/>
  <c r="X64" i="40"/>
  <c r="K91" i="40"/>
  <c r="K64" i="40"/>
  <c r="AD42" i="46"/>
  <c r="AD72" i="46"/>
  <c r="I72" i="46"/>
  <c r="I42" i="46"/>
  <c r="V72" i="46"/>
  <c r="V42" i="46"/>
  <c r="E64" i="40"/>
  <c r="E91" i="40"/>
  <c r="N42" i="46"/>
  <c r="N72" i="46"/>
  <c r="G64" i="40"/>
  <c r="G91" i="40"/>
  <c r="G42" i="46"/>
  <c r="G72" i="46"/>
  <c r="AG64" i="40"/>
  <c r="AG91" i="40"/>
  <c r="M42" i="46"/>
  <c r="M72" i="46"/>
  <c r="Y91" i="40"/>
  <c r="Y64" i="40"/>
  <c r="M91" i="40"/>
  <c r="M64" i="40"/>
  <c r="J64" i="40"/>
  <c r="J91" i="40"/>
  <c r="I64" i="40"/>
  <c r="I91" i="40"/>
  <c r="AB42" i="46"/>
  <c r="AB72" i="46"/>
  <c r="AH72" i="46"/>
  <c r="AH42" i="46"/>
  <c r="O91" i="40"/>
  <c r="O64" i="40"/>
  <c r="AA91" i="40"/>
  <c r="AA64" i="40"/>
  <c r="V64" i="40"/>
  <c r="V91" i="40"/>
  <c r="AA42" i="46"/>
  <c r="AA72" i="46"/>
  <c r="R72" i="46"/>
  <c r="R42" i="46"/>
  <c r="AF192" i="18" l="1"/>
  <c r="AF176" i="18" s="1"/>
  <c r="AF186" i="18" s="1"/>
  <c r="AF187" i="18" s="1"/>
  <c r="AF188" i="18" s="1"/>
  <c r="Z164" i="13"/>
  <c r="Z148" i="13" s="1"/>
  <c r="Z158" i="13" s="1"/>
  <c r="Z159" i="13" s="1"/>
  <c r="Z160" i="13" s="1"/>
  <c r="C64" i="40"/>
  <c r="D64" i="40"/>
  <c r="C149" i="40"/>
  <c r="C150" i="40" s="1"/>
  <c r="C114" i="40"/>
  <c r="D114" i="40" s="1"/>
  <c r="E114" i="40" s="1"/>
  <c r="F114" i="40" s="1"/>
  <c r="G114" i="40" s="1"/>
  <c r="H114" i="40" s="1"/>
  <c r="I114" i="40" s="1"/>
  <c r="J114" i="40" s="1"/>
  <c r="K114" i="40" s="1"/>
  <c r="L114" i="40" s="1"/>
  <c r="M114" i="40" s="1"/>
  <c r="N114" i="40" s="1"/>
  <c r="O114" i="40" s="1"/>
  <c r="P114" i="40" s="1"/>
  <c r="Q114" i="40" s="1"/>
  <c r="R114" i="40" s="1"/>
  <c r="S114" i="40" s="1"/>
  <c r="T114" i="40" s="1"/>
  <c r="U114" i="40" s="1"/>
  <c r="V114" i="40" s="1"/>
  <c r="W114" i="40" s="1"/>
  <c r="X114" i="40" s="1"/>
  <c r="Y114" i="40" s="1"/>
  <c r="Z114" i="40" s="1"/>
  <c r="AA114" i="40" s="1"/>
  <c r="AB114" i="40" s="1"/>
  <c r="AC114" i="40" s="1"/>
  <c r="AD114" i="40" s="1"/>
  <c r="AE114" i="40" s="1"/>
  <c r="AF114" i="40" s="1"/>
  <c r="Q73" i="46"/>
  <c r="Q78" i="46" s="1"/>
  <c r="D147" i="40"/>
  <c r="F92" i="40"/>
  <c r="AA92" i="40"/>
  <c r="Y147" i="40"/>
  <c r="I73" i="46"/>
  <c r="I78" i="46" s="1"/>
  <c r="U73" i="46"/>
  <c r="U78" i="46" s="1"/>
  <c r="H73" i="46"/>
  <c r="H78" i="46" s="1"/>
  <c r="AA147" i="40"/>
  <c r="AC92" i="40"/>
  <c r="AD73" i="46"/>
  <c r="AD78" i="46" s="1"/>
  <c r="Y92" i="40"/>
  <c r="W147" i="40"/>
  <c r="AF147" i="40"/>
  <c r="AH92" i="40"/>
  <c r="AE92" i="40"/>
  <c r="AC147" i="40"/>
  <c r="AD147" i="40"/>
  <c r="AF92" i="40"/>
  <c r="N147" i="40"/>
  <c r="P92" i="40"/>
  <c r="AH73" i="46"/>
  <c r="AH78" i="46" s="1"/>
  <c r="M73" i="46"/>
  <c r="M78" i="46" s="1"/>
  <c r="Z92" i="40"/>
  <c r="X147" i="40"/>
  <c r="R73" i="46"/>
  <c r="R78" i="46" s="1"/>
  <c r="D91" i="40"/>
  <c r="C91" i="40"/>
  <c r="C147" i="40"/>
  <c r="E92" i="40"/>
  <c r="P73" i="46"/>
  <c r="P78" i="46" s="1"/>
  <c r="Q147" i="40"/>
  <c r="S92" i="40"/>
  <c r="E42" i="46"/>
  <c r="D42" i="46"/>
  <c r="AG92" i="40"/>
  <c r="AE147" i="40"/>
  <c r="T73" i="46"/>
  <c r="T78" i="46" s="1"/>
  <c r="S73" i="46"/>
  <c r="S78" i="46" s="1"/>
  <c r="N92" i="40"/>
  <c r="L147" i="40"/>
  <c r="G92" i="40"/>
  <c r="E147" i="40"/>
  <c r="AE73" i="46"/>
  <c r="AE78" i="46" s="1"/>
  <c r="M147" i="40"/>
  <c r="O92" i="40"/>
  <c r="S147" i="40"/>
  <c r="U92" i="40"/>
  <c r="I147" i="40"/>
  <c r="K92" i="40"/>
  <c r="AC73" i="46"/>
  <c r="AC78" i="46" s="1"/>
  <c r="AI73" i="46"/>
  <c r="AI78" i="46" s="1"/>
  <c r="AA73" i="46"/>
  <c r="AA78" i="46" s="1"/>
  <c r="V73" i="46"/>
  <c r="V78" i="46" s="1"/>
  <c r="W92" i="40"/>
  <c r="U147" i="40"/>
  <c r="W73" i="46"/>
  <c r="W78" i="46" s="1"/>
  <c r="AG73" i="46"/>
  <c r="AG78" i="46" s="1"/>
  <c r="M92" i="40"/>
  <c r="K147" i="40"/>
  <c r="Y73" i="46"/>
  <c r="Y78" i="46" s="1"/>
  <c r="J73" i="46"/>
  <c r="J78" i="46" s="1"/>
  <c r="N73" i="46"/>
  <c r="N78" i="46" s="1"/>
  <c r="R92" i="40"/>
  <c r="P147" i="40"/>
  <c r="AB73" i="46"/>
  <c r="AB78" i="46" s="1"/>
  <c r="K73" i="46"/>
  <c r="K78" i="46" s="1"/>
  <c r="X92" i="40"/>
  <c r="V147" i="40"/>
  <c r="R147" i="40"/>
  <c r="T92" i="40"/>
  <c r="G147" i="40"/>
  <c r="I92" i="40"/>
  <c r="AB147" i="40"/>
  <c r="AD92" i="40"/>
  <c r="L92" i="40"/>
  <c r="J147" i="40"/>
  <c r="F73" i="46"/>
  <c r="D72" i="46"/>
  <c r="E72" i="46"/>
  <c r="Z73" i="46"/>
  <c r="Z78" i="46" s="1"/>
  <c r="F147" i="40"/>
  <c r="H92" i="40"/>
  <c r="V92" i="40"/>
  <c r="T147" i="40"/>
  <c r="J92" i="40"/>
  <c r="H147" i="40"/>
  <c r="G73" i="46"/>
  <c r="G78" i="46" s="1"/>
  <c r="O73" i="46"/>
  <c r="O78" i="46" s="1"/>
  <c r="X73" i="46"/>
  <c r="X78" i="46" s="1"/>
  <c r="L73" i="46"/>
  <c r="L78" i="46" s="1"/>
  <c r="AB92" i="40"/>
  <c r="Z147" i="40"/>
  <c r="AF73" i="46"/>
  <c r="AF78" i="46" s="1"/>
  <c r="Q92" i="40"/>
  <c r="O147" i="40"/>
  <c r="AA163" i="13" l="1"/>
  <c r="AA164" i="13" s="1"/>
  <c r="AA148" i="13" s="1"/>
  <c r="AA158" i="13" s="1"/>
  <c r="AA159" i="13" s="1"/>
  <c r="AA160" i="13" s="1"/>
  <c r="AB163" i="13"/>
  <c r="AB164" i="13" s="1"/>
  <c r="D150" i="40"/>
  <c r="E150" i="40" s="1"/>
  <c r="F150" i="40" s="1"/>
  <c r="G150" i="40" s="1"/>
  <c r="H150" i="40" s="1"/>
  <c r="I150" i="40" s="1"/>
  <c r="J150" i="40" s="1"/>
  <c r="K150" i="40" s="1"/>
  <c r="L150" i="40" s="1"/>
  <c r="M150" i="40" s="1"/>
  <c r="N150" i="40" s="1"/>
  <c r="O150" i="40" s="1"/>
  <c r="P150" i="40" s="1"/>
  <c r="Q150" i="40" s="1"/>
  <c r="R150" i="40" s="1"/>
  <c r="S150" i="40" s="1"/>
  <c r="T150" i="40" s="1"/>
  <c r="U150" i="40" s="1"/>
  <c r="V150" i="40" s="1"/>
  <c r="W150" i="40" s="1"/>
  <c r="X150" i="40" s="1"/>
  <c r="Y150" i="40" s="1"/>
  <c r="Z150" i="40" s="1"/>
  <c r="AA150" i="40" s="1"/>
  <c r="AB150" i="40" s="1"/>
  <c r="AC150" i="40" s="1"/>
  <c r="AD150" i="40" s="1"/>
  <c r="AE150" i="40" s="1"/>
  <c r="AF150" i="40" s="1"/>
  <c r="C94" i="40"/>
  <c r="F78" i="46"/>
  <c r="E73" i="46"/>
  <c r="D83" i="46" s="1"/>
  <c r="D73" i="46"/>
  <c r="C92" i="40"/>
  <c r="D92" i="40"/>
  <c r="C93" i="40" s="1"/>
  <c r="AB148" i="13" l="1"/>
  <c r="AB158" i="13" s="1"/>
  <c r="AB159" i="13" s="1"/>
  <c r="AB160" i="13" s="1"/>
  <c r="C152" i="40"/>
  <c r="D82" i="46"/>
  <c r="E78" i="46"/>
  <c r="D81" i="46" s="1"/>
  <c r="D78" i="46"/>
  <c r="AC163" i="13" l="1"/>
  <c r="AC164" i="13" s="1"/>
  <c r="D160" i="40"/>
  <c r="C160" i="40"/>
  <c r="AC148" i="13" l="1"/>
  <c r="AC158" i="13" s="1"/>
  <c r="AC159" i="13" s="1"/>
  <c r="AC160" i="13" s="1"/>
  <c r="C161" i="40"/>
  <c r="D161" i="40"/>
  <c r="AD163" i="13" l="1"/>
  <c r="AD164" i="13" s="1"/>
  <c r="D162" i="40"/>
  <c r="D164" i="40"/>
  <c r="E161" i="40"/>
  <c r="C164" i="40"/>
  <c r="C162" i="40"/>
  <c r="AD148" i="13" l="1"/>
  <c r="AD158" i="13" s="1"/>
  <c r="AD159" i="13" s="1"/>
  <c r="AD160" i="13" s="1"/>
  <c r="C163" i="40"/>
  <c r="E162" i="40"/>
  <c r="E164" i="40"/>
  <c r="E160" i="40"/>
  <c r="D163" i="40"/>
  <c r="AE163" i="13" l="1"/>
  <c r="AE164" i="13" s="1"/>
  <c r="C165" i="40"/>
  <c r="D165" i="40"/>
  <c r="E163" i="40"/>
  <c r="AE148" i="13" l="1"/>
  <c r="AE158" i="13" s="1"/>
  <c r="AE159" i="13" s="1"/>
  <c r="AE160" i="13" s="1"/>
  <c r="E165" i="40"/>
  <c r="AF163" i="13" l="1"/>
  <c r="AF164" i="13" l="1"/>
  <c r="AF148" i="13" s="1"/>
  <c r="AF158" i="13" s="1"/>
  <c r="AF159" i="13" s="1"/>
  <c r="AF16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Balogh Bence</author>
    <author>TR</author>
  </authors>
  <commentList>
    <comment ref="F7" authorId="0" shapeId="0" xr:uid="{CED08128-3914-4FDF-B76D-4F66625FC236}">
      <text>
        <r>
          <rPr>
            <b/>
            <sz val="9"/>
            <color indexed="81"/>
            <rFont val="Tahoma"/>
            <family val="2"/>
          </rPr>
          <t>Azokhoz az elemekhez, amelyek konkrét élettartammal bírnak, kérjük azt adja meg. Amely elemekhez nem lehet konkrét élettartamot rendelni (előkészítés, tervezés stb.) ott adja meg az élettartammal rendelkező tételek költséggel súlyozott átlagos élettartamának egész számra kerekített értékét.</t>
        </r>
      </text>
    </comment>
    <comment ref="G7" authorId="0" shapeId="0" xr:uid="{661E5AB3-A417-4B5C-97FA-40A8F75CAE7A}">
      <text>
        <r>
          <rPr>
            <b/>
            <sz val="9"/>
            <color indexed="81"/>
            <rFont val="Tahoma"/>
            <family val="2"/>
            <charset val="238"/>
          </rPr>
          <t>Csak alsor esetén releváns.
Fősor esetében jelölje a "nem releváns" lehetőséget!</t>
        </r>
      </text>
    </comment>
    <comment ref="P7" authorId="1" shapeId="0" xr:uid="{8C37991A-1C3D-4366-9657-22ADDC0B9AFD}">
      <text>
        <r>
          <rPr>
            <b/>
            <sz val="9"/>
            <color indexed="81"/>
            <rFont val="Tahoma"/>
            <family val="2"/>
          </rPr>
          <t>Maradványérték becslése az eszköz hátralévő élettartama alapján, értékcsökkenés alapú számítés szerint történik.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<sst xmlns="http://schemas.openxmlformats.org/spreadsheetml/2006/main" count="3128" uniqueCount="595">
  <si>
    <t>i_n_list</t>
  </si>
  <si>
    <t>igen</t>
  </si>
  <si>
    <t>nem</t>
  </si>
  <si>
    <t>azon_valaszt</t>
  </si>
  <si>
    <t>Kérjük válassza ki a pályázati felhívás azonosítóját!</t>
  </si>
  <si>
    <t>Szerv_form</t>
  </si>
  <si>
    <t>önkormányzat</t>
  </si>
  <si>
    <t>kisvállalkozás</t>
  </si>
  <si>
    <t>középvállalkozás</t>
  </si>
  <si>
    <t>nagyvállalkozás</t>
  </si>
  <si>
    <t>Varmegye</t>
  </si>
  <si>
    <t>Borsod-Abaúj-Zemplén vármegye</t>
  </si>
  <si>
    <t>Észak-Magyarország</t>
  </si>
  <si>
    <t>Heves vármegye</t>
  </si>
  <si>
    <t>Nógrád vármegye</t>
  </si>
  <si>
    <t>Hajdú-Bihar vármegye</t>
  </si>
  <si>
    <t>Észak-Alföld</t>
  </si>
  <si>
    <t>Jász-Nagykun-Szolnok vármegye</t>
  </si>
  <si>
    <t>Szabolcs-Szatmár-Bereg vármegye</t>
  </si>
  <si>
    <t>Bács-Kiskun vármegye</t>
  </si>
  <si>
    <t>Dél-Alföld</t>
  </si>
  <si>
    <t>Békés vármegye</t>
  </si>
  <si>
    <t>Csongrád-Csanád vármegye</t>
  </si>
  <si>
    <t>Pest vármegye</t>
  </si>
  <si>
    <t>Pest</t>
  </si>
  <si>
    <t>Budapest</t>
  </si>
  <si>
    <t>Fejér vármegye</t>
  </si>
  <si>
    <t>Közép-Dunántúl</t>
  </si>
  <si>
    <t>Komárom-Esztergom vármegye</t>
  </si>
  <si>
    <t>Veszprém vármegye</t>
  </si>
  <si>
    <t>Győr-Moson-Sopron vármegye</t>
  </si>
  <si>
    <t>Nyugat-Dunántúl</t>
  </si>
  <si>
    <t>Vas vármegye</t>
  </si>
  <si>
    <t>Zala vármegye</t>
  </si>
  <si>
    <t>Baranya vármegye</t>
  </si>
  <si>
    <t>Dél-Dunántúl</t>
  </si>
  <si>
    <t>Somogy vármegye</t>
  </si>
  <si>
    <t>Tolna vármegye</t>
  </si>
  <si>
    <t>felh_valaszt</t>
  </si>
  <si>
    <t>felhívás azonosítója alapján</t>
  </si>
  <si>
    <t>felhívás címe alapján</t>
  </si>
  <si>
    <t>felh_valaszt_list</t>
  </si>
  <si>
    <t>Állami támogatási relevancia
1= lehet áll. Tám.
0= nem lehet áll. Tám.</t>
  </si>
  <si>
    <t>Kérjük válaszoljon az előző kérdésre!</t>
  </si>
  <si>
    <t>Kérjük válaszoljon a következő kérdésekre!</t>
  </si>
  <si>
    <t>Kérjük NE válaszoljon a következő kérdésekre! A mezőket hagyja üresen!</t>
  </si>
  <si>
    <t>Kérjük törölje a válaszát!</t>
  </si>
  <si>
    <t>Kérjük válaszoljon a kérdésre!</t>
  </si>
  <si>
    <t>A kitöltés megfelelő!</t>
  </si>
  <si>
    <t>A projekt keretében állami támogatásra is jogosult. Az igénybe vehető állami támogatások az alábbiakban látható.</t>
  </si>
  <si>
    <t>A projekt nem tartozik az állami támogatási szabályok alá.</t>
  </si>
  <si>
    <t>Felh_azon</t>
  </si>
  <si>
    <t>Felh_cím</t>
  </si>
  <si>
    <t>Állami_tám_kód</t>
  </si>
  <si>
    <t>TOP_PLUSZ-1.3.2-23</t>
  </si>
  <si>
    <t>Fenntartható városfejlesztés</t>
  </si>
  <si>
    <t>Fennt_városfejl</t>
  </si>
  <si>
    <t>TOP_PLUSZ-2.1.2-21</t>
  </si>
  <si>
    <t>Fenntartható energiahatékonyság</t>
  </si>
  <si>
    <t>Fennt_ehat</t>
  </si>
  <si>
    <t>TOP_PLUSZ-3.1.3-23</t>
  </si>
  <si>
    <t>Helyi humán fejlesztések</t>
  </si>
  <si>
    <t>Helyi_hum_fejl</t>
  </si>
  <si>
    <t>TOP_PLUSZ-3.2.1-23</t>
  </si>
  <si>
    <t>Fenntartható humán fejlesztések</t>
  </si>
  <si>
    <t>Fennt_hum_fejl</t>
  </si>
  <si>
    <t>TOP_PLUSZ-3.3.3-23</t>
  </si>
  <si>
    <t>Köznevelési infrastruktúra fejlesztése</t>
  </si>
  <si>
    <t>Közn_infra_fejl</t>
  </si>
  <si>
    <t>TOP_PLUSZ-3.4.1-23</t>
  </si>
  <si>
    <t>Fenntartható humán infrastruktúra</t>
  </si>
  <si>
    <t>Fennt_hum_infra</t>
  </si>
  <si>
    <t>TOP_PLUSZ-4.1.2-23</t>
  </si>
  <si>
    <t>BRINGASZTRÁDA PROGRAM</t>
  </si>
  <si>
    <t>BRINGASZTR_PR</t>
  </si>
  <si>
    <t>TOP_PLUSZ-4.1.3-23</t>
  </si>
  <si>
    <t>Komplex klímaadaptációs és közterület-megújítási program</t>
  </si>
  <si>
    <t>Komplex_klíma_pr</t>
  </si>
  <si>
    <t>TOP_PLUSZ-6.1.4-23</t>
  </si>
  <si>
    <t>Aktív turizmus fejlesztése</t>
  </si>
  <si>
    <t>Aktív_tur_fejl</t>
  </si>
  <si>
    <t>TOP_PLUSZ-6.2.1-23</t>
  </si>
  <si>
    <t>Fenntartható versenyképes városfejlesztés</t>
  </si>
  <si>
    <t>Fennt_versenyk_városfejl</t>
  </si>
  <si>
    <t>Az energiaszegénység enyhítése szilárd tüzelésű háztartások átállításával fővárosi pilot projekt keretében</t>
  </si>
  <si>
    <t>E_szeg</t>
  </si>
  <si>
    <t>Klímatudatosság, éghajlatváltozáshoz való alkalmazkodás</t>
  </si>
  <si>
    <t>Klímatud_alk</t>
  </si>
  <si>
    <t>Lakásügynökség - önkormányzati lakásállomány felújítása és bővítése</t>
  </si>
  <si>
    <t>Lak_ügyn</t>
  </si>
  <si>
    <t>Fővárosi Foglalkoztatási Paktum</t>
  </si>
  <si>
    <t>Fov_fogl</t>
  </si>
  <si>
    <t>Szociális szolgáltatások kapacitásainak fejlesztése</t>
  </si>
  <si>
    <t>Szoc_szolg_kapacit_fejl</t>
  </si>
  <si>
    <t>Lakásügynökség-modell kialakítása</t>
  </si>
  <si>
    <t>Lak_ügyn_modell</t>
  </si>
  <si>
    <t>Lakhatási garancia program</t>
  </si>
  <si>
    <t>Lakh_gar_pr</t>
  </si>
  <si>
    <t>Komplex támogatás a szolgáltatások összekapcsolásával</t>
  </si>
  <si>
    <t>Komplex</t>
  </si>
  <si>
    <t>ktg_sor</t>
  </si>
  <si>
    <t>Fősor</t>
  </si>
  <si>
    <t>Alsor</t>
  </si>
  <si>
    <t>elsz_nem_elsz_ktg</t>
  </si>
  <si>
    <t>Elszámolható költség</t>
  </si>
  <si>
    <t>Nem elszámolható költség</t>
  </si>
  <si>
    <t>afa_visszaig</t>
  </si>
  <si>
    <t>ÁFA visszaigénylő</t>
  </si>
  <si>
    <t>Nem ÁFA visszaigénylő</t>
  </si>
  <si>
    <t>Az ütemezés megfelelő!</t>
  </si>
  <si>
    <t>Az ütemezés nem megfelelő, kérjük javítsa!</t>
  </si>
  <si>
    <t>Vizsg_tav</t>
  </si>
  <si>
    <t>nem_rel</t>
  </si>
  <si>
    <t>nem releváns</t>
  </si>
  <si>
    <t>penz_fennt__i</t>
  </si>
  <si>
    <r>
      <rPr>
        <b/>
        <sz val="10"/>
        <color theme="0"/>
        <rFont val="Arial"/>
        <family val="2"/>
      </rPr>
      <t>Pénzügyi fenntarthatóság biztosított.</t>
    </r>
    <r>
      <rPr>
        <sz val="10"/>
        <color theme="0"/>
        <rFont val="Arial"/>
        <family val="2"/>
      </rPr>
      <t xml:space="preserve"> Nincs szükség működési többletforrásra, ennek mértéke a következő táblázatban 0.</t>
    </r>
  </si>
  <si>
    <t>penz_fennt_n</t>
  </si>
  <si>
    <r>
      <rPr>
        <b/>
        <sz val="10"/>
        <color theme="0"/>
        <rFont val="Arial"/>
        <family val="2"/>
      </rPr>
      <t>Pénzügyi fenntarthatóság nem biztosított.</t>
    </r>
    <r>
      <rPr>
        <sz val="10"/>
        <color theme="0"/>
        <rFont val="Arial"/>
        <family val="2"/>
      </rPr>
      <t xml:space="preserve"> Működési többletforrásra van szükség, melynek mértéke a következő táblázatban látható.</t>
    </r>
  </si>
  <si>
    <t>EU társfinanszírozás aránya</t>
  </si>
  <si>
    <t>Hazai társfinanszírozás aránya</t>
  </si>
  <si>
    <t>Tam_jogcim</t>
  </si>
  <si>
    <t>Nem állami támogatás</t>
  </si>
  <si>
    <t>Csekély összegű támogatás</t>
  </si>
  <si>
    <t>Személyszállítási közszolgáltatásért járó ellentételezés</t>
  </si>
  <si>
    <t>Helyi infrastruktúra fejlesztéséhez nyújtott beruházási támogatás</t>
  </si>
  <si>
    <t>Közszolgáltatásért járó ellentételezés</t>
  </si>
  <si>
    <t>Kultúrát és a kulturális örökség megőrzését előmozdító támogatás</t>
  </si>
  <si>
    <t>Sportlétesítményhez és multifunkcionális szabadidős létesítményhez nyújtott támogatás</t>
  </si>
  <si>
    <t>Környezeti károk helyreállítása</t>
  </si>
  <si>
    <t>A kivitelezendő projekt támogatási kategóriájával azonos</t>
  </si>
  <si>
    <t>Elektromos- vagy hidrogéntöltő infrastruktúrához nyújtott beruházási támogatás, csekély összegű támogatás</t>
  </si>
  <si>
    <t>Megújuló energia, megújuló hidrogén és nagy hatásfokú kapcsolt energiatermeléshez nyújtott beruházási támogatás</t>
  </si>
  <si>
    <t>Regionális beruházási támogatás</t>
  </si>
  <si>
    <t xml:space="preserve"> A zenei és irodalmi alkotások kiadásához nyújtott támogatás esetén</t>
  </si>
  <si>
    <t>megujulo_energia</t>
  </si>
  <si>
    <t>A támogatott beruházás megújulóenergia termelésre - ideértve az (EU) 2018/2001 irányelv VII. mellékletének megfelelő hőszivattyúkat -, megújuló energiaforrásokon alapuló nagy hatásfokú kapcsolt energiatermelésre és megújuló hidrogén termelésre irányul</t>
  </si>
  <si>
    <t>Egyéb, a többihez nem tartozó eset</t>
  </si>
  <si>
    <t>korny_kar_list</t>
  </si>
  <si>
    <t>a környezeti károk – ideértve a földtani közeg, a felszíni vagy felszín alatt vizek vagy a tengeri környezet minőségének károsodását is – felszámolásához nyújtott támogatás esetén</t>
  </si>
  <si>
    <t>a leromlott állapotú természetes élőhelyek és ökoszisztémák rehabilitációjához nyújtott támogatás esetén</t>
  </si>
  <si>
    <t>a biológiai sokféleség vagy ökoszisztémák védelméhez vagy helyreállításához az ökoszisztémák jó állapotának eléréséhez való hozzájárulás vagy a már jó állapotban lévő ökoszisztémák védelme érdekében nyújtott támogatás esetén</t>
  </si>
  <si>
    <t>az éghajlatváltozáshoz való alkalmazkodásra és annak mérséklésére szolgáló természetalapú megoldások megvalósításához nyújtott támogatás esetén</t>
  </si>
  <si>
    <t>Gazdasági tevékenységet végez?</t>
  </si>
  <si>
    <t>Nem</t>
  </si>
  <si>
    <t>Igen</t>
  </si>
  <si>
    <t>Kereskedelemre hatással van?</t>
  </si>
  <si>
    <t>Folytat nem állami támogatás alá eső tevékenységet is?</t>
  </si>
  <si>
    <t>Nem állami támogatás a projekt vagy része</t>
  </si>
  <si>
    <t>Állami támogatás a projekt vagy része</t>
  </si>
  <si>
    <t>Nettó működési bevétel keletkezik?</t>
  </si>
  <si>
    <t>Nettó működési bevételt figyelembe veszi a  támogatási szabály?</t>
  </si>
  <si>
    <t>A közcélra vonatkozó működési támogatás mértékét csökkenti a nettó bevétel összegével?</t>
  </si>
  <si>
    <t>PF szerinti maximális támogatási arány</t>
  </si>
  <si>
    <t>Finanszírozási hiány ráta számítás</t>
  </si>
  <si>
    <t>PF, illetve támogatási szabály szerinti maximális támogatási arány</t>
  </si>
  <si>
    <t>Nettó működési bevétel levonásával, releváns szabály szerint</t>
  </si>
  <si>
    <t>A megfelelő támogatási szabályt számoló munkalapra mutató hivatkozás</t>
  </si>
  <si>
    <t>nem_áll_egyszerű!A1</t>
  </si>
  <si>
    <t>nem_áll_fin_hiány!A1</t>
  </si>
  <si>
    <t>áll_tám_egyszerű!A1</t>
  </si>
  <si>
    <t>áll_tám_műk_eredmény!A1</t>
  </si>
  <si>
    <t>Nem állami támogatás, nettó működési bevétel nem keletkezik</t>
  </si>
  <si>
    <t>Nem állami támogatás, nettó működési bevétel keletkezik, amivel csökkentik a működési támogatást</t>
  </si>
  <si>
    <t>Nem állami támogatás, nettó működési bevétel keletkezik, amivel nem csökkentik a működési támogatást</t>
  </si>
  <si>
    <t>Állami támogatás, nettó működési bevételt nem veszi figyelembe a támogatási szabály</t>
  </si>
  <si>
    <t>Állami támogatás, nettó működési bevételt figyelembe veszi a támogatási szabály, nettó működési bevétel nem keletkezik</t>
  </si>
  <si>
    <t>Állami támogatás, nettó működési bevételt figyelembe veszi a támogatási szabály, nettó működési bevétel keletkezik</t>
  </si>
  <si>
    <t>Támogatás szükségességének alátámasztása</t>
  </si>
  <si>
    <t>Nem szükséges</t>
  </si>
  <si>
    <t>Igen, finanszírozási hiány ráta számítással</t>
  </si>
  <si>
    <t>A támogatási arány számításának módjától függ</t>
  </si>
  <si>
    <t>Szükséges</t>
  </si>
  <si>
    <t>Pénzügyi teljesítménymutatók meghatározása</t>
  </si>
  <si>
    <t>Pénzáramok becslése szükséges</t>
  </si>
  <si>
    <t>Szükséges, egyszerűsített pénzáramok alapján</t>
  </si>
  <si>
    <t>Pénzügyi fenntarthatóság alátámasztása</t>
  </si>
  <si>
    <t>Szükséges, pénzáramok becslése nagyvonalú</t>
  </si>
  <si>
    <t>Szükséges, részletes</t>
  </si>
  <si>
    <t>Kitöltési útmutató</t>
  </si>
  <si>
    <t>A kitöltés során kizárólag a kék háttérrel jelölt cellákba szükséges adatokat megadni, a zöld betűszínű cellák magyarázatként szolgálnak. Ezek a mezők tartalmazzák a felhasználó által megadandó inputokat. Amennyiben egy ilyen cella mellett „Ellenőrzés” vagy egyéb megjegyzés szerepel, az ott található kiegészítő információt minden esetben el kell olvasni és figyelembe kell venni a kitöltés során, mivel az értelmezést, érvényességet vagy követelményeket pontosítja.
Az adatokat minden esetben az adott felhívás tartalmi és formai követelményeinek megfelelően, a konkrét projekt sajátosságait figyelembe véve kell megadni. Az információk kitöltése során különösen fontos a koherencia és az adatok konzisztenciája a projekt más dokumentumaival.
A beruházási és működési költségek megadására külön munkalapok szolgálnak, ezek egymástól elkülönítetten, de egységes logika mentén kerültek kialakításra. Ezeken a lapokon szükséges részletezni minden olyan költségelemet, amely a projekt pénzügyi elemzése szempontjából releváns.A számításokat a Háttér munkalapon lehet részletezni.
A támogatás számításának módszertanát az „Ábra” elnevezésű munkalap szemlélteti. Ennek alapján kerültek kialakításra minta munkalapok, melyek közül a megfelelő lap(ok) kitöltése kötelező a pénzügyi számítások végrehajtásához. Ez biztosítja, hogy az alkalmazott logika átlátható és a számítási mód ellenőrizhető legyen. Amennyiben a projekt több támogatási jogcímet is érint, minden egyes releváns jogcím esetében külön-külön el kell végezni a vonatkozó pénzügyi számításokat. A beruházási költségek támogatási jogcímekre történő szétosztásakor a járulékos költségeket  arányosan szét kell osztani az egyes projektelemekre. Ilyen esetben a „Pénzügyi elemzés” munkalapon ezen részszámítások összesítésével egy konszolidált, a teljes projektre vonatkozó elemzést is szükséges elkészíteni.
A közgazdasági elemzést - amennyiben szükséges - minden esetben projekt szinten kell elvégezni. Ennek során a kapcsolódó munkalapon a szükséges bemeneti adatokat kell megadni, amelyek alapján a társadalmi hasznosság és gazdasági indokoltság értékelhetővé válik.
Végezetül, a munkafüzet tartalmaz egy külön munkalapot, amely az érzékenységvizsgálat, a küszöbérték-számítás, valamint a forgatókönyv-elemzés kereteit mutatja be.
Minden esetben a releváns háttérszámításokat az erre kijelölt üres munkalapon kell bemutatni, hogy a megadott adatok ellenőrizhetők, nyomonkövethetők legyenek.</t>
  </si>
  <si>
    <t>Ellenőrzés</t>
  </si>
  <si>
    <t>A projekt címe</t>
  </si>
  <si>
    <t>Teszt</t>
  </si>
  <si>
    <t>Pályázó neve</t>
  </si>
  <si>
    <t>Teszt Város</t>
  </si>
  <si>
    <t>Pályázó szervezeti formája
(önkormányzat, kisvállalkozás, középvállalkozás, nagyvállalkozás)</t>
  </si>
  <si>
    <t>Pályázó székhelye vármegye szerint</t>
  </si>
  <si>
    <t>Felhívás kiválasztása</t>
  </si>
  <si>
    <t>Az elszámolható költségek nem visszaigényelhető áfa-tartalma a projekt kiírás alapján elszámolható költség, vagy nem?</t>
  </si>
  <si>
    <t>Kérdés</t>
  </si>
  <si>
    <t>Magyarázat</t>
  </si>
  <si>
    <t>Értékelés</t>
  </si>
  <si>
    <t>Válasz</t>
  </si>
  <si>
    <t>Szöveges indoklás</t>
  </si>
  <si>
    <t>1. A kedvezményezett (az épület üzemeltetője/ fenntartója/  tulajdonosa) gazdasági tevékenységet végez-e, azaz vállalkozásnak minősül-e? A projekt keretében megtermelt energia harmadik fél részére történő értékesítése is gazdasági tevékenységnek minősül!</t>
  </si>
  <si>
    <t>Kérjük válasszon a legördülő listában felkínált válaszok (igen/ nem) közül az alábbi útmutatás alapján. Kérjük válaszát indokolja!
Gazdasági és a nem gazdasági tevékenységek közötti különbségtétel:
Az Európai Bíróság következetes ítélkezési gyakorlata szerint - bármely tevékenység, amelynek keretében valamely piacon árukat és szolgáltatásokat kínálnak, gazdasági tevékenységnek minősül. Az a jogalany, amely egyszerre végez gazdasági és nem gazdasági tevékenységet, csak az előbbi tekintetében minősül vállalkozásnak.  Az alábbi szolgáltatások jellemzően nem gazdasági tevékenységek, azonban gazdasági tevékenységnek is minősülhetnek. Mivel ezekben az esetekben nehezebb a különbségtétel, ezért a Bizottsági közlemény az Európai Unió működéséről szóló szerződés 107. cikkének (1) bekezdésében említett állami támogatás fogalmáról C/2016/2946 útmutatást ad a besorolásra. Ennek kivonatát tartalmazza az alábbi kimutatás, részletesebb elemzésért kérjük tanulmányozza a Bizottsági közleményt!
Közhatalom gyakorlása, pl. rendőrség, polgárőrség, közterületfelügyelet: amennyiben egy közjogi jogalany olyan gazdasági tevékenységet folytat, amelyet el lehet választani a közhatalmi jogosítványainak gyakorlásától, e jogalany az említett tevékenységgel kapcsolatban vállalkozásként jár el.
Szociális biztonság, pl. szociális intézmények, bölcsőde: jellemzően nem tekinthető gazdasági tevékenységnek, amennyiben a szolidaritás elvére épül. Ha ennek a rendszernek a jellemzői érvényesülnek jellemzően, akkor nem gazdasági tevékenység: 
• kötelező a tagság, kizárólag szociális célokat követ, nonprofit alapon működik, az ellátások függetlenek a befizetett járulékoktól, az ellátások nem szükségszerűen arányosak a biztosított személy bevételeivel, a rendszert az állam/ önkormányzat felügyeli.
A gazdasági tevékenység végzésének jellemző elemei:
• választható tagság, tőkefedezeti elv, nyereségszerzésre törekvés, kiegészítő jogosultságok nyújtása.
Néhány rendszer mindkét kategória egyes jellemzőit magában foglalja. Ilyen esetekben elemezni kell a különböző elemeket és azok jelentőségét.
Egészségügyi ellátás, pl. kórház, szakrendelő: ha majdnem teljes egészében a szolidaritás elvére épül (társadalombiztosítási járulékból vagy egyéb állami forrásból finanszírozzák, szolgáltatásaikat a rendszer minden tagja számára térítésmentesen biztosítják), nem minősül vállalkozásnak.
Amennyiben az egészségügyi szolgáltató a szolgáltatásait díjazás ellenében nyújtja, amelyet közvetlenül a beteg vagy annak biztosítója fizet, akkor gazdasági tevékenységnek minősül.
Oktatási és kutatási tevékenység, óvodák, magán és állami iskolák, szakképzés, egyetemi oktatás: az állam által finanszírozott és felügyelt nemzeti oktatási rendszer keretében megszervezett közoktatás nem gazdasági tevékenység. A befizetett hozzájárulások (beiratkozási díj, esetleg tandíj) a szolgáltatás valódi költségének csupán töredékét fedezi. Gazdasági tevékenységnek minősül az az oktatási tevékenység, amelyet elsősorban a szülők vagy tanulók befizetéseiből, vagy üzleti bevételekből finanszíroznak.
Kultúra, kulturális örökség megőrzése, természetvédelem, pl. múzeumok, levéltárak, könyvtárak, művészeti és kulturális központok vagy terek, színházak, operaházak, koncerttermek, régészeti lelőhelyek, műemlékek, történelmi helyszínek és épületek, hagyományok és mesterségek, fesztiválok és kiállítások, valamint kulturális és művészeti oktatási tevékenységek, természeti örökség (biológiai sokféleség, természetes élőhelyek, fajok megőrzése) védelme: A nagyközönség számára térítésmentesen, vagy a valódi költségek csupán töredését fedező pénzügyi hozzájárulás ellenében hozzáférhető  tevékenység nem gazdasági jellegű. 
Ezzel ellentétben az elsősorban látogatók által vagy belépődíjakból vagy más kereskedelmi eszközökkel finanszírozott  tevékenységeket gazdasági jellegűnek kell minősíteni. Ehhez hasonlóan az olyan tevékenységeket, amelyek kizárólag bizonyos vállalkozásokat juttatnak előnyhöz  rendszerint gazdasági jellegűnek kell minősíteni. 
A Felhívás keretében támogatható tevékenységek finanszírozása a támogatást igénylő szintjén abban az esetben nem minősül az EUMSZ 107. cikk (1) bekezdése szerinti állami támogatásnak,amennyiben a támogatott tevékenység nem gazdasági tevékenységre használt infrastruktúra ún. szokásos létesítményeihez kapcsolódik (ilyen szokásos létesítmény például egy múzeum büféje, ha a múzeum tevékenysége nem minősül gazdasági tevékenységnek).
Olyan esetekben, amelyekben egy jogalany kulturális vagy a kulturális örökség megőrzéséhez kapcsolódó olyan tevékenységeket végez, amelyek némelyike nem gazdasági tevékenység, némelyike pedig gazdasági tevékenység, a jogalany által kapott állami finanszírozás csak annyiban tartozik az állami támogatási szabályok hatálya alá, amennyiben az a gazdasági tevékenységekhez kapcsolódó költségeket fedezi.
Az épületenergetikai felhívás szempontjából releváns lehet, hogy a projekt keretében megtermelt energia harmadik fél részére értékesítésre kerül. Amennyiben ez így lesz, a termelt energia értékesítése lesz maga a gazdasági tevékenység. Az elnyert projekt keretében megtermelt villamos energia hálózatra történő csatlakozása és a bruttó elszámolás alkalmazása nem minősül gazdasági tevékenységnek.</t>
  </si>
  <si>
    <t>Amennyiben tevékenysége jellemzően nem gazdasági tevékenységnek minősül, a "nem" válasz elfogadható. Ebben az esetben a támogatás nem minősül állami támogatásnak. 
Amennyiben részben vagy egészben gazdasági tevékenységnek minősül, az "igen" választ kell megadni.</t>
  </si>
  <si>
    <t>2. Az üzemeltető vagy tulajdonos által létrehozott termék vagy szolgáltatás 
- hatással van-e a tagállamok közötti kereskedelemre, ÉS
- versenyez más termékekkel vagy szolgáltatásokkal a piacon?</t>
  </si>
  <si>
    <t>Kérjük válasszon a  legördülő listában felkínált válaszok (igen/ nem) közül az alábbi útmutatás alapján. Kérjük válaszát indokolja!
Az Európai Unió működéséről szóló szerződés (a továbbiakban EUMSZ) 107. cikkének (1) bekezdése kimondja: ha a Szerződések másként nem rendelkeznek, a belső piaccal összeegyeztethetetlen a tagállamok által vagy állami forrásból bármilyen formában nyújtott olyan támogatás, amely bizonyos vállalkozásoknak vagy bizonyos áruk termelésének előnyben részesítése által torzítja a versenyt, vagy azzal fenyeget, amennyiben ez érinti a tagállamok közötti kereskedelmet.
Kereskedelemre gyakorolt hatás megítélése a Bizottsági közlemény alapján:
Támogatási programok esetében általában elegendő megvizsgálni az adott program jellemzőit. Példa a kereskedelemre gyakorolt hatásra, hogy a támogatás a helyi kínálat fenntartása vagy növelése révén megnehezítheti a piacra lépést más tagállamok szolgáltatói számára, vagy látogatókat vonz el más tagállamok hasonló intézményeitől, programjaitól. Kevésbé kell azonban ilyen hatásra számítani, ha a gazdasági tevékenység mértéke igen csekély, amit például a rendkívül alacsony forgalom is tanúsíthat.
A Bizottság számos határozatában ítélte meg úgy, hogy – tekintettel az ügyek sajátos körülményeire –, az intézkedés tisztán helyi hatással bírt és ezért nem gyakorolt hatást a tagállamok közötti kereskedelemre. Az említett ügyekben a Bizottság különösen arról bizonyosodott meg, hogy a kedvezményezett az adott tagállamon belül korlátozott területre kiterjedően értékesített termékeket, illetve nyújtott szolgáltatásokat, és más tagállamokból valószínűleg nem vonzott vevőket, továbbá, hogy az intézkedésnek előreláthatóan nem volt a marginálist meghaladó hatása a határokon átnyúló beruházások vagy letelepedés feltételeire. 
A külföldi látogatók aránya alapján a kereskedelemre való hatás értékelhető. Amennyiben a külföldi látogatók részaránya marginális, 1,5-2% alatti, akkor úgy tekinthető, hogy nem gyakorol hatást a kereskedelemre, így nem tartozik az állami támogatások hatálya alá. A szöveges indoklásban írja le, hogy hogyan állapította meg a külföldi vendégek részarányát. Figyelem! A kereskedelemre való hatást a fenntartási időszak végén is igazolni kell! Amennyiben a külföldi látogatószám alapján a kereskedelemre mégis hatással volt, úgy életbe lép a támogatás visszakövetelési mechanizmus.
Versenyre gyakorolt hatás megítélése a Bizottsági közlemény alapján:
Gyakorlati szempontból általában akkor áll fenn a Szerződés 107. cikkének (1) bekezdése szerinti versenytorzulás, amikor az állam pénzügyi előnyt biztosít egy olyan liberalizált ágazat valamely vállalkozásának, ahol verseny zajlik vagy verseny alakulhatna ki.</t>
  </si>
  <si>
    <t>Ha a kereskedelemre ÉS a versenyre is hatást gyakorol, akkor a kérdésre "igen" a válasz, és ekkor állami támogatásnak minősül.
Ha valamelyik kérdésre nem gyakorol hatást, akkor "nem" a válasz, és ekkor nem minősül állami támogatásnak.</t>
  </si>
  <si>
    <t>3. Kérjük adja meg, végez-e nem állami támogatás alá eső tevékenységet (pl. közcélú tevékenységet)!</t>
  </si>
  <si>
    <t>Kérjük válasszon a  legördülő listában felkínált válaszok (igen/ nem) közül. Válaszát indokolja!
Például: fürdők esetén közcélúnak tekinthető az önkormányzattal kötött közszolgáltatási szerződés keretében végzett tevékenység. Gyógyfürdők esetén közcélú tevékenységnek tekinthető a Nemzeti Egészségbiztosítási Alapkezelővel (a továbbiakban NEAK) által finanszírozott egészségügyi szolgáltatás, a NEAK által kötött szerződés alapján. Amennyiben egyéb közcélú tevékenységet is végzett, kérjük támassza alá a közcél jelleget.
Egyéb esetekben a nem gazdasági tevékenység tekinthető közcélú tevékenységnek.</t>
  </si>
  <si>
    <t>"Igen" válasz esetén, azaz amikor közcélú és nem közcélú tevékenységet is végez, az Állami támogatás, mind a Nem állami támogatás szabályai érvényesülnek!
"Nem" válasz esetén csak az Állami támogatás szabályai érvényesek.</t>
  </si>
  <si>
    <t>Támogatható tevékenység</t>
  </si>
  <si>
    <t>Támogatási jogcím</t>
  </si>
  <si>
    <t>Jogcímhez rendelt alintézkedés</t>
  </si>
  <si>
    <t>PF szerinti maximális támogatási összeg</t>
  </si>
  <si>
    <t>PF szerinti maximális támogatási intenzitás</t>
  </si>
  <si>
    <t>Elrejtendő</t>
  </si>
  <si>
    <t>T1</t>
  </si>
  <si>
    <t>T2</t>
  </si>
  <si>
    <t>T3</t>
  </si>
  <si>
    <t>T4</t>
  </si>
  <si>
    <t>T5</t>
  </si>
  <si>
    <t>T6</t>
  </si>
  <si>
    <t>T7</t>
  </si>
  <si>
    <t>T8</t>
  </si>
  <si>
    <t>Megfelelt</t>
  </si>
  <si>
    <t>T9</t>
  </si>
  <si>
    <t>T10</t>
  </si>
  <si>
    <t>PF szerint igényelhető maximális támogatási összeg</t>
  </si>
  <si>
    <t>PF szerint igényelhető maximális támogatási intenzitás</t>
  </si>
  <si>
    <t>Számításhoz alkalmazandó euro árfolyam, Ft/EUR</t>
  </si>
  <si>
    <t>Beruházás kezdő éve</t>
  </si>
  <si>
    <t>Beruházás időtartama, év</t>
  </si>
  <si>
    <t>Üzembe helyezés éve</t>
  </si>
  <si>
    <t>Vizsgált időtáv, év</t>
  </si>
  <si>
    <t>Utolsó vizsgálati év</t>
  </si>
  <si>
    <t>Pénzügyi diszkontráta - állami támogatás esetén</t>
  </si>
  <si>
    <t>Pénzügyi diszkontráta - nem állami támogatás esetén</t>
  </si>
  <si>
    <t>Közgazdasági diszkontráta</t>
  </si>
  <si>
    <t>FŐBB EREDMÉNYEK</t>
  </si>
  <si>
    <t>Az elemzés elvégzése után kérjük adja meg a támogatásra vonatkozó adatokat!</t>
  </si>
  <si>
    <t>Kérjük töltse ki az alábbi, a beruházási költségekre vonatkozó táblázatokat:</t>
  </si>
  <si>
    <t>Kitöltési útmutatás: 
A fenti útmutatások alapján töltse ki az alábbi táblázatot. Kérjük adja meg, hogy mely beruházási elemre milyen támogatási jogcímet kíván igénybe venni a korábban megadottak alapján. A költségek meghatározásánál adja meg a fajlagos egységárat és mennyiséget, valamint az áfa kulcs mértékét. A későbbi számításokhoz jelölje be, hogy az adott költségelem elszámolható vagy nem elszámolható költség, illetve milyen költségnemhez tartozik az adott beruházási elem. Az áfa visszaigényelhetőségének szempontjából adja meg a kedvezményezett áfa státuszát is. Az egyes beruházási elemekre vonatkozó ütemezésnél adja meg, hogy az adott költség melyik évben mekkora arányban jelenik meg. Az ütemezést csak a beruházással érintett évekre kell megadni. Kérjük adja meg az egyes eszközök maradványértékét értékcsökkenés alapú számítással.
Amennyiben a korábban meghatározottak szerint több támogatási szabály is releváns, kérjük ossza meg a beruházási költségeket, hogy mely állami támogatás - vagy nem  állami támogatás szabály alá tartoznak.
Nem állami támogatás szabály alá tartoznak azon fejlesztési elemek, amelyek a közszolgáltatással vagy a közcél ellátásával közvetlenül kapcsolatba hozhatók. (Pl. gyógyfürdők esetén a beutalóval érkező betegek ellátását jellemzően szolgálják, mint a gyógyászati közcél ellátását szolgáló medencék, kezelő helyiségek.) 
Állami támogatás szabály alá tartoznak azon fejlesztési elemek, amelyek csak a nem közcélú szegmens ellátását szolgálják. (Pl. gyógyfürdők esetén azon fejlesztési elemek, amelyek nem hozhatók kapcsolatba a gyógyászati céllal, mint az élménymedencék felújítása, új attrakciók létrehozása.)
Azon fejlesztési elemek költségei, amelyek vegyesen a közcélú és nem közcélú szegmens ellátását szolgálják megoszthatók pl. a közcélú és nem közcélú látogatók számának arányában. (Pl. gyógyfürdők esetén a váróterem, öltözők, vizesblokkok, vendéglátóhelyiségek energetikai felújítása, valamint a támogató tevékenységek költségei, különösen a gépészeti elemek, kútfúrás, kútgépészer, csővezetékek, hőcserélők.)
A költségeket kérjük pozitív előjellel mutassa be a beruházással érintett évekre!</t>
  </si>
  <si>
    <t>Fősor/alsor</t>
  </si>
  <si>
    <t>Beruházási elem</t>
  </si>
  <si>
    <t>Élettartam</t>
  </si>
  <si>
    <t>Mértékegység</t>
  </si>
  <si>
    <t>Mennyiség</t>
  </si>
  <si>
    <t>Egységár</t>
  </si>
  <si>
    <t>Beruházási elem nettó ára</t>
  </si>
  <si>
    <t>Nettó ár</t>
  </si>
  <si>
    <t>Áfa kulcs</t>
  </si>
  <si>
    <t>Áfa összege</t>
  </si>
  <si>
    <t>Bruttó ár</t>
  </si>
  <si>
    <t>Maradványérték</t>
  </si>
  <si>
    <t>Elszámolható költség / Nem elszámolható költség</t>
  </si>
  <si>
    <t>Költség besorolás</t>
  </si>
  <si>
    <t>Kedvezményezett Áfa státusza</t>
  </si>
  <si>
    <t>Nettó elszámolható költség</t>
  </si>
  <si>
    <t>Elszámolható költség Áfá-ja</t>
  </si>
  <si>
    <t>Összes elszámolható költség</t>
  </si>
  <si>
    <t>Elszámolható költség NEM visszaigényelhető Áfája. (NEM elszámolható ktg-ként)</t>
  </si>
  <si>
    <t>Elszámolható költség visszaigényelhető Áfája. (NEM elszámolható tétel)</t>
  </si>
  <si>
    <t>Nettó NEM elszámolható költség</t>
  </si>
  <si>
    <t>NEM elszámolható költség visszaigényelhető Áfája.</t>
  </si>
  <si>
    <t>Nem elszámolható költség NEM visszaigényelhető Áfája</t>
  </si>
  <si>
    <t>Nem elszámolható költség és annak Áfája</t>
  </si>
  <si>
    <t>Összes elszámolható költség és a nem elszámolható költség nem visszaigényelhető Áfával</t>
  </si>
  <si>
    <t>Összes NEM elszámolható költség</t>
  </si>
  <si>
    <t>Összes költség</t>
  </si>
  <si>
    <t>ütemezés ellenőrzés</t>
  </si>
  <si>
    <t>Projekt előkészítés</t>
  </si>
  <si>
    <t>Előzetes tanulmányok, dokumentumok</t>
  </si>
  <si>
    <t>Projektelőkészítés költségei</t>
  </si>
  <si>
    <t>Műszaki dokumentáció költségei</t>
  </si>
  <si>
    <t>Közbeszerzés költsége</t>
  </si>
  <si>
    <t>Egyéb</t>
  </si>
  <si>
    <t>Beruházáshoz kapcsolódó költségek</t>
  </si>
  <si>
    <t>Beruh1</t>
  </si>
  <si>
    <t>Beruh2</t>
  </si>
  <si>
    <t>Beruh3</t>
  </si>
  <si>
    <t>Környezeti károk helyreállítása - az éghajlatváltozáshoz való alkalmazkodásra és annak mérséklésére szolgáló természetalapú megoldások megvalósításához nyújtott támogatás esetén</t>
  </si>
  <si>
    <t>Szakmai megvalósításhoz kapcsolódó egyéb költségek</t>
  </si>
  <si>
    <t>Egyéb1</t>
  </si>
  <si>
    <t>Szakmai megvalósításhoz kapcsolódó szolgáltatások költségei</t>
  </si>
  <si>
    <t>Egyéb2</t>
  </si>
  <si>
    <t>Egyéb3</t>
  </si>
  <si>
    <t>Megújuló energia, megújuló hidrogén és nagy hatásfokú kapcsolt energiatermeléshez nyújtott beruházási támogatás - A támogatott beruházás megújulóenergia termelésre - ideértve az (EU) 2018/2001 irányelv VII. mellékletének megfelelő hőszivattyúkat -, megújuló energiaforrásokon alapuló nagy hatásfokú kapcsolt energiatermelésre és megújuló hidrogén termelésre irányul</t>
  </si>
  <si>
    <t>Egyéb4</t>
  </si>
  <si>
    <t>Környezeti károk helyreállítása - a biológiai sokféleség vagy ökoszisztémák védelméhez vagy helyreállításához az ökoszisztémák jó állapotának eléréséhez való hozzájárulás vagy a már jó állapotban lévő ökoszisztémák védelme érdekében nyújtott támogatás esetén</t>
  </si>
  <si>
    <t>Projektmenedzsment költségek</t>
  </si>
  <si>
    <t>Szolgáltatás</t>
  </si>
  <si>
    <t>Saját teljesítés</t>
  </si>
  <si>
    <t>Adók közterhek</t>
  </si>
  <si>
    <t>Adók, közterhek (ide nem értve a le nem vonható áfát)</t>
  </si>
  <si>
    <t>Tartalék</t>
  </si>
  <si>
    <t>Összesen</t>
  </si>
  <si>
    <t>INPUT</t>
  </si>
  <si>
    <t>Kérjük töltse ki az alábbi, különbözeti működési bevételekre vonatkozó táblázatot:</t>
  </si>
  <si>
    <t>Kitöltési útmutatás: 
A fenti útmutatások alapján töltse ki az alábbi "Állami támogatás", vagy "Nem állami támogatás", vagy mindkét sort. Amennyiben mindkét sort kitölti, kérjük ossza meg a működési bevételeket aszerint, hogy állami támogatás vagy nem  állami támogatás szabály alá tartoznak. A megosztást tényadatok vagy becslés alapján kell megadni. Amennyiben becsléssel történik a megbontás, kérjük válaszát szövegesen is indokolja!
Amennyiben több állami támogatás is érintett, akkor a költségeket meg kell osztani a releváns számítások elvégzéséhez. A megosztás történhet pl. a beruházási költségarányok alapján, azonban minden esetben be kell mutatni a "Háttérszámítások" lapon és röviden indokolni is szükséges.
A különbözeti bevételek meghatározásához felhasznált projekt nélküli (P0) és projekt (P) esetre vonatkozó adatokat a "Háttérszámítások" munkalapon minden esetben szükséges bemutatni.
Az adatokat változatlan áron, infláció figyelembevétele nélkül, reálértéken kell feltüntetni.
Különbözeti működési bevételek:
Kérjük a pozitív előjellel értelmezett bevételeket különbözetként (Projekt esetén felmerülő és projekt nélküli esetben felmerülő bevételek különbözete) megadni. Mivel a vizsgálati időszak a beruházás 1. évével kezdődik, ezért a különbözeti működési költséget csak a projekt befejezése utáni évtől kell beírni, amennyiben az a naptári év végén fejeződik be. Év közben befejeződő beruházás esetén a különbözeti működési költségeket a részévre vonatkozóan kell számolni. Működési bevételek között a termékek és szolgáltatások értékesítése kapcsán felmerült bevételeket kell érteni, a közcélú  tevékenység kompenzációját nem.
Amennyiben csak egy teljes évre vonatkozóan áll rendelkezésre tervezett működési bevétel-különbözet, úgy kérjük, hogy minden évre vonatkozóan ezt az értéket adja meg az első teljes üzemévtől kezdődően.</t>
  </si>
  <si>
    <t>Működési bevételek</t>
  </si>
  <si>
    <t>Működési bevételek különbözete a projekt nélküli esethez képest, Ft</t>
  </si>
  <si>
    <t>Pénzügyi jelenérték</t>
  </si>
  <si>
    <t>Különbözeti pénzügyi bevételek - Állami támogatás, összesen</t>
  </si>
  <si>
    <t>Különbözeti pénzügyi bevételek - Nem állami támogatás, összesen</t>
  </si>
  <si>
    <t>Különbözeti egyéb bejövő pénzáram - Állami támogatás, összesen</t>
  </si>
  <si>
    <t>Különbözeti egyéb bejövő pénzáram - Nem állami támogatás, összesen</t>
  </si>
  <si>
    <t>Kérjük töltse ki az alábbi, különbözeti működési költségekre vonatkozó táblázatokat:</t>
  </si>
  <si>
    <t>Kitöltési útmutatás: 
A fenti útmutatások alapján töltse ki az alábbi "Állami támogatás", vagy "Nem állami támogatás", vagy mindkét táblázatot.Amennyiben mindkét táblázatot kitölti, kérjük ossza meg a működési költségeket aszerint, hogy állami támogatás vagy nem  állami támogatás szabály alá tartoznak. A megbontást a számviteli törvény önköltség megosztási szabályzata vagy becslés alapján kell megadni. Amennyiben becsléssel történik a megbontás, kérjük válaszát szövegesen is indokolja!
Amennyiben több állami támogatás is érintett, akkor a költségeket meg kell osztani a releváns számítások elvégzéséhez. A megosztás történhet pl. a beruházási költségarányok alapján, azonban minden esetben be kell mutatni a "Háttérszámítások" lapon és röviden indokolni is szükséges.
A különbözeti működési költségek meghatározásához felhasznált projekt nélküli (P0) és projekt (P) esetre vonatkozó adatokat a "Háttérszámítások" munkalapon minden esetben szükséges bemutatni.
Az adatokat változatlan áron, infláció figyelembevétele nélkül, reálértéken kell feltüntetni.
Különbözeti működési költségek:
Kérjük a pozitív előjellel értelmezett működési költségeket (üzemeltetési és karbantartási költség; valamint felújítási költségek, mint az eszközök cseréje tartozik (például selejtezéskor)) különbözetként (Projekt esetén felmerülő és projekt nélküli esetben felmerülő költségek különbözete) megadni.
Mivel a vizsgálati időszak a beruházás 1. évével kezdődik, ezért a különbözeti működési költséget csak a projekt befejezése utáni évtől kell beírni, amennyiben az a naptári év végén fejeződik be. Év közben befejeződő beruházás és elkezdődő működtetés esetén az arra az évre eső különbözeti működési költségeket a részévre vonatkozóan kell számolni és a beruházás utólsó événél feltüntetni a táblázatban.
Működési költségmegtakarítást eredményező fejlesztés esetén a különbözeti költség negatív.
Például:
a. Projekt nélküli eset üzemeltetési és karbantartási költsége: 30 000 000 Ft / év
b. Projekt eset üzemeltetési és karbantartási költsége: 28 000 000 Ft / év
Különbözeti üzemeltetési és karbantartási költség: b - a = -2 000 000 Ft / év
Amennyiben csak egy teljes évre vonatkozóan áll rendelkezésre tervezett üzemeltetési költség-különbözet, úgy kérjük, hogy minden évre vonatkozóan ezt az értéket adja meg az első teljes üzemévtől kezdődően. Részév esetén a fentebb elmondottak érvényesek.</t>
  </si>
  <si>
    <t>Működési költségek</t>
  </si>
  <si>
    <t>Működési költségek különbözete a projekt nélküli esethez képest - Állami támogatás, Ft</t>
  </si>
  <si>
    <t>1. Üzemeltetési és karbantartási költség különbözete</t>
  </si>
  <si>
    <t>2. Pótlási (pl. felújítási) költség különbözete</t>
  </si>
  <si>
    <t>Működési költség különbözete összesen (1+2)</t>
  </si>
  <si>
    <t>Működési költségek különbözete a projekt nélküli esethez képest - Nem állami támogatás, Ft</t>
  </si>
  <si>
    <t>Állami és nem állami támogatás esetén a projekt működési időszakában a nettó bevétel (működési költségekkel csökkentett bevétel) pozitív-e?</t>
  </si>
  <si>
    <t>A megadott költség és bevétel adatok alapján a modell kiszámolta, hogy a projekt jövedelemtermelő-e. Ez határozza meg a megítélhető támogatási arányt, támogatási összeget és a kedvezményezett hozzájárulását. Amennyiben a projekt  jövedelemtermelő, a támogatási arány kisebb, mint 100%. Ha nem jövedelemterhelő, a támogatási arány 100%. 
Folytassa az alábbi nyilatkozat megtételével, amennyiben az intézményére releváns.</t>
  </si>
  <si>
    <t>Termel nettó bevételt?</t>
  </si>
  <si>
    <t>Nettó bevétel - Állami támogatás, Ft</t>
  </si>
  <si>
    <t>Nettó bevétel - Nem állami támogatás, Ft</t>
  </si>
  <si>
    <t>Önerő, hitel</t>
  </si>
  <si>
    <t>Önerő, hitel - Állami támogatás</t>
  </si>
  <si>
    <t>Önerő</t>
  </si>
  <si>
    <t>Hitel</t>
  </si>
  <si>
    <t>Hiteltörlesztés</t>
  </si>
  <si>
    <t>Hitel kamatának törlesztése</t>
  </si>
  <si>
    <t>Egyéb idegen forrás</t>
  </si>
  <si>
    <t>Önerő, hitel - Nem állami támogatás</t>
  </si>
  <si>
    <t>Nyilatkozik arról, hogy a közcélra vonatkozó működési támogatása csökkenni fog a nettó bevételének összegével.</t>
  </si>
  <si>
    <t>Amennyiben megteszi a nyilatkozatot, akkor a 100%-os támogatási arány megítélhető.
A nyilatkozat csak a közcélú tevékenységekre vonatkozik, amennyiben az a projekt szempontjából releváns. Ha nincs közcélú tevékenység, a legördülő listában választ ne jelöljön be! 
Kérjük válasszon a legördülő listában felkínált válaszok (igen/ nem) közül. Igen válasz esetén arról nyilatkozik, hogy a projekttel érintett tevékenységre vonatkozó működési támogatása a nettó bevétel mértékével csökkenni fog.  Szövegesen is mutassa be a meglévő működési támogatási rendszert és hogy milyen módon biztosítható a működési támogatás csökkentése. Ezen kívül mellékelje a kedvezeményezett a saját vagy a műlködési támogatást nyújtó nyilatkozatát.</t>
  </si>
  <si>
    <t>Nyilatkozat a közcélra vonatkozó tevékenység működési támogatás csökkentéséről</t>
  </si>
  <si>
    <r>
      <t xml:space="preserve">A munkalapon a teljes projektre vonatkozó, konszolidált pénzügyi elemzést szükséges elvégezni. </t>
    </r>
    <r>
      <rPr>
        <b/>
        <sz val="11"/>
        <color theme="5"/>
        <rFont val="Arial (Szövegtörzs)"/>
        <charset val="238"/>
      </rPr>
      <t>Ezt az oldalt abban az esetben mindenképp ki kell tölteni, amikor a projekt támogatása egynél több támogatási jogcímet érint! Amennyiben több támogatási jogcím is releváns, akkor a különböző támogatási jogcímekre meghatározott számításokat ezen a munkalapon szükséges összegezni.</t>
    </r>
    <r>
      <rPr>
        <sz val="11"/>
        <color theme="5"/>
        <rFont val="Arial (Szövegtörzs)"/>
        <charset val="238"/>
      </rPr>
      <t xml:space="preserve"> Célszerű képlettel kapcsolni a releváns munkalapokhoz. A munkalapon a világos kék hátterű cellák kitöltése kötelező, a további számítások automatikusan működnek.</t>
    </r>
  </si>
  <si>
    <r>
      <t xml:space="preserve">A Beruházási_ktg_input lapon megadott beruházási költségeket kérjük ismételten adja meg a </t>
    </r>
    <r>
      <rPr>
        <b/>
        <sz val="11"/>
        <color theme="5"/>
        <rFont val="Arial (Szövegtörzs)"/>
        <charset val="238"/>
      </rPr>
      <t>fősorok</t>
    </r>
    <r>
      <rPr>
        <sz val="11"/>
        <color theme="5"/>
        <rFont val="Arial (Szövegtörzs)"/>
        <charset val="238"/>
      </rPr>
      <t xml:space="preserve"> vonatkozásában az </t>
    </r>
    <r>
      <rPr>
        <b/>
        <sz val="11"/>
        <color theme="5"/>
        <rFont val="Arial (Szövegtörzs)"/>
        <charset val="238"/>
      </rPr>
      <t>elszámolható</t>
    </r>
    <r>
      <rPr>
        <sz val="11"/>
        <color theme="5"/>
        <rFont val="Arial (Szövegtörzs)"/>
        <charset val="238"/>
      </rPr>
      <t xml:space="preserve"> és </t>
    </r>
    <r>
      <rPr>
        <b/>
        <sz val="11"/>
        <color theme="5"/>
        <rFont val="Arial (Szövegtörzs)"/>
        <charset val="238"/>
      </rPr>
      <t>nem elszámolható</t>
    </r>
    <r>
      <rPr>
        <sz val="11"/>
        <color theme="5"/>
        <rFont val="Arial (Szövegtörzs)"/>
        <charset val="238"/>
      </rPr>
      <t xml:space="preserve"> költségek szerint megbontva. Célszerű képlettel hozzákapcsolni a Beruházási_ktg_input munkalaphoz.</t>
    </r>
  </si>
  <si>
    <t>összesen</t>
  </si>
  <si>
    <t>FPV</t>
  </si>
  <si>
    <t>-</t>
  </si>
  <si>
    <t>Tartalék nélküli beruházási költség</t>
  </si>
  <si>
    <t>Teljes beruházási költség</t>
  </si>
  <si>
    <t>Nem elszámolható költség összesen</t>
  </si>
  <si>
    <t>Elszámolható költség és Nem elszámolható költség összesen</t>
  </si>
  <si>
    <t>Pénzügyi maradványérték, Ft</t>
  </si>
  <si>
    <t>Kérjük töltse ki az alábbi, a működési költségekre vonatkozó táblázatokat:</t>
  </si>
  <si>
    <t>Az egyes támogatási jogcímekre vonatkozó üzemeltetési és karbantartási, valamint pótlási költségek összesítését mutassa be a releváns sorokon. Az egyes jogcímekre megállapított működési költségeket a kékkel jelölt cellákban összesítse!</t>
  </si>
  <si>
    <t>Megnevezés</t>
  </si>
  <si>
    <t>Beruházási költség</t>
  </si>
  <si>
    <t>Üzemeltetési és karbantartási költség</t>
  </si>
  <si>
    <t>Pótlás (pl. felújítás)</t>
  </si>
  <si>
    <t>Kérjük töltse ki az alábbi, a bevételre vonatkozó táblázatokat:</t>
  </si>
  <si>
    <t>Az egyes támogatási jogcímekre vonatkozó bevételek összesítését mutassa be a releváns sorokon. Az egyes jogcímekre megállapított bevételekt a kékkel jelölt cellákban összesítse!</t>
  </si>
  <si>
    <t>Pénzügyi bevétel</t>
  </si>
  <si>
    <t>Egyéb bejövő pénzáram</t>
  </si>
  <si>
    <t>Bevételek összesen</t>
  </si>
  <si>
    <t>Beruházás megtérülése EU támogatás nélkül</t>
  </si>
  <si>
    <t xml:space="preserve">1. Pénzügyi beruházási költség </t>
  </si>
  <si>
    <t>2. Pénzügyi működési költség</t>
  </si>
  <si>
    <t>Pénzügyi üzemeltetési és karbantartási költség</t>
  </si>
  <si>
    <t>Pénzügyi pótlási költség (pl. felújítás)</t>
  </si>
  <si>
    <t>3. Kiadási pénzáram (1+2)</t>
  </si>
  <si>
    <t>4. Pénzügyi bevétel</t>
  </si>
  <si>
    <t>5. Bevételi pénzáram</t>
  </si>
  <si>
    <t>6. Pénzügyi maradványérték</t>
  </si>
  <si>
    <t>7. Nettó összes pénzügyi pénzáram (5+6-3)</t>
  </si>
  <si>
    <t>Pénzügyi nettó jelenérték (FNPV(C))</t>
  </si>
  <si>
    <t>Pénzügyi belső megtérülési ráta (FRR(C))</t>
  </si>
  <si>
    <t>Kérjük töltse ki a szükséges cellákat a projektre vonatkozó támogatási arány és támogatási összeg meghatározásához.</t>
  </si>
  <si>
    <t>Az egyes támogatási jogcímekre vonatkozó támogatási arányt a megadott számítási módok alapján, jogcímenként külön-külön kell meghatározni. Kérjük, adja meg a támogatási arányt külön az állami és a nem állami forrásból származó támogatásokra. Amennyiben több állami vagy nem állami támogatási jogcím is érintett, a támogatási arányt összesítve szükséges megadni (pl. a különböző jogcímekre egyenként kiszámított támogatási összegek összege és az elszámolható költségek összegének hányadosa). Kérjük töltse ki a kékkel jelölt cellákat az egyes támogatási jogcíemkre megadott adatok alapján.</t>
  </si>
  <si>
    <t>nem állami támogatás</t>
  </si>
  <si>
    <t>állami támogatás</t>
  </si>
  <si>
    <t>Teljes beruházási költség, Ft</t>
  </si>
  <si>
    <t>Elszámolható költségek (EC), Ft</t>
  </si>
  <si>
    <t>Nem elszámolható költségek (EC), Ft</t>
  </si>
  <si>
    <t>Elszámolható költségekre vonatkozó támogatási arány %</t>
  </si>
  <si>
    <t>Támogatási összeg, Ft</t>
  </si>
  <si>
    <t>Európai Uniós forrás, Ft</t>
  </si>
  <si>
    <t>Hazai társfinanszírozás összege, Ft</t>
  </si>
  <si>
    <t>Kedvezményezett hozzájárulása, Ft</t>
  </si>
  <si>
    <t>Nemzeti hozzájárulás összesen, Ft</t>
  </si>
  <si>
    <t>A megadott költség és bevételi adatok alapján a modell a vizsgálat éveire kiszámolta a nettó halmozott pénzáramot, amelynek minden évben pozitívnak kell lennie ahhoz, hogy a pénzügyi fenntarthatóság biztosítható legyen.</t>
  </si>
  <si>
    <t>Megnevezés (különbözet)</t>
  </si>
  <si>
    <t>Nettó halmozott pénzügyi pénzáram</t>
  </si>
  <si>
    <t>Pénzügyi fenntarthatóság biztosított?</t>
  </si>
  <si>
    <t>Működési egyenleg</t>
  </si>
  <si>
    <t>Kumulált működési egyenleg</t>
  </si>
  <si>
    <t>Szükséges működési többletforrás</t>
  </si>
  <si>
    <t>Amennyiben a táblázatok alapján Önnél többletforrást szükséges biztosítani, kérjük tegye meg az alábbi nyilatkozatot, valamint szövegesen is adja meg, hogy milyen forrásból fogja biztosítani a projekt fenntarthatóságát.
Amennyiben a nyilatkozatot nem teszi meg, a projekt pénzügyi fenntarthatóság hiányában nem támogatható!
A pénzügyi fenntarthatóságról szóló nyilatkozat utáni végső pénzügyi eredményeket a legutolsó táblázat tartalmazza, amely vagy megegyezik a korábban bemutatottal vagy zéró támogatási arányt tartalmaz, amennyiben a fenntarthatóság nem biztosított.</t>
  </si>
  <si>
    <t>Forrás megnevezése:</t>
  </si>
  <si>
    <t>Kedvezményezett nyilatkozik, hogy a fenntarthatósághoz szükséges többletforrást biztosítja-e és milyen forrásból.</t>
  </si>
  <si>
    <t>1. Pénzügyi beruházási költség</t>
  </si>
  <si>
    <t>2. Pénzügyi működési költség</t>
  </si>
  <si>
    <t>3. Hiteltörlesztés</t>
  </si>
  <si>
    <t>4. Hitel kamatának törlesztése</t>
  </si>
  <si>
    <t>5. Egyéb</t>
  </si>
  <si>
    <t>6. Kiadási pénzáram (1+2+3+4+5)</t>
  </si>
  <si>
    <t>7. Pénzügyi bevétel</t>
  </si>
  <si>
    <t>8. Egyéb bejövő pénzáram</t>
  </si>
  <si>
    <t>9. EU támogatás</t>
  </si>
  <si>
    <t>10. Nemzeti hozzájárulás (11+12)</t>
  </si>
  <si>
    <t>11. Központi költségvetés hozzájárulása</t>
  </si>
  <si>
    <t>12. Saját forrás (13+14)</t>
  </si>
  <si>
    <t>13. Önerő (készpénz, munkaerő hozzájárulás)</t>
  </si>
  <si>
    <t>14. Idegen forrás (15+16)</t>
  </si>
  <si>
    <t>15. Hitel</t>
  </si>
  <si>
    <t>16. Egyéb idegen forrás</t>
  </si>
  <si>
    <t>17. Pénzügyi maradványérték</t>
  </si>
  <si>
    <t>18. Bevételi pénzáram (7+8+9+10)</t>
  </si>
  <si>
    <t>19. Nettó összes pénzügyi pénzáram (18-6)</t>
  </si>
  <si>
    <t>20. Nettó halmozott pénzügyi pénzáram</t>
  </si>
  <si>
    <t>A munkalapon a teljes projektre vonatkozó, közgazdasági elemzést szükséges elvégezni. A munkalapon a világos kék hátterű cellák kitöltése kötelező, a további számítások automatikusan működnek.</t>
  </si>
  <si>
    <t>Kérjük töltse ki az alábbi, a beruházási költségekre és maradványérétkre vonatkozó táblázatokat:</t>
  </si>
  <si>
    <r>
      <t xml:space="preserve">A </t>
    </r>
    <r>
      <rPr>
        <b/>
        <sz val="10"/>
        <color theme="5"/>
        <rFont val="Arial (Szövegtörzs)"/>
        <charset val="238"/>
      </rPr>
      <t>közgazdasági beruházási költségek és a maradványérték</t>
    </r>
    <r>
      <rPr>
        <sz val="10"/>
        <color theme="5"/>
        <rFont val="Arial (Szövegtörzs)"/>
        <charset val="238"/>
      </rPr>
      <t xml:space="preserve"> nem tartalmaznak tartalékot és áfát és nem veszik figyelembe a költség elszámolhatóságát, azaz a beruházási költségeket nettó értéken kell megadni az elszámolható és nem elszámolható költségekre.</t>
    </r>
  </si>
  <si>
    <t>Közgazdasági költségek</t>
  </si>
  <si>
    <t>EPV</t>
  </si>
  <si>
    <t>Közgazdasági beruházási költség (áfa és tartalék nélkül)</t>
  </si>
  <si>
    <t>Közgazdasági maradványérték</t>
  </si>
  <si>
    <r>
      <t xml:space="preserve">Az egyes támogatási jogcímekre vonatkozó üzemeltetési és karbantartási, valamint pótlási költségek összesítését mutassa be a releváns sorokon.
A </t>
    </r>
    <r>
      <rPr>
        <b/>
        <i/>
        <sz val="10"/>
        <color theme="5"/>
        <rFont val="Arial (Szövegtörzs)"/>
        <charset val="238"/>
      </rPr>
      <t>közgazdasági működési költségek</t>
    </r>
    <r>
      <rPr>
        <i/>
        <sz val="10"/>
        <color theme="5"/>
        <rFont val="Arial (Szövegtörzs)"/>
        <charset val="238"/>
      </rPr>
      <t xml:space="preserve"> nem tartalmazhatnak sem támogatásokat, sem pedig közvetett adókat (pl. áfát). Ezeket  a közgazdasági elemzésben korrigálni kell.</t>
    </r>
  </si>
  <si>
    <t>Működési költségekhez szükséges közgazdasági korrekciók</t>
  </si>
  <si>
    <t>Üzemeltetési és karbantartási költségek</t>
  </si>
  <si>
    <t xml:space="preserve">Közgazdasági korrekciók összesen </t>
  </si>
  <si>
    <t>Üzemeltetési és karbantartási költségekből levonandó közvetett adók (pl. ÁFA)</t>
  </si>
  <si>
    <t>Üzemeltetési és karbantartási költségekből levonandó támogatások</t>
  </si>
  <si>
    <t>Üzemeltetési és karbantartási költségekből levonandó piaci árról elszámoló árra való áttérés különbözete</t>
  </si>
  <si>
    <t>Közgazdasági elemzéshez felhasználandó üzemeltetési és karbantartási költségek</t>
  </si>
  <si>
    <t>Pótlási költségek</t>
  </si>
  <si>
    <t>Pótlási költségekből levonandó közvetett adók (pl. ÁFA)</t>
  </si>
  <si>
    <t>Pótlási költségekből levonandó támogatások</t>
  </si>
  <si>
    <t>Pótlási költségekből levonandó piaci árról elszámpoló árra való áttérés különbözete</t>
  </si>
  <si>
    <t>Közgazdasági elemzéshez felhasználandó pótlási költségek</t>
  </si>
  <si>
    <t>Közgazdasági működési költségek</t>
  </si>
  <si>
    <t>Közgazdasági üzemeltetési és karbantartási költségek</t>
  </si>
  <si>
    <t>Közgazdsági pótlási költségek</t>
  </si>
  <si>
    <t>Kérjük töltse ki az alábbi, a közgazdasági hasznokra vonatkozó táblázatokat:</t>
  </si>
  <si>
    <t>A közgazdasági hasznok meghatározását konkrét számítási módszertan és a háttérszámítások bemutatásával kell igazolni. A háttérszámításokat az erre kijelölt "Háttérszámítások" munkalapon kell elvégezni. A kiszámított közagzdasági ahsznokat kérjük a Háttérszámítások lapról kösse be a kékkel jelölt cellákba.</t>
  </si>
  <si>
    <t>Közgazdasági hasznok</t>
  </si>
  <si>
    <t>Használóknál jelentkező hasznok</t>
  </si>
  <si>
    <t>Komfortnövekedés</t>
  </si>
  <si>
    <t>Externális hasznok</t>
  </si>
  <si>
    <t>Légszennyezés csökkenése</t>
  </si>
  <si>
    <t>Klímahatás csökkenése</t>
  </si>
  <si>
    <t>Zajterhelés csökkenése</t>
  </si>
  <si>
    <t>Egyéb hasznok</t>
  </si>
  <si>
    <t>Összes haszon</t>
  </si>
  <si>
    <t>Közgazdasági költségek és hasznok</t>
  </si>
  <si>
    <t>Közgazdasági beruházási költség</t>
  </si>
  <si>
    <t>Közgazdasági költségek összesen</t>
  </si>
  <si>
    <t>Közgazdasági hasznok összesen</t>
  </si>
  <si>
    <t>Közgazdasági nettó haszon</t>
  </si>
  <si>
    <t>A projekt közgazdasági teljesítmény-mutatói</t>
  </si>
  <si>
    <t>Érték</t>
  </si>
  <si>
    <t>Közgazdasági nettó jelenérték (ENPV)</t>
  </si>
  <si>
    <t>Közgazdasági belső megtérülési ráta (ERR; %)</t>
  </si>
  <si>
    <t>Haszon-költség arány (BCR)</t>
  </si>
  <si>
    <t>Pénzügyi teljesítménymutatókra</t>
  </si>
  <si>
    <t>Pénzügyi teljesítménymutatók</t>
  </si>
  <si>
    <t>Eredeti érték</t>
  </si>
  <si>
    <t>Eltérés</t>
  </si>
  <si>
    <t>Érzékenységvizsgálat</t>
  </si>
  <si>
    <t xml:space="preserve">Pénzügyi beruházási költség </t>
  </si>
  <si>
    <t>Pénzügyi maradványérték</t>
  </si>
  <si>
    <t>Küszöbérték számítás</t>
  </si>
  <si>
    <t>nem kritikus változó</t>
  </si>
  <si>
    <t>Közgzadasági teljesítménymutatókra</t>
  </si>
  <si>
    <t>Közgazdasági teljesítménymutatók</t>
  </si>
  <si>
    <t>Forgatókönyv elemzés</t>
  </si>
  <si>
    <t>Forgatókönyv elemzés feltételezései - Pénzügyi teljesítménymutatók</t>
  </si>
  <si>
    <t>Pesszimista</t>
  </si>
  <si>
    <t>Optimista</t>
  </si>
  <si>
    <t>Forgatókönyv elemzés feltételezései - Közgazdasági teljesítménymutatók</t>
  </si>
  <si>
    <t>Forgatókönyv elemzés eredményei</t>
  </si>
  <si>
    <t>ENPV</t>
  </si>
  <si>
    <t>ERR</t>
  </si>
  <si>
    <t>FNPV-C</t>
  </si>
  <si>
    <t>FRR-C</t>
  </si>
  <si>
    <t>Peszimista</t>
  </si>
  <si>
    <t>fpv</t>
  </si>
  <si>
    <t>Első üzemév</t>
  </si>
  <si>
    <t>Maradvány évek száma</t>
  </si>
  <si>
    <t>Nettó beruházási költség</t>
  </si>
  <si>
    <t>Projekt nélküli eset</t>
  </si>
  <si>
    <t>Működési bevételek projekt nélküli eset, Ft</t>
  </si>
  <si>
    <t>Pénzügyi bevételek - Állami támogatás, összesen</t>
  </si>
  <si>
    <t>Pénzügyi bevételek - Nem állami támogatás, összesen</t>
  </si>
  <si>
    <t>Egyéb bejövő pénzáram - Állami támogatás, összesen</t>
  </si>
  <si>
    <t>Egyéb bejövő pénzáram - Nem állami támogatás, összesen</t>
  </si>
  <si>
    <t>Indoklás:</t>
  </si>
  <si>
    <t>…...</t>
  </si>
  <si>
    <t>Projekt eset</t>
  </si>
  <si>
    <t>Működési bevételek projekt eset, Ft</t>
  </si>
  <si>
    <t>Különbözet</t>
  </si>
  <si>
    <t>Működési költségek, projekt nélküli eset - Állami támogatás, Ft</t>
  </si>
  <si>
    <t>1. Üzemeltetési és karbantartási költség</t>
  </si>
  <si>
    <t>2. Pótlási (pl. felújítási) költség</t>
  </si>
  <si>
    <t>Működési költségek, projekt nélküli eset - Nem állami támogatás, Ft</t>
  </si>
  <si>
    <t>Működési költségek, projekt eset - Állami támogatás, Ft</t>
  </si>
  <si>
    <t>Működési költségek, projekt eset - Nem állami támogatás, Ft</t>
  </si>
  <si>
    <t>Működési költségek, különbözet - Állami támogatás, Ft</t>
  </si>
  <si>
    <t>Működési költségek, különbözet - Nem állami támogatás, Ft</t>
  </si>
  <si>
    <t>Működési bevételek és költségek megosztása állami támogatás esetén</t>
  </si>
  <si>
    <t>Beruházási költségek</t>
  </si>
  <si>
    <t>Állami támogatás összesen</t>
  </si>
  <si>
    <t>Állami támogatásra vonatkozó támogatási arány és támogatási összeg meghatározása</t>
  </si>
  <si>
    <t>Csekély</t>
  </si>
  <si>
    <t>Állami támogatásra vonatkozóan összesen</t>
  </si>
  <si>
    <t>Különbözetre értelmezve</t>
  </si>
  <si>
    <t xml:space="preserve">Indoklás: </t>
  </si>
  <si>
    <t>…..</t>
  </si>
  <si>
    <t>Fajlagos, Ft/mértékegység</t>
  </si>
  <si>
    <t>Mennyiség, mértékegység</t>
  </si>
  <si>
    <t>Légszennyezés fajlagos, Ft/mértékegység</t>
  </si>
  <si>
    <t>Klímahatás fajlagos, Ft/mértékegység</t>
  </si>
  <si>
    <t>Zajterhelés fajlagos, Ft/mértékegység</t>
  </si>
  <si>
    <t>Légszennyezés mennyiség, mértékegység</t>
  </si>
  <si>
    <t>Klímahatás mennyiség, mértékegység</t>
  </si>
  <si>
    <t>Zajterhelés mennyiség, mértékegység</t>
  </si>
  <si>
    <t>A munkalap azokra az esetekre vonatkozik, amelyek nem minősülnek állami támogatásnak és finanszírozási hiány ráta számítása szükséges.
Amennyiben a vizsgált időtáv rövidebb, mint a sablon táblázatban megadott, akkor a felesleges éveket kérjük törölni, vagy üresen hagyni!</t>
  </si>
  <si>
    <t>teljes elszámolható költség</t>
  </si>
  <si>
    <t>nem elszámolható költség</t>
  </si>
  <si>
    <t>összes költség</t>
  </si>
  <si>
    <t>Bevételi pénzáramok</t>
  </si>
  <si>
    <t>pénzügyi bevételek összesen</t>
  </si>
  <si>
    <t>egyéb bejövő pénzáramok</t>
  </si>
  <si>
    <t>Bevételi pénzáramok összesen</t>
  </si>
  <si>
    <t>Nettó működési bevétel (DNOR) termelés megállapítása</t>
  </si>
  <si>
    <t>Ft</t>
  </si>
  <si>
    <t>Diszkontált pénzügyi bevétel (a)</t>
  </si>
  <si>
    <t>Diszkontált üzemeltetési és karbantartási költség (b)</t>
  </si>
  <si>
    <t>Diszkontált pótlási költség (c)</t>
  </si>
  <si>
    <t>Diszkontált nettó bevétel (DNOR = a-b-c)</t>
  </si>
  <si>
    <t>Pénzügyi elemzés</t>
  </si>
  <si>
    <t>Pénzügyi költségek összegzése</t>
  </si>
  <si>
    <t>Pótlási költség</t>
  </si>
  <si>
    <t>Pénzügyi megtérülés</t>
  </si>
  <si>
    <t>Támogatási összeg számítása</t>
  </si>
  <si>
    <t>%</t>
  </si>
  <si>
    <t>euro</t>
  </si>
  <si>
    <t>Diszkontált beruházási költség (DIC)</t>
  </si>
  <si>
    <t>Diszkontált maradványérték (d)</t>
  </si>
  <si>
    <t>Diszkontált nettó bevétel (ha DNOR negatív, akkor DNOR, egyébként DNR = a-b-c+d)</t>
  </si>
  <si>
    <t>Finanszírozási hiány ráta (R=MaxEE/DIC=1-DNR/DIC)</t>
  </si>
  <si>
    <t>Elszámolható költség (EC)</t>
  </si>
  <si>
    <t>Nem elszámolható költség (NEC)</t>
  </si>
  <si>
    <t>Döntési összeg, azaz OP támogatás, (DA=EC*R, de nem lehet magasabb a támogatási konstrukcióra vonatkozó maximális támogatási aránynál)</t>
  </si>
  <si>
    <t>EU támogatás összege</t>
  </si>
  <si>
    <t>Hazai társfinanszírozás összege</t>
  </si>
  <si>
    <t>Kedvezményezett hozzájárulása (=EC-DA+NEC)</t>
  </si>
  <si>
    <t>Nemzeti hozzájárulása összesen</t>
  </si>
  <si>
    <t>Pénzügyi fenntarthatóság</t>
  </si>
  <si>
    <t>A halmozott pénzügyi pénzáram egyik évben sem lehet negatív. Amennyiben a nettó halmozott pénzügyi pénzáram negatív, akkor Működési többletforrásra van szükség, melyet a kiszámítás után a "8. Egyéb bejövő pénzáram" soron kell feltüntetni.</t>
  </si>
  <si>
    <t>Amennyiben a táblázatok alapján Önnél többletforrást szükséges biztosítani, kérjük tegye meg az alábbi nyilatkozatot, valamint szövegesen is adja meg, hogy milyen forrásból fogja biztosítani a projekt fenntarthatóságát.
Amennyiben a nyilatkozatot nem teszi meg, a projekt pénzügyi fenntarthatóság hiányában nem támogatható!</t>
  </si>
  <si>
    <t>A munkalap azokra az esetekre vonatkozik, amelyek nem minősülnek állami támogatásnak és a PF szerinti maximális támogatási arány alkalmazható.
Amennyiben a vizsgált időtáv rövidebb, mint a sablon táblázatban megadott, akkor a felesleges éveket kérjük törölni, vagy üresen hagyni!</t>
  </si>
  <si>
    <t>Nem elszámolható költség (NonEC)</t>
  </si>
  <si>
    <t>A támogatási konstrukcióra vonatkozó maximális támogatási arány (R)</t>
  </si>
  <si>
    <t>A támogatás összege, azaz OP támogatás (DA=EC*R)</t>
  </si>
  <si>
    <t>Kedvezményezett hozzájárulása (=EC-DA+NonEC)</t>
  </si>
  <si>
    <t>A halmozott pénzügyi pénzáram egyik évben sem lehet negatív.</t>
  </si>
  <si>
    <t>Pl. Csekély összegű támogatás</t>
  </si>
  <si>
    <t>A munkalap azokra az esetekre vonatkozik, amelyek állami támogatásnak minősülnek és PF, illetve támogatási szabály szerinti maximális támogatási arány alkalmazható.
A támogatási arány számítása nem minden esetben az elszámolható beruházási költség egyszerű szorzataként értelmezendő. Bizonyos esetekben – például környezetvédelmi jogcímek esetén – a támogatási arány számítása eltérő alapelvek szerint történhet, és további korrekciókat vagy részletezést igényelhet. Ilyen esetekben a számítást mindenképpen ki kell egészíteni a Háttérszámítások munkalapon, amely lehetőséget biztosít a támogatás összegének pontos meghatározására az adott támogatási konstrukció logikája szerint.
Amennyiben a vizsgált időtáv rövidebb, mint a sablon táblázatban megadott, akkor a felesleges éveket kérjük törölni, vagy üresen hagyni!</t>
  </si>
  <si>
    <t>Pl. Személyszállítási közszolgáltatásért járó ellentételezés</t>
  </si>
  <si>
    <t>A munkalap azokra az esetekre vonatkozik, amelyek állami támogatásnak minősülnek és a nettó működési bevétel levonásával, a releváns szabály szerint kell a támogathatóságot vizsgálni.
Amennyiben a vizsgált időtáv rövidebb, mint a sablon táblázatban megadott, akkor a felesleges éveket kérjük törölni, vagy üresen hagyni!</t>
  </si>
  <si>
    <t>Működési költségek összesen, különbözet</t>
  </si>
  <si>
    <t>Figyelem: nem tartoznak a működési költségekbe az értékcsökkenési és a finanszírozási költségek, ha azokat beruházási támogatásból fedezték.</t>
  </si>
  <si>
    <t>Figyelem: ha a vizsgálati időtáv végén a beruházásból származó eszközök piaci értékét maradvány értékként a pénzügyi bevételek között figyelembe kell venni.</t>
  </si>
  <si>
    <t>Működési eredmény</t>
  </si>
  <si>
    <t>Működési eredmény összesen</t>
  </si>
  <si>
    <t>Diszkontált működési eredmény (DNOP)</t>
  </si>
  <si>
    <t>Támogatási arány (R=(DIC-DNOP)/DIC)</t>
  </si>
  <si>
    <t>A támogatás összege (DA=EC*R)</t>
  </si>
  <si>
    <t>A munkalap azokra az esetekre vonatkozik, amelyek nem minősülnek állami támogatásnak és finanszírozási hiány ráta számítása szükséges.</t>
  </si>
  <si>
    <t>Finanszírozási hiány számítás</t>
  </si>
  <si>
    <t>Mivel nyilatkozott, hogy csökkenti a működési támogatást</t>
  </si>
  <si>
    <t>Különben:</t>
  </si>
  <si>
    <t>A munkalap azokra az esetekre vonatkozik, amelyek állami támogatásnak minősülnek és PF, illetve támogatási szabály szerinti maximális támogatási arány alkalmazható.
A támogatási arány számítása nem minden esetben az elszámolható beruházási költség egyszerű szorzataként értelmezendő. Bizonyos esetekben – például környezetvédelmi jogcímek esetén – a támogatási arány számítása eltérő alapelvek szerint történhet, és további korrekciókat vagy részletezést igényelhet. Ilyen esetekben a számítást mindenképpen ki kell egészíteni a Háttérszámítások munkalapon, amely lehetőséget biztosít a támogatás összegének pontos meghatározására az adott támogatási konstrukció logikája szerint.</t>
  </si>
  <si>
    <t>--</t>
  </si>
  <si>
    <t>A munkalap azokra az esetekre vonatkozik, amelyek állami támogatásnak minősülnek és a nettó működési bevétel levonásával, a releváns szabály szerint kell a támogathatóságot vizsgálni.</t>
  </si>
  <si>
    <t>TOP_Plusz-4.1.1-23</t>
  </si>
  <si>
    <t>Egészséges utcák program</t>
  </si>
  <si>
    <t>TOP_Plusz-1.2.1-21</t>
  </si>
  <si>
    <t>Élhető települések</t>
  </si>
  <si>
    <t>TOP_Plusz-1.2.2-21</t>
  </si>
  <si>
    <t>Szociális célú városrehabilitáció (ERFA)</t>
  </si>
  <si>
    <t>TOP_Plusz-1.2.3-21</t>
  </si>
  <si>
    <t>Belterületi utak fejlesztése</t>
  </si>
  <si>
    <t>TOP_Plusz-2.1.1-21</t>
  </si>
  <si>
    <t>Önkormányzati épületek energetikai korszerűsítése</t>
  </si>
  <si>
    <t>TOP_Plusz-3.1.2-21</t>
  </si>
  <si>
    <t>Szociális célú város rehabilitáció (ESZA+)</t>
  </si>
  <si>
    <t>TOP_Plusz-3.3.1-21</t>
  </si>
  <si>
    <t>Gyermeknevelést támogató humán infrastruktúra fejlesztése</t>
  </si>
  <si>
    <t>TOP_Plusz-3.3.2-21</t>
  </si>
  <si>
    <t>Helyi egészségügyi és szociális infrastruktúra fejlesztése</t>
  </si>
  <si>
    <t>TOP_Plusz-6.1.1-21</t>
  </si>
  <si>
    <t>Helyi gazdaságfejlesztés</t>
  </si>
  <si>
    <t>TOP_Plusz-6.1.2-21</t>
  </si>
  <si>
    <t>4–5 számjegyű utak fejlesztése</t>
  </si>
  <si>
    <t>TOP_Plusz-6.1.3-21</t>
  </si>
  <si>
    <t>Helyi és térségi turizmusfejlesztés</t>
  </si>
  <si>
    <t>TOP_Plusz-4.2.2-25</t>
  </si>
  <si>
    <t>TOP_Plusz-1.1.1-25</t>
  </si>
  <si>
    <t>TOP_Plusz-4.2.1-25</t>
  </si>
  <si>
    <t>TOP_Plusz-5.1.1-25</t>
  </si>
  <si>
    <t>TOP_Plusz-5.1.2-25</t>
  </si>
  <si>
    <t>TOP_Plusz-5.1.3-25</t>
  </si>
  <si>
    <t>TOP_Plusz-5.1.4-25</t>
  </si>
  <si>
    <t>TOP_Plusz-5.1.5-25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</si>
</sst>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64">
    <font>
      <sz val="11"/>
      <color theme="1"/>
      <name val="Arial"/>
      <family val="2"/>
      <charset val="238"/>
      <scheme val="minor"/>
    </font>
    <font>
      <sz val="11"/>
      <color theme="1"/>
      <name val="Arial"/>
      <family val="2"/>
    </font>
    <font>
      <b/>
      <sz val="11"/>
      <color theme="1"/>
      <name val="Arial"/>
      <family val="2"/>
      <scheme val="minor"/>
    </font>
    <font>
      <b/>
      <sz val="11"/>
      <color theme="1"/>
      <name val="Arial"/>
      <family val="2"/>
    </font>
    <font>
      <b/>
      <i/>
      <sz val="11"/>
      <color theme="1"/>
      <name val="Arial"/>
      <family val="2"/>
    </font>
    <font>
      <i/>
      <sz val="11"/>
      <color theme="1"/>
      <name val="Arial"/>
      <family val="2"/>
    </font>
    <font>
      <sz val="10"/>
      <color indexed="8"/>
      <name val="Arial"/>
      <family val="2"/>
    </font>
    <font>
      <b/>
      <sz val="10"/>
      <color rgb="FF000000"/>
      <name val="Arial"/>
      <family val="2"/>
    </font>
    <font>
      <u/>
      <sz val="11"/>
      <color theme="10"/>
      <name val="Arial"/>
      <family val="2"/>
      <charset val="238"/>
      <scheme val="minor"/>
    </font>
    <font>
      <i/>
      <sz val="10"/>
      <color rgb="FFFF0000"/>
      <name val="Arial"/>
      <family val="2"/>
    </font>
    <font>
      <sz val="10"/>
      <name val="Arial"/>
      <family val="2"/>
    </font>
    <font>
      <sz val="11"/>
      <color theme="1"/>
      <name val="Arial"/>
      <family val="2"/>
      <charset val="238"/>
      <scheme val="minor"/>
    </font>
    <font>
      <b/>
      <sz val="10"/>
      <name val="Arial"/>
      <family val="2"/>
    </font>
    <font>
      <sz val="10"/>
      <color rgb="FF0000FF"/>
      <name val="Arial"/>
      <family val="2"/>
    </font>
    <font>
      <b/>
      <sz val="10"/>
      <color indexed="8"/>
      <name val="Arial"/>
      <family val="2"/>
    </font>
    <font>
      <sz val="11"/>
      <color theme="0"/>
      <name val="Arial"/>
      <family val="2"/>
    </font>
    <font>
      <b/>
      <sz val="11"/>
      <color theme="0"/>
      <name val="Arial"/>
      <family val="2"/>
    </font>
    <font>
      <i/>
      <sz val="11"/>
      <color theme="0"/>
      <name val="Arial"/>
      <family val="2"/>
    </font>
    <font>
      <b/>
      <i/>
      <sz val="11"/>
      <color theme="0"/>
      <name val="Arial"/>
      <family val="2"/>
    </font>
    <font>
      <sz val="11"/>
      <name val="Arial"/>
      <family val="2"/>
    </font>
    <font>
      <sz val="11"/>
      <color rgb="FF0000FF"/>
      <name val="Arial"/>
      <family val="2"/>
    </font>
    <font>
      <i/>
      <sz val="8"/>
      <name val="Arial"/>
      <family val="2"/>
      <scheme val="minor"/>
    </font>
    <font>
      <sz val="10"/>
      <color theme="1"/>
      <name val="Arial"/>
      <family val="2"/>
    </font>
    <font>
      <b/>
      <sz val="9"/>
      <color indexed="81"/>
      <name val="Tahoma"/>
      <family val="2"/>
      <charset val="238"/>
    </font>
    <font>
      <i/>
      <sz val="10"/>
      <color indexed="8"/>
      <name val="Arial"/>
      <family val="2"/>
    </font>
    <font>
      <sz val="11"/>
      <color theme="0" tint="-0.499984740745262"/>
      <name val="Arial"/>
      <family val="2"/>
      <charset val="238"/>
      <scheme val="minor"/>
    </font>
    <font>
      <sz val="11"/>
      <name val="Arial"/>
      <family val="2"/>
      <charset val="238"/>
      <scheme val="minor"/>
    </font>
    <font>
      <sz val="11"/>
      <color theme="0" tint="-0.499984740745262"/>
      <name val="Arial"/>
      <family val="2"/>
    </font>
    <font>
      <sz val="20"/>
      <color theme="1"/>
      <name val="Arial"/>
      <family val="2"/>
      <charset val="238"/>
      <scheme val="minor"/>
    </font>
    <font>
      <b/>
      <sz val="20"/>
      <color theme="1"/>
      <name val="Arial"/>
      <family val="2"/>
      <charset val="238"/>
      <scheme val="minor"/>
    </font>
    <font>
      <sz val="20"/>
      <color rgb="FFFF0000"/>
      <name val="Arial"/>
      <family val="2"/>
      <charset val="238"/>
      <scheme val="minor"/>
    </font>
    <font>
      <sz val="11"/>
      <color rgb="FFFF2F92"/>
      <name val="Arial"/>
      <family val="2"/>
    </font>
    <font>
      <b/>
      <sz val="9"/>
      <color indexed="81"/>
      <name val="Tahoma"/>
      <family val="2"/>
    </font>
    <font>
      <b/>
      <sz val="20"/>
      <name val="Arial"/>
      <family val="2"/>
      <scheme val="minor"/>
    </font>
    <font>
      <sz val="20"/>
      <color rgb="FF00B050"/>
      <name val="Arial"/>
      <family val="2"/>
      <charset val="238"/>
      <scheme val="minor"/>
    </font>
    <font>
      <b/>
      <sz val="20"/>
      <color theme="1"/>
      <name val="Arial"/>
      <family val="2"/>
      <scheme val="minor"/>
    </font>
    <font>
      <u/>
      <sz val="22"/>
      <color theme="10"/>
      <name val="Arial"/>
      <family val="2"/>
      <charset val="238"/>
      <scheme val="minor"/>
    </font>
    <font>
      <sz val="22"/>
      <color theme="1"/>
      <name val="Arial"/>
      <family val="2"/>
      <charset val="238"/>
      <scheme val="minor"/>
    </font>
    <font>
      <sz val="11"/>
      <color rgb="FF00B050"/>
      <name val="Arial"/>
      <family val="2"/>
    </font>
    <font>
      <b/>
      <sz val="11"/>
      <color theme="5"/>
      <name val="Arial"/>
      <family val="2"/>
    </font>
    <font>
      <sz val="10"/>
      <color theme="5"/>
      <name val="Arial"/>
      <family val="2"/>
    </font>
    <font>
      <b/>
      <sz val="11"/>
      <color theme="5"/>
      <name val="Arial (Szövegtörzs)"/>
      <charset val="238"/>
    </font>
    <font>
      <sz val="11"/>
      <color theme="5"/>
      <name val="Arial (Szövegtörzs)"/>
      <charset val="238"/>
    </font>
    <font>
      <b/>
      <sz val="11"/>
      <color theme="5"/>
      <name val="Arial"/>
      <family val="2"/>
      <scheme val="minor"/>
    </font>
    <font>
      <i/>
      <sz val="8"/>
      <color theme="5"/>
      <name val="Arial"/>
      <family val="2"/>
      <scheme val="minor"/>
    </font>
    <font>
      <sz val="11"/>
      <color theme="5"/>
      <name val="Arial"/>
      <family val="2"/>
    </font>
    <font>
      <sz val="10"/>
      <color theme="5"/>
      <name val="Arial (Szövegtörzs)"/>
      <charset val="238"/>
    </font>
    <font>
      <b/>
      <sz val="10"/>
      <color theme="5"/>
      <name val="Arial (Szövegtörzs)"/>
      <charset val="238"/>
    </font>
    <font>
      <b/>
      <i/>
      <sz val="10"/>
      <color theme="5"/>
      <name val="Arial (Szövegtörzs)"/>
      <charset val="238"/>
    </font>
    <font>
      <i/>
      <sz val="10"/>
      <color theme="5"/>
      <name val="Arial (Szövegtörzs)"/>
      <charset val="238"/>
    </font>
    <font>
      <b/>
      <sz val="20"/>
      <color theme="5"/>
      <name val="Arial"/>
      <family val="2"/>
      <charset val="238"/>
      <scheme val="minor"/>
    </font>
    <font>
      <sz val="22"/>
      <color theme="5"/>
      <name val="Arial"/>
      <family val="2"/>
      <charset val="238"/>
      <scheme val="minor"/>
    </font>
    <font>
      <b/>
      <sz val="11"/>
      <name val="Arial"/>
      <family val="2"/>
    </font>
    <font>
      <i/>
      <sz val="11"/>
      <name val="Arial"/>
      <family val="2"/>
    </font>
    <font>
      <sz val="11"/>
      <color theme="1"/>
      <name val="Arial"/>
      <family val="2"/>
      <scheme val="minor"/>
    </font>
    <font>
      <b/>
      <i/>
      <sz val="11"/>
      <name val="Arial"/>
      <family val="2"/>
    </font>
    <font>
      <b/>
      <sz val="11"/>
      <color rgb="FF0000FF"/>
      <name val="Arial"/>
      <family val="2"/>
    </font>
    <font>
      <b/>
      <sz val="11"/>
      <color indexed="12"/>
      <name val="Arial"/>
      <family val="2"/>
    </font>
    <font>
      <b/>
      <sz val="11"/>
      <color indexed="8"/>
      <name val="Arial"/>
      <family val="2"/>
    </font>
    <font>
      <sz val="11"/>
      <color theme="0"/>
      <name val="Arial"/>
      <family val="2"/>
      <charset val="238"/>
      <scheme val="minor"/>
    </font>
    <font>
      <sz val="11"/>
      <name val="Arial"/>
      <family val="2"/>
      <scheme val="minor"/>
    </font>
    <font>
      <u/>
      <sz val="11"/>
      <color theme="0"/>
      <name val="Arial"/>
      <family val="2"/>
      <scheme val="minor"/>
    </font>
    <font>
      <b/>
      <sz val="10"/>
      <color theme="0"/>
      <name val="Arial"/>
      <family val="2"/>
    </font>
    <font>
      <sz val="10"/>
      <color theme="0"/>
      <name val="Arial"/>
      <family val="2"/>
    </font>
  </fonts>
  <fills count="1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DEBF7"/>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rgb="FFFFC000"/>
        <bgColor indexed="64"/>
      </patternFill>
    </fill>
    <fill>
      <patternFill patternType="solid">
        <fgColor rgb="FFCCECFF"/>
        <bgColor indexed="64"/>
      </patternFill>
    </fill>
    <fill>
      <patternFill patternType="solid">
        <fgColor theme="2" tint="-0.249977111117893"/>
        <bgColor indexed="64"/>
      </patternFill>
    </fill>
    <fill>
      <patternFill patternType="solid">
        <fgColor rgb="FFF2F7FC"/>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rgb="FF000000"/>
      </top>
      <bottom style="thin">
        <color rgb="FF000000"/>
      </bottom>
      <diagonal/>
    </border>
    <border>
      <left style="medium">
        <color theme="5"/>
      </left>
      <right style="medium">
        <color theme="5"/>
      </right>
      <top style="medium">
        <color theme="5"/>
      </top>
      <bottom style="medium">
        <color theme="5"/>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style="medium">
        <color theme="7" tint="-0.24994659260841701"/>
      </left>
      <right style="medium">
        <color theme="7" tint="-0.24994659260841701"/>
      </right>
      <top style="medium">
        <color theme="7" tint="-0.24994659260841701"/>
      </top>
      <bottom style="medium">
        <color theme="7" tint="-0.24994659260841701"/>
      </bottom>
      <diagonal/>
    </border>
    <border>
      <left style="medium">
        <color theme="7" tint="-0.24994659260841701"/>
      </left>
      <right/>
      <top style="medium">
        <color theme="7" tint="-0.24994659260841701"/>
      </top>
      <bottom style="medium">
        <color theme="7" tint="-0.24994659260841701"/>
      </bottom>
      <diagonal/>
    </border>
    <border>
      <left/>
      <right/>
      <top style="medium">
        <color theme="7" tint="-0.24994659260841701"/>
      </top>
      <bottom style="medium">
        <color theme="7" tint="-0.24994659260841701"/>
      </bottom>
      <diagonal/>
    </border>
    <border>
      <left/>
      <right style="medium">
        <color theme="7" tint="-0.24994659260841701"/>
      </right>
      <top style="medium">
        <color theme="7" tint="-0.24994659260841701"/>
      </top>
      <bottom style="medium">
        <color theme="7" tint="-0.24994659260841701"/>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indexed="64"/>
      </left>
      <right/>
      <top style="thin">
        <color indexed="64"/>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0" fontId="8" fillId="0" borderId="0" applyNumberFormat="0" applyFill="0" applyBorder="0" applyAlignment="0" applyProtection="0"/>
    <xf numFmtId="9" fontId="11" fillId="0" borderId="0" applyFont="0" applyFill="0" applyBorder="0" applyAlignment="0" applyProtection="0"/>
  </cellStyleXfs>
  <cellXfs count="595">
    <xf numFmtId="0" fontId="0" fillId="0" borderId="0" xfId="0"/>
    <xf numFmtId="0" fontId="1" fillId="0" borderId="0" xfId="0" applyFont="1"/>
    <xf numFmtId="0" fontId="1" fillId="0" borderId="0" xfId="0" applyFont="1" applyAlignment="1">
      <alignment wrapText="1"/>
    </xf>
    <xf numFmtId="3" fontId="1" fillId="0" borderId="0" xfId="0" applyNumberFormat="1" applyFont="1"/>
    <xf numFmtId="0" fontId="10" fillId="0" borderId="1" xfId="0" applyFont="1" applyBorder="1" applyProtection="1">
      <protection hidden="1"/>
    </xf>
    <xf numFmtId="0" fontId="3" fillId="9" borderId="2" xfId="0" applyFont="1" applyFill="1" applyBorder="1"/>
    <xf numFmtId="0" fontId="3" fillId="8" borderId="0" xfId="0" applyFont="1" applyFill="1"/>
    <xf numFmtId="0" fontId="1" fillId="8" borderId="0" xfId="0" applyFont="1" applyFill="1"/>
    <xf numFmtId="0" fontId="3" fillId="0" borderId="1" xfId="0" applyFont="1" applyBorder="1"/>
    <xf numFmtId="0" fontId="3" fillId="6" borderId="1" xfId="0" applyFont="1" applyFill="1" applyBorder="1"/>
    <xf numFmtId="0" fontId="1" fillId="0" borderId="1" xfId="0" applyFont="1" applyBorder="1"/>
    <xf numFmtId="3" fontId="1" fillId="0" borderId="1" xfId="0" applyNumberFormat="1" applyFont="1" applyBorder="1"/>
    <xf numFmtId="0" fontId="14" fillId="0" borderId="1" xfId="0" applyFont="1" applyBorder="1" applyProtection="1">
      <protection hidden="1"/>
    </xf>
    <xf numFmtId="3" fontId="3" fillId="0" borderId="1" xfId="0" applyNumberFormat="1" applyFont="1" applyBorder="1"/>
    <xf numFmtId="0" fontId="3" fillId="6" borderId="1" xfId="0" applyFont="1" applyFill="1" applyBorder="1" applyAlignment="1">
      <alignment horizontal="center" vertical="center"/>
    </xf>
    <xf numFmtId="0" fontId="3" fillId="0" borderId="0" xfId="0" applyFont="1" applyAlignment="1">
      <alignment horizontal="center" vertical="center"/>
    </xf>
    <xf numFmtId="3" fontId="15" fillId="0" borderId="0" xfId="0" applyNumberFormat="1" applyFont="1"/>
    <xf numFmtId="3" fontId="1" fillId="0" borderId="10" xfId="0" applyNumberFormat="1" applyFont="1" applyBorder="1"/>
    <xf numFmtId="3" fontId="16" fillId="0" borderId="0" xfId="0" applyNumberFormat="1" applyFont="1"/>
    <xf numFmtId="0" fontId="1" fillId="0" borderId="1" xfId="0" applyFont="1" applyBorder="1" applyAlignment="1">
      <alignment horizontal="left"/>
    </xf>
    <xf numFmtId="0" fontId="3" fillId="0" borderId="1" xfId="0" applyFont="1" applyBorder="1" applyAlignment="1">
      <alignment horizontal="left"/>
    </xf>
    <xf numFmtId="0" fontId="3" fillId="2" borderId="0" xfId="0" applyFont="1" applyFill="1"/>
    <xf numFmtId="0" fontId="1" fillId="2" borderId="0" xfId="0" applyFont="1" applyFill="1"/>
    <xf numFmtId="0" fontId="5" fillId="0" borderId="1" xfId="0" applyFont="1" applyBorder="1" applyAlignment="1">
      <alignment horizontal="left" indent="1"/>
    </xf>
    <xf numFmtId="3" fontId="5" fillId="0" borderId="1" xfId="0" applyNumberFormat="1" applyFont="1" applyBorder="1"/>
    <xf numFmtId="3" fontId="17" fillId="0" borderId="0" xfId="0" applyNumberFormat="1" applyFont="1"/>
    <xf numFmtId="3" fontId="6" fillId="0" borderId="1" xfId="0" applyNumberFormat="1" applyFont="1" applyBorder="1" applyAlignment="1" applyProtection="1">
      <alignment wrapText="1"/>
      <protection hidden="1"/>
    </xf>
    <xf numFmtId="3" fontId="14" fillId="0" borderId="1" xfId="0" applyNumberFormat="1" applyFont="1" applyBorder="1" applyAlignment="1" applyProtection="1">
      <alignment wrapText="1"/>
      <protection hidden="1"/>
    </xf>
    <xf numFmtId="3" fontId="14" fillId="0" borderId="1" xfId="0" applyNumberFormat="1" applyFont="1" applyBorder="1" applyProtection="1">
      <protection hidden="1"/>
    </xf>
    <xf numFmtId="10" fontId="14" fillId="0" borderId="1" xfId="2" applyNumberFormat="1" applyFont="1" applyBorder="1" applyAlignment="1" applyProtection="1">
      <alignment horizontal="right"/>
      <protection hidden="1"/>
    </xf>
    <xf numFmtId="0" fontId="1" fillId="0" borderId="1" xfId="0" applyFont="1" applyBorder="1" applyAlignment="1">
      <alignment wrapText="1"/>
    </xf>
    <xf numFmtId="0" fontId="1" fillId="0" borderId="36" xfId="0" applyFont="1" applyBorder="1"/>
    <xf numFmtId="164" fontId="1" fillId="0" borderId="1" xfId="0" applyNumberFormat="1" applyFont="1" applyBorder="1"/>
    <xf numFmtId="0" fontId="16" fillId="0" borderId="0" xfId="0" applyFont="1" applyAlignment="1">
      <alignment horizontal="center" vertical="center"/>
    </xf>
    <xf numFmtId="0" fontId="15" fillId="0" borderId="0" xfId="0" applyFont="1"/>
    <xf numFmtId="0" fontId="3" fillId="0" borderId="1" xfId="0" applyFont="1" applyBorder="1" applyAlignment="1">
      <alignment wrapText="1"/>
    </xf>
    <xf numFmtId="0" fontId="9" fillId="0" borderId="0" xfId="0" applyFont="1" applyProtection="1">
      <protection hidden="1"/>
    </xf>
    <xf numFmtId="0" fontId="3" fillId="6" borderId="1" xfId="0" applyFont="1" applyFill="1" applyBorder="1" applyAlignment="1">
      <alignment horizontal="center" vertical="center" wrapText="1"/>
    </xf>
    <xf numFmtId="0" fontId="1" fillId="0" borderId="0" xfId="0" applyFont="1" applyAlignment="1" applyProtection="1">
      <alignment vertical="center"/>
      <protection hidden="1"/>
    </xf>
    <xf numFmtId="0" fontId="4" fillId="10" borderId="0" xfId="0" applyFont="1" applyFill="1"/>
    <xf numFmtId="0" fontId="1" fillId="10" borderId="0" xfId="0" applyFont="1" applyFill="1"/>
    <xf numFmtId="0" fontId="3" fillId="9" borderId="2" xfId="0" applyFont="1" applyFill="1" applyBorder="1" applyAlignment="1">
      <alignment wrapText="1"/>
    </xf>
    <xf numFmtId="0" fontId="5" fillId="0" borderId="1" xfId="0" applyFont="1" applyBorder="1" applyAlignment="1">
      <alignment horizontal="left" wrapText="1"/>
    </xf>
    <xf numFmtId="0" fontId="3" fillId="0" borderId="1" xfId="0" applyFont="1" applyBorder="1" applyAlignment="1">
      <alignment horizontal="left" wrapText="1"/>
    </xf>
    <xf numFmtId="3" fontId="6" fillId="0" borderId="0" xfId="0" applyNumberFormat="1" applyFont="1" applyProtection="1">
      <protection hidden="1"/>
    </xf>
    <xf numFmtId="0" fontId="21" fillId="0" borderId="0" xfId="0" applyFont="1" applyAlignment="1" applyProtection="1">
      <alignment horizontal="left" vertical="center"/>
      <protection hidden="1"/>
    </xf>
    <xf numFmtId="0" fontId="6" fillId="0" borderId="0" xfId="0" applyFont="1" applyProtection="1">
      <protection hidden="1"/>
    </xf>
    <xf numFmtId="0" fontId="1" fillId="0" borderId="0" xfId="0" applyFont="1" applyProtection="1">
      <protection hidden="1"/>
    </xf>
    <xf numFmtId="0" fontId="3" fillId="0" borderId="39" xfId="0" applyFont="1" applyBorder="1" applyAlignment="1" applyProtection="1">
      <alignment wrapText="1"/>
      <protection hidden="1"/>
    </xf>
    <xf numFmtId="0" fontId="3" fillId="0" borderId="0" xfId="0" applyFont="1" applyProtection="1">
      <protection hidden="1"/>
    </xf>
    <xf numFmtId="164" fontId="1" fillId="0" borderId="19" xfId="0" applyNumberFormat="1" applyFont="1" applyBorder="1" applyAlignment="1" applyProtection="1">
      <alignment horizontal="center" vertical="center" wrapText="1"/>
      <protection hidden="1"/>
    </xf>
    <xf numFmtId="3" fontId="1" fillId="0" borderId="1" xfId="0" applyNumberFormat="1" applyFont="1" applyBorder="1" applyAlignment="1" applyProtection="1">
      <alignment wrapText="1"/>
      <protection hidden="1"/>
    </xf>
    <xf numFmtId="164" fontId="1" fillId="0" borderId="12" xfId="0" applyNumberFormat="1" applyFont="1" applyBorder="1" applyAlignment="1" applyProtection="1">
      <alignment horizontal="center" vertical="center" wrapText="1"/>
      <protection hidden="1"/>
    </xf>
    <xf numFmtId="3" fontId="1" fillId="0" borderId="1" xfId="0" applyNumberFormat="1" applyFont="1" applyBorder="1" applyProtection="1">
      <protection hidden="1"/>
    </xf>
    <xf numFmtId="164" fontId="1" fillId="0" borderId="8" xfId="0" applyNumberFormat="1" applyFont="1" applyBorder="1" applyAlignment="1" applyProtection="1">
      <alignment horizontal="center" vertical="center" wrapText="1"/>
      <protection hidden="1"/>
    </xf>
    <xf numFmtId="0" fontId="3" fillId="0" borderId="46" xfId="0" applyFont="1" applyBorder="1" applyAlignment="1" applyProtection="1">
      <alignment wrapText="1"/>
      <protection hidden="1"/>
    </xf>
    <xf numFmtId="3" fontId="3" fillId="0" borderId="52" xfId="0" applyNumberFormat="1" applyFont="1" applyBorder="1" applyAlignment="1" applyProtection="1">
      <alignment wrapText="1"/>
      <protection hidden="1"/>
    </xf>
    <xf numFmtId="164" fontId="3" fillId="0" borderId="47" xfId="0" applyNumberFormat="1" applyFont="1" applyBorder="1" applyAlignment="1" applyProtection="1">
      <alignment wrapText="1"/>
      <protection hidden="1"/>
    </xf>
    <xf numFmtId="0" fontId="3" fillId="0" borderId="45" xfId="0" applyFont="1" applyBorder="1" applyAlignment="1" applyProtection="1">
      <alignment wrapText="1"/>
      <protection hidden="1"/>
    </xf>
    <xf numFmtId="3" fontId="3" fillId="0" borderId="43" xfId="0" applyNumberFormat="1" applyFont="1" applyBorder="1" applyAlignment="1" applyProtection="1">
      <alignment wrapText="1"/>
      <protection hidden="1"/>
    </xf>
    <xf numFmtId="164" fontId="3" fillId="0" borderId="53" xfId="0" applyNumberFormat="1" applyFont="1" applyBorder="1" applyAlignment="1" applyProtection="1">
      <alignment wrapText="1"/>
      <protection hidden="1"/>
    </xf>
    <xf numFmtId="0" fontId="3" fillId="0" borderId="48" xfId="0" applyFont="1" applyBorder="1" applyAlignment="1" applyProtection="1">
      <alignment wrapText="1"/>
      <protection hidden="1"/>
    </xf>
    <xf numFmtId="3" fontId="3" fillId="0" borderId="54" xfId="0" applyNumberFormat="1" applyFont="1" applyBorder="1" applyAlignment="1" applyProtection="1">
      <alignment wrapText="1"/>
      <protection hidden="1"/>
    </xf>
    <xf numFmtId="164" fontId="3" fillId="0" borderId="49" xfId="0" applyNumberFormat="1" applyFont="1" applyBorder="1" applyAlignment="1" applyProtection="1">
      <alignment wrapText="1"/>
      <protection hidden="1"/>
    </xf>
    <xf numFmtId="0" fontId="31" fillId="0" borderId="0" xfId="0" applyFont="1" applyProtection="1">
      <protection hidden="1"/>
    </xf>
    <xf numFmtId="0" fontId="19" fillId="0" borderId="8" xfId="0" applyFont="1" applyBorder="1" applyProtection="1">
      <protection hidden="1"/>
    </xf>
    <xf numFmtId="0" fontId="1" fillId="0" borderId="0" xfId="0" applyFont="1" applyAlignment="1" applyProtection="1">
      <alignment wrapText="1"/>
      <protection hidden="1"/>
    </xf>
    <xf numFmtId="3" fontId="1" fillId="0" borderId="11" xfId="0" applyNumberFormat="1" applyFont="1" applyBorder="1" applyAlignment="1" applyProtection="1">
      <alignment wrapText="1"/>
      <protection hidden="1"/>
    </xf>
    <xf numFmtId="3" fontId="1" fillId="0" borderId="12" xfId="0" applyNumberFormat="1" applyFont="1" applyBorder="1" applyAlignment="1" applyProtection="1">
      <alignment wrapText="1"/>
      <protection hidden="1"/>
    </xf>
    <xf numFmtId="3" fontId="1" fillId="0" borderId="11" xfId="0" quotePrefix="1" applyNumberFormat="1" applyFont="1" applyBorder="1" applyAlignment="1" applyProtection="1">
      <alignment wrapText="1"/>
      <protection hidden="1"/>
    </xf>
    <xf numFmtId="0" fontId="1" fillId="0" borderId="30" xfId="0" applyFont="1" applyBorder="1" applyAlignment="1" applyProtection="1">
      <alignment wrapText="1"/>
      <protection hidden="1"/>
    </xf>
    <xf numFmtId="3" fontId="1" fillId="0" borderId="10" xfId="0" applyNumberFormat="1" applyFont="1" applyBorder="1" applyAlignment="1" applyProtection="1">
      <alignment wrapText="1"/>
      <protection hidden="1"/>
    </xf>
    <xf numFmtId="3" fontId="1" fillId="0" borderId="6" xfId="0" applyNumberFormat="1" applyFont="1" applyBorder="1" applyAlignment="1" applyProtection="1">
      <alignment wrapText="1"/>
      <protection hidden="1"/>
    </xf>
    <xf numFmtId="3" fontId="1" fillId="0" borderId="8" xfId="0" applyNumberFormat="1" applyFont="1" applyBorder="1" applyAlignment="1" applyProtection="1">
      <alignment wrapText="1"/>
      <protection hidden="1"/>
    </xf>
    <xf numFmtId="3" fontId="1" fillId="0" borderId="7" xfId="0" applyNumberFormat="1" applyFont="1" applyBorder="1" applyAlignment="1" applyProtection="1">
      <alignment wrapText="1"/>
      <protection hidden="1"/>
    </xf>
    <xf numFmtId="0" fontId="1" fillId="0" borderId="24" xfId="0" applyFont="1" applyBorder="1" applyAlignment="1" applyProtection="1">
      <alignment wrapText="1"/>
      <protection hidden="1"/>
    </xf>
    <xf numFmtId="3" fontId="1" fillId="0" borderId="32" xfId="0" applyNumberFormat="1" applyFont="1" applyBorder="1" applyAlignment="1" applyProtection="1">
      <alignment wrapText="1"/>
      <protection hidden="1"/>
    </xf>
    <xf numFmtId="0" fontId="3" fillId="0" borderId="28" xfId="0" applyFont="1" applyBorder="1" applyAlignment="1" applyProtection="1">
      <alignment wrapText="1"/>
      <protection hidden="1"/>
    </xf>
    <xf numFmtId="3" fontId="1" fillId="0" borderId="0" xfId="0" applyNumberFormat="1" applyFont="1" applyProtection="1">
      <protection hidden="1"/>
    </xf>
    <xf numFmtId="3" fontId="1" fillId="0" borderId="28" xfId="0" applyNumberFormat="1" applyFont="1" applyBorder="1" applyAlignment="1" applyProtection="1">
      <alignment wrapText="1"/>
      <protection hidden="1"/>
    </xf>
    <xf numFmtId="3" fontId="3" fillId="0" borderId="2" xfId="0" applyNumberFormat="1" applyFont="1" applyBorder="1" applyAlignment="1" applyProtection="1">
      <alignment wrapText="1"/>
      <protection hidden="1"/>
    </xf>
    <xf numFmtId="3" fontId="3" fillId="0" borderId="28" xfId="0" applyNumberFormat="1" applyFont="1" applyBorder="1" applyAlignment="1" applyProtection="1">
      <alignment wrapText="1"/>
      <protection hidden="1"/>
    </xf>
    <xf numFmtId="0" fontId="3" fillId="8" borderId="0" xfId="0" applyFont="1" applyFill="1" applyAlignment="1" applyProtection="1">
      <alignment wrapText="1"/>
      <protection hidden="1"/>
    </xf>
    <xf numFmtId="0" fontId="1" fillId="8" borderId="0" xfId="0" applyFont="1" applyFill="1" applyProtection="1">
      <protection hidden="1"/>
    </xf>
    <xf numFmtId="0" fontId="3" fillId="0" borderId="0" xfId="0" applyFont="1" applyAlignment="1" applyProtection="1">
      <alignment horizontal="center" vertical="center" wrapText="1"/>
      <protection hidden="1"/>
    </xf>
    <xf numFmtId="3" fontId="15" fillId="0" borderId="0" xfId="0" applyNumberFormat="1" applyFont="1" applyAlignment="1" applyProtection="1">
      <alignment wrapText="1"/>
      <protection hidden="1"/>
    </xf>
    <xf numFmtId="0" fontId="3" fillId="0" borderId="22" xfId="0" applyFont="1" applyBorder="1" applyAlignment="1" applyProtection="1">
      <alignment horizontal="left" vertical="center"/>
      <protection hidden="1"/>
    </xf>
    <xf numFmtId="0" fontId="1" fillId="0" borderId="35" xfId="0" applyFont="1" applyBorder="1" applyProtection="1">
      <protection hidden="1"/>
    </xf>
    <xf numFmtId="0" fontId="1" fillId="0" borderId="27" xfId="0" applyFont="1" applyBorder="1" applyProtection="1">
      <protection hidden="1"/>
    </xf>
    <xf numFmtId="0" fontId="1" fillId="0" borderId="19" xfId="0" applyFont="1" applyBorder="1" applyAlignment="1" applyProtection="1">
      <alignment wrapText="1"/>
      <protection hidden="1"/>
    </xf>
    <xf numFmtId="0" fontId="1" fillId="0" borderId="8" xfId="0" applyFont="1" applyBorder="1" applyAlignment="1" applyProtection="1">
      <alignment wrapText="1"/>
      <protection hidden="1"/>
    </xf>
    <xf numFmtId="0" fontId="3" fillId="6" borderId="1" xfId="0" applyFont="1" applyFill="1" applyBorder="1" applyAlignment="1" applyProtection="1">
      <alignment horizontal="center" vertical="center" wrapText="1"/>
      <protection hidden="1"/>
    </xf>
    <xf numFmtId="0" fontId="1" fillId="0" borderId="1" xfId="0" applyFont="1" applyBorder="1" applyAlignment="1" applyProtection="1">
      <alignment wrapText="1"/>
      <protection hidden="1"/>
    </xf>
    <xf numFmtId="3" fontId="17" fillId="0" borderId="0" xfId="0" applyNumberFormat="1" applyFont="1" applyAlignment="1" applyProtection="1">
      <alignment wrapText="1"/>
      <protection hidden="1"/>
    </xf>
    <xf numFmtId="3" fontId="16" fillId="0" borderId="0" xfId="0" applyNumberFormat="1" applyFont="1" applyAlignment="1" applyProtection="1">
      <alignment wrapText="1"/>
      <protection hidden="1"/>
    </xf>
    <xf numFmtId="0" fontId="1" fillId="0" borderId="0" xfId="0" quotePrefix="1" applyFont="1" applyProtection="1">
      <protection hidden="1"/>
    </xf>
    <xf numFmtId="9" fontId="1" fillId="0" borderId="0" xfId="0" quotePrefix="1" applyNumberFormat="1" applyFont="1" applyAlignment="1" applyProtection="1">
      <alignment wrapText="1"/>
      <protection hidden="1"/>
    </xf>
    <xf numFmtId="3" fontId="1" fillId="0" borderId="1" xfId="0" applyNumberFormat="1" applyFont="1" applyBorder="1" applyAlignment="1" applyProtection="1">
      <alignment horizontal="right" wrapText="1"/>
      <protection hidden="1"/>
    </xf>
    <xf numFmtId="3" fontId="18" fillId="0" borderId="0" xfId="0" applyNumberFormat="1" applyFont="1" applyAlignment="1" applyProtection="1">
      <alignment wrapText="1"/>
      <protection hidden="1"/>
    </xf>
    <xf numFmtId="0" fontId="18" fillId="0" borderId="0" xfId="0" applyFont="1" applyAlignment="1" applyProtection="1">
      <alignment wrapText="1"/>
      <protection hidden="1"/>
    </xf>
    <xf numFmtId="0" fontId="16" fillId="0" borderId="0" xfId="0" applyFont="1" applyAlignment="1" applyProtection="1">
      <alignment horizontal="center" vertical="center" wrapText="1"/>
      <protection hidden="1"/>
    </xf>
    <xf numFmtId="0" fontId="1" fillId="0" borderId="0" xfId="0" applyFont="1" applyAlignment="1" applyProtection="1">
      <alignment horizontal="left"/>
      <protection hidden="1"/>
    </xf>
    <xf numFmtId="0" fontId="1" fillId="0" borderId="51" xfId="0" applyFont="1" applyBorder="1" applyAlignment="1" applyProtection="1">
      <alignment wrapText="1"/>
      <protection hidden="1"/>
    </xf>
    <xf numFmtId="0" fontId="1" fillId="11" borderId="0" xfId="0" applyFont="1" applyFill="1" applyProtection="1">
      <protection hidden="1"/>
    </xf>
    <xf numFmtId="0" fontId="3" fillId="11" borderId="0" xfId="0" applyFont="1" applyFill="1" applyProtection="1">
      <protection hidden="1"/>
    </xf>
    <xf numFmtId="3" fontId="25" fillId="0" borderId="0" xfId="0" applyNumberFormat="1" applyFont="1" applyAlignment="1" applyProtection="1">
      <alignment wrapText="1"/>
      <protection hidden="1"/>
    </xf>
    <xf numFmtId="0" fontId="27" fillId="0" borderId="0" xfId="0" applyFont="1" applyProtection="1">
      <protection hidden="1"/>
    </xf>
    <xf numFmtId="0" fontId="2" fillId="0" borderId="2" xfId="0" applyFont="1" applyBorder="1" applyAlignment="1" applyProtection="1">
      <alignment horizontal="left" vertical="center" wrapText="1"/>
      <protection hidden="1"/>
    </xf>
    <xf numFmtId="164" fontId="1" fillId="0" borderId="1" xfId="0" applyNumberFormat="1" applyFont="1" applyBorder="1" applyAlignment="1" applyProtection="1">
      <alignment horizontal="right" wrapText="1"/>
      <protection hidden="1"/>
    </xf>
    <xf numFmtId="9" fontId="1" fillId="0" borderId="0" xfId="0" applyNumberFormat="1" applyFont="1" applyProtection="1">
      <protection hidden="1"/>
    </xf>
    <xf numFmtId="0" fontId="3" fillId="12" borderId="67" xfId="0" applyFont="1" applyFill="1" applyBorder="1" applyAlignment="1" applyProtection="1">
      <alignment horizontal="center" vertical="center" wrapText="1"/>
      <protection hidden="1"/>
    </xf>
    <xf numFmtId="0" fontId="3" fillId="12" borderId="69" xfId="0" applyFont="1" applyFill="1" applyBorder="1" applyAlignment="1" applyProtection="1">
      <alignment horizontal="center" vertical="center" wrapText="1"/>
      <protection hidden="1"/>
    </xf>
    <xf numFmtId="0" fontId="13" fillId="14" borderId="66" xfId="0" applyFont="1" applyFill="1" applyBorder="1" applyAlignment="1" applyProtection="1">
      <alignment horizontal="center" wrapText="1"/>
      <protection locked="0" hidden="1"/>
    </xf>
    <xf numFmtId="0" fontId="1" fillId="0" borderId="66" xfId="0" applyFont="1" applyBorder="1" applyAlignment="1" applyProtection="1">
      <alignment wrapText="1"/>
      <protection hidden="1"/>
    </xf>
    <xf numFmtId="0" fontId="0" fillId="0" borderId="70" xfId="0" applyBorder="1" applyAlignment="1" applyProtection="1">
      <alignment horizontal="left" vertical="center" wrapText="1"/>
      <protection hidden="1"/>
    </xf>
    <xf numFmtId="0" fontId="1" fillId="0" borderId="81" xfId="0" applyFont="1" applyBorder="1" applyAlignment="1" applyProtection="1">
      <alignment wrapText="1"/>
      <protection hidden="1"/>
    </xf>
    <xf numFmtId="0" fontId="3" fillId="0" borderId="84" xfId="0" applyFont="1" applyBorder="1" applyAlignment="1" applyProtection="1">
      <alignment horizontal="center" vertical="center" wrapText="1"/>
      <protection hidden="1"/>
    </xf>
    <xf numFmtId="0" fontId="38" fillId="0" borderId="0" xfId="0" applyFont="1" applyProtection="1">
      <protection hidden="1"/>
    </xf>
    <xf numFmtId="0" fontId="39" fillId="0" borderId="2" xfId="0" applyFont="1" applyBorder="1" applyAlignment="1" applyProtection="1">
      <alignment wrapText="1"/>
      <protection hidden="1"/>
    </xf>
    <xf numFmtId="0" fontId="42" fillId="0" borderId="0" xfId="0" applyFont="1" applyProtection="1">
      <protection hidden="1"/>
    </xf>
    <xf numFmtId="0" fontId="40" fillId="0" borderId="2" xfId="0" applyFont="1" applyBorder="1" applyAlignment="1" applyProtection="1">
      <alignment wrapText="1"/>
      <protection hidden="1"/>
    </xf>
    <xf numFmtId="0" fontId="3" fillId="0" borderId="85" xfId="0" applyFont="1" applyBorder="1" applyAlignment="1" applyProtection="1">
      <alignment horizontal="center" vertical="center" wrapText="1"/>
      <protection hidden="1"/>
    </xf>
    <xf numFmtId="0" fontId="3" fillId="0" borderId="2" xfId="0" applyFont="1" applyBorder="1" applyAlignment="1" applyProtection="1">
      <alignment wrapText="1"/>
      <protection hidden="1"/>
    </xf>
    <xf numFmtId="0" fontId="3" fillId="0" borderId="50" xfId="0" applyFont="1" applyBorder="1" applyAlignment="1" applyProtection="1">
      <alignment wrapText="1"/>
      <protection hidden="1"/>
    </xf>
    <xf numFmtId="0" fontId="6" fillId="0" borderId="51" xfId="0" applyFont="1" applyBorder="1" applyAlignment="1" applyProtection="1">
      <alignment wrapText="1"/>
      <protection hidden="1"/>
    </xf>
    <xf numFmtId="0" fontId="6" fillId="0" borderId="2" xfId="0" applyFont="1" applyBorder="1" applyAlignment="1" applyProtection="1">
      <alignment wrapText="1"/>
      <protection hidden="1"/>
    </xf>
    <xf numFmtId="9" fontId="19" fillId="0" borderId="79" xfId="0" applyNumberFormat="1" applyFont="1" applyBorder="1" applyAlignment="1" applyProtection="1">
      <alignment horizontal="center" vertical="center" wrapText="1"/>
      <protection hidden="1"/>
    </xf>
    <xf numFmtId="0" fontId="3" fillId="0" borderId="36" xfId="0" applyFont="1" applyBorder="1"/>
    <xf numFmtId="0" fontId="3" fillId="0" borderId="0" xfId="0" applyFont="1"/>
    <xf numFmtId="0" fontId="3" fillId="0" borderId="0" xfId="0" applyFont="1" applyAlignment="1">
      <alignment wrapText="1"/>
    </xf>
    <xf numFmtId="3" fontId="20" fillId="7" borderId="1" xfId="0" applyNumberFormat="1" applyFont="1" applyFill="1" applyBorder="1"/>
    <xf numFmtId="3" fontId="56" fillId="7" borderId="1" xfId="0" applyNumberFormat="1" applyFont="1" applyFill="1" applyBorder="1"/>
    <xf numFmtId="3" fontId="19" fillId="0" borderId="1" xfId="0" applyNumberFormat="1" applyFont="1" applyBorder="1"/>
    <xf numFmtId="3" fontId="52" fillId="0" borderId="1" xfId="0" applyNumberFormat="1" applyFont="1" applyBorder="1"/>
    <xf numFmtId="3" fontId="20" fillId="7" borderId="1" xfId="0" applyNumberFormat="1" applyFont="1" applyFill="1" applyBorder="1" applyAlignment="1">
      <alignment wrapText="1"/>
    </xf>
    <xf numFmtId="3" fontId="20" fillId="7" borderId="0" xfId="0" applyNumberFormat="1" applyFont="1" applyFill="1"/>
    <xf numFmtId="0" fontId="56" fillId="7" borderId="0" xfId="0" applyFont="1" applyFill="1" applyAlignment="1">
      <alignment horizontal="center" vertical="center"/>
    </xf>
    <xf numFmtId="3" fontId="56" fillId="7" borderId="0" xfId="0" applyNumberFormat="1" applyFont="1" applyFill="1"/>
    <xf numFmtId="164" fontId="20" fillId="7" borderId="1" xfId="0" applyNumberFormat="1" applyFont="1" applyFill="1" applyBorder="1"/>
    <xf numFmtId="3" fontId="56" fillId="0" borderId="0" xfId="0" applyNumberFormat="1" applyFont="1"/>
    <xf numFmtId="0" fontId="19" fillId="0" borderId="36" xfId="0" applyFont="1" applyBorder="1"/>
    <xf numFmtId="164" fontId="19" fillId="0" borderId="1" xfId="0" applyNumberFormat="1" applyFont="1" applyBorder="1"/>
    <xf numFmtId="3" fontId="12" fillId="0" borderId="1" xfId="0" applyNumberFormat="1" applyFont="1" applyBorder="1" applyProtection="1">
      <protection hidden="1"/>
    </xf>
    <xf numFmtId="3" fontId="19" fillId="0" borderId="0" xfId="0" applyNumberFormat="1" applyFont="1"/>
    <xf numFmtId="3" fontId="53" fillId="0" borderId="1" xfId="0" applyNumberFormat="1" applyFont="1" applyBorder="1"/>
    <xf numFmtId="0" fontId="52" fillId="6" borderId="1" xfId="0" applyFont="1" applyFill="1" applyBorder="1" applyAlignment="1">
      <alignment horizontal="center" vertical="center"/>
    </xf>
    <xf numFmtId="0" fontId="52" fillId="7" borderId="0" xfId="0" applyFont="1" applyFill="1" applyAlignment="1">
      <alignment horizontal="center" vertical="center"/>
    </xf>
    <xf numFmtId="0" fontId="19" fillId="0" borderId="0" xfId="0" applyFont="1"/>
    <xf numFmtId="3" fontId="57" fillId="0" borderId="0" xfId="0" applyNumberFormat="1" applyFont="1"/>
    <xf numFmtId="3" fontId="58" fillId="0" borderId="1" xfId="0" applyNumberFormat="1" applyFont="1" applyBorder="1"/>
    <xf numFmtId="0" fontId="16" fillId="0" borderId="0" xfId="0" applyFont="1" applyAlignment="1" applyProtection="1">
      <alignment wrapText="1"/>
      <protection hidden="1"/>
    </xf>
    <xf numFmtId="3" fontId="59" fillId="0" borderId="0" xfId="0" applyNumberFormat="1" applyFont="1" applyAlignment="1" applyProtection="1">
      <alignment wrapText="1"/>
      <protection hidden="1"/>
    </xf>
    <xf numFmtId="0" fontId="52" fillId="0" borderId="1" xfId="0" applyFont="1" applyBorder="1" applyAlignment="1">
      <alignment horizontal="center" vertical="center"/>
    </xf>
    <xf numFmtId="0" fontId="19" fillId="0" borderId="1" xfId="0" applyFont="1" applyBorder="1"/>
    <xf numFmtId="0" fontId="52" fillId="0" borderId="1" xfId="0" applyFont="1" applyBorder="1"/>
    <xf numFmtId="0" fontId="55" fillId="0" borderId="1" xfId="0" applyFont="1" applyBorder="1"/>
    <xf numFmtId="3" fontId="55" fillId="0" borderId="1" xfId="0" applyNumberFormat="1" applyFont="1" applyBorder="1"/>
    <xf numFmtId="0" fontId="1" fillId="0" borderId="0" xfId="0" applyFont="1" applyProtection="1">
      <protection locked="0"/>
    </xf>
    <xf numFmtId="0" fontId="39" fillId="4" borderId="20" xfId="0" applyFont="1" applyFill="1" applyBorder="1" applyAlignment="1" applyProtection="1">
      <alignment horizontal="center" vertical="center" wrapText="1"/>
      <protection locked="0"/>
    </xf>
    <xf numFmtId="0" fontId="45" fillId="0" borderId="21" xfId="0" applyFont="1" applyBorder="1" applyAlignment="1" applyProtection="1">
      <alignment wrapText="1"/>
      <protection locked="0"/>
    </xf>
    <xf numFmtId="3" fontId="56" fillId="7" borderId="43" xfId="0" applyNumberFormat="1" applyFont="1" applyFill="1" applyBorder="1"/>
    <xf numFmtId="3" fontId="20" fillId="7" borderId="43" xfId="0" applyNumberFormat="1" applyFont="1" applyFill="1" applyBorder="1"/>
    <xf numFmtId="3" fontId="52" fillId="0" borderId="43" xfId="0" applyNumberFormat="1" applyFont="1" applyBorder="1"/>
    <xf numFmtId="0" fontId="19" fillId="0" borderId="43" xfId="0" applyFont="1" applyBorder="1"/>
    <xf numFmtId="3" fontId="19" fillId="0" borderId="43" xfId="0" applyNumberFormat="1" applyFont="1" applyBorder="1"/>
    <xf numFmtId="0" fontId="52" fillId="0" borderId="43" xfId="0" applyFont="1" applyBorder="1"/>
    <xf numFmtId="0" fontId="55" fillId="0" borderId="43" xfId="0" applyFont="1" applyBorder="1"/>
    <xf numFmtId="3" fontId="55" fillId="0" borderId="43" xfId="0" applyNumberFormat="1" applyFont="1" applyBorder="1"/>
    <xf numFmtId="0" fontId="39" fillId="4" borderId="33" xfId="0" applyFont="1" applyFill="1" applyBorder="1" applyAlignment="1">
      <alignment vertical="center" wrapText="1"/>
    </xf>
    <xf numFmtId="3" fontId="40" fillId="0" borderId="34" xfId="0" applyNumberFormat="1" applyFont="1" applyBorder="1" applyAlignment="1">
      <alignment vertical="center" wrapText="1"/>
    </xf>
    <xf numFmtId="3" fontId="14" fillId="0" borderId="33" xfId="0" applyNumberFormat="1" applyFont="1" applyBorder="1" applyAlignment="1">
      <alignment wrapText="1"/>
    </xf>
    <xf numFmtId="0" fontId="20" fillId="7" borderId="34" xfId="0" applyFont="1" applyFill="1" applyBorder="1" applyProtection="1">
      <protection locked="0"/>
    </xf>
    <xf numFmtId="3" fontId="6" fillId="0" borderId="33" xfId="0" applyNumberFormat="1" applyFont="1" applyBorder="1" applyAlignment="1">
      <alignment wrapText="1"/>
    </xf>
    <xf numFmtId="3" fontId="6" fillId="0" borderId="46" xfId="0" applyNumberFormat="1" applyFont="1" applyBorder="1" applyAlignment="1">
      <alignment wrapText="1"/>
    </xf>
    <xf numFmtId="3" fontId="6" fillId="0" borderId="48" xfId="0" applyNumberFormat="1" applyFont="1" applyBorder="1" applyAlignment="1">
      <alignment wrapText="1"/>
    </xf>
    <xf numFmtId="3" fontId="6" fillId="0" borderId="69" xfId="0" applyNumberFormat="1" applyFont="1" applyBorder="1" applyAlignment="1">
      <alignment wrapText="1"/>
    </xf>
    <xf numFmtId="3" fontId="6" fillId="0" borderId="80" xfId="0" applyNumberFormat="1" applyFont="1" applyBorder="1" applyAlignment="1">
      <alignment wrapText="1"/>
    </xf>
    <xf numFmtId="3" fontId="6" fillId="0" borderId="70" xfId="0" applyNumberFormat="1" applyFont="1" applyBorder="1" applyAlignment="1">
      <alignment wrapText="1"/>
    </xf>
    <xf numFmtId="3" fontId="6" fillId="0" borderId="33" xfId="0" applyNumberFormat="1" applyFont="1" applyBorder="1" applyAlignment="1">
      <alignment vertical="center" wrapText="1"/>
    </xf>
    <xf numFmtId="3" fontId="40" fillId="0" borderId="39" xfId="0" applyNumberFormat="1" applyFont="1" applyBorder="1" applyAlignment="1">
      <alignment vertical="center" wrapText="1"/>
    </xf>
    <xf numFmtId="3" fontId="40" fillId="0" borderId="39" xfId="0" applyNumberFormat="1" applyFont="1" applyBorder="1" applyAlignment="1">
      <alignment horizontal="left" vertical="center" wrapText="1"/>
    </xf>
    <xf numFmtId="0" fontId="3" fillId="12" borderId="33" xfId="0" applyFont="1" applyFill="1" applyBorder="1" applyAlignment="1" applyProtection="1">
      <alignment horizontal="center" vertical="center" wrapText="1"/>
      <protection locked="0"/>
    </xf>
    <xf numFmtId="0" fontId="3" fillId="12" borderId="39" xfId="0" applyFont="1" applyFill="1" applyBorder="1" applyAlignment="1" applyProtection="1">
      <alignment horizontal="center" vertical="center" wrapText="1"/>
      <protection locked="0"/>
    </xf>
    <xf numFmtId="0" fontId="3" fillId="12" borderId="34" xfId="0" applyFont="1" applyFill="1" applyBorder="1" applyAlignment="1" applyProtection="1">
      <alignment horizontal="center" vertical="center" wrapText="1"/>
      <protection locked="0"/>
    </xf>
    <xf numFmtId="0" fontId="3" fillId="12" borderId="34" xfId="0" applyFont="1" applyFill="1" applyBorder="1" applyAlignment="1">
      <alignment horizontal="center" vertical="center" wrapText="1"/>
    </xf>
    <xf numFmtId="0" fontId="3" fillId="12" borderId="42" xfId="0" applyFont="1" applyFill="1" applyBorder="1" applyAlignment="1">
      <alignment horizontal="center" vertical="center" wrapText="1"/>
    </xf>
    <xf numFmtId="0" fontId="3" fillId="12" borderId="40" xfId="0" applyFont="1" applyFill="1" applyBorder="1" applyAlignment="1">
      <alignment horizontal="center" vertical="center" wrapText="1"/>
    </xf>
    <xf numFmtId="0" fontId="3" fillId="12" borderId="41" xfId="0" applyFont="1" applyFill="1" applyBorder="1" applyAlignment="1">
      <alignment horizontal="center" vertical="center" wrapText="1"/>
    </xf>
    <xf numFmtId="0" fontId="3" fillId="0" borderId="33" xfId="0" applyFont="1" applyBorder="1" applyAlignment="1">
      <alignment wrapText="1"/>
    </xf>
    <xf numFmtId="0" fontId="3" fillId="0" borderId="3" xfId="0" applyFont="1" applyBorder="1"/>
    <xf numFmtId="0" fontId="20" fillId="7" borderId="5" xfId="0" applyFont="1" applyFill="1" applyBorder="1" applyProtection="1">
      <protection locked="0"/>
    </xf>
    <xf numFmtId="0" fontId="3" fillId="0" borderId="11" xfId="0" applyFont="1" applyBorder="1"/>
    <xf numFmtId="0" fontId="20" fillId="7" borderId="12" xfId="0" applyFont="1" applyFill="1" applyBorder="1" applyProtection="1">
      <protection locked="0"/>
    </xf>
    <xf numFmtId="0" fontId="3" fillId="0" borderId="6" xfId="0" applyFont="1" applyBorder="1"/>
    <xf numFmtId="3" fontId="20" fillId="7" borderId="5" xfId="0" applyNumberFormat="1" applyFont="1" applyFill="1" applyBorder="1" applyProtection="1">
      <protection locked="0"/>
    </xf>
    <xf numFmtId="10" fontId="20" fillId="7" borderId="5" xfId="0" applyNumberFormat="1" applyFont="1" applyFill="1" applyBorder="1" applyProtection="1">
      <protection locked="0"/>
    </xf>
    <xf numFmtId="0" fontId="3" fillId="0" borderId="55" xfId="0" applyFont="1" applyBorder="1"/>
    <xf numFmtId="10" fontId="20" fillId="7" borderId="56" xfId="0" applyNumberFormat="1" applyFont="1" applyFill="1" applyBorder="1" applyProtection="1">
      <protection locked="0"/>
    </xf>
    <xf numFmtId="164" fontId="19" fillId="0" borderId="8" xfId="0" applyNumberFormat="1" applyFont="1" applyBorder="1"/>
    <xf numFmtId="0" fontId="3" fillId="0" borderId="2" xfId="0" applyFont="1" applyBorder="1" applyAlignment="1">
      <alignment horizontal="left" vertical="center" wrapText="1"/>
    </xf>
    <xf numFmtId="0" fontId="28" fillId="0" borderId="0" xfId="0" applyFont="1"/>
    <xf numFmtId="0" fontId="28" fillId="16" borderId="0" xfId="0" applyFont="1" applyFill="1" applyAlignment="1">
      <alignment horizontal="center" vertical="center" wrapText="1"/>
    </xf>
    <xf numFmtId="0" fontId="30" fillId="0" borderId="0" xfId="0" applyFont="1" applyAlignment="1">
      <alignment horizontal="left" vertical="center" wrapText="1" indent="5"/>
    </xf>
    <xf numFmtId="0" fontId="34" fillId="0" borderId="0" xfId="0" applyFont="1" applyAlignment="1">
      <alignment horizontal="left" vertical="center" wrapText="1" indent="19"/>
    </xf>
    <xf numFmtId="0" fontId="30" fillId="0" borderId="0" xfId="0" applyFont="1" applyAlignment="1">
      <alignment horizontal="left" vertical="center" wrapText="1" indent="7"/>
    </xf>
    <xf numFmtId="0" fontId="34" fillId="0" borderId="0" xfId="0" applyFont="1" applyAlignment="1">
      <alignment horizontal="left" vertical="center" wrapText="1" indent="9"/>
    </xf>
    <xf numFmtId="0" fontId="30" fillId="0" borderId="0" xfId="0" applyFont="1" applyAlignment="1">
      <alignment horizontal="left" vertical="center" wrapText="1" indent="20"/>
    </xf>
    <xf numFmtId="0" fontId="34" fillId="0" borderId="0" xfId="0" applyFont="1" applyAlignment="1">
      <alignment horizontal="right" vertical="center" wrapText="1"/>
    </xf>
    <xf numFmtId="0" fontId="30" fillId="0" borderId="0" xfId="0" applyFont="1" applyAlignment="1">
      <alignment horizontal="left" vertical="center" wrapText="1" indent="9"/>
    </xf>
    <xf numFmtId="0" fontId="33" fillId="2" borderId="59" xfId="0" applyFont="1" applyFill="1" applyBorder="1"/>
    <xf numFmtId="0" fontId="33" fillId="2" borderId="60" xfId="0" applyFont="1" applyFill="1" applyBorder="1"/>
    <xf numFmtId="0" fontId="33" fillId="2" borderId="60" xfId="0" applyFont="1" applyFill="1" applyBorder="1" applyAlignment="1">
      <alignment horizontal="center" vertical="center"/>
    </xf>
    <xf numFmtId="0" fontId="33" fillId="2" borderId="61" xfId="0" applyFont="1" applyFill="1" applyBorder="1"/>
    <xf numFmtId="0" fontId="33" fillId="15" borderId="63" xfId="0" applyFont="1" applyFill="1" applyBorder="1"/>
    <xf numFmtId="0" fontId="33" fillId="15" borderId="64" xfId="0" applyFont="1" applyFill="1" applyBorder="1"/>
    <xf numFmtId="0" fontId="33" fillId="15" borderId="64" xfId="0" applyFont="1" applyFill="1" applyBorder="1" applyAlignment="1">
      <alignment horizontal="center" vertical="center"/>
    </xf>
    <xf numFmtId="0" fontId="33" fillId="15" borderId="65" xfId="0" applyFont="1" applyFill="1" applyBorder="1"/>
    <xf numFmtId="0" fontId="30" fillId="0" borderId="0" xfId="0" applyFont="1" applyAlignment="1">
      <alignment horizontal="right" vertical="center" wrapText="1"/>
    </xf>
    <xf numFmtId="0" fontId="34" fillId="0" borderId="0" xfId="0" applyFont="1" applyAlignment="1">
      <alignment horizontal="center" vertical="center" wrapText="1"/>
    </xf>
    <xf numFmtId="0" fontId="34" fillId="0" borderId="0" xfId="0" applyFont="1" applyAlignment="1">
      <alignment horizontal="left" vertical="center" wrapText="1" indent="5"/>
    </xf>
    <xf numFmtId="0" fontId="30" fillId="0" borderId="0" xfId="0" applyFont="1" applyAlignment="1">
      <alignment wrapText="1"/>
    </xf>
    <xf numFmtId="0" fontId="30" fillId="0" borderId="0" xfId="0" applyFont="1" applyAlignment="1">
      <alignment horizontal="left" vertical="center" wrapText="1" indent="3"/>
    </xf>
    <xf numFmtId="0" fontId="30" fillId="0" borderId="0" xfId="0" applyFont="1" applyAlignment="1">
      <alignment horizontal="left" vertical="center" wrapText="1" indent="19"/>
    </xf>
    <xf numFmtId="0" fontId="29" fillId="2" borderId="58" xfId="0" applyFont="1" applyFill="1" applyBorder="1" applyAlignment="1">
      <alignment horizontal="center" vertical="center" wrapText="1"/>
    </xf>
    <xf numFmtId="0" fontId="29" fillId="0" borderId="0" xfId="0" applyFont="1"/>
    <xf numFmtId="0" fontId="29" fillId="15" borderId="62" xfId="0" applyFont="1" applyFill="1" applyBorder="1" applyAlignment="1">
      <alignment horizontal="center" vertical="center" wrapText="1"/>
    </xf>
    <xf numFmtId="0" fontId="51" fillId="0" borderId="2" xfId="0" applyFont="1" applyBorder="1" applyAlignment="1">
      <alignment wrapText="1"/>
    </xf>
    <xf numFmtId="0" fontId="37" fillId="0" borderId="0" xfId="0" applyFont="1" applyAlignment="1">
      <alignment vertical="center"/>
    </xf>
    <xf numFmtId="0" fontId="36" fillId="0" borderId="0" xfId="1" applyFont="1" applyAlignment="1" applyProtection="1">
      <alignment vertical="center"/>
    </xf>
    <xf numFmtId="0" fontId="37" fillId="0" borderId="0" xfId="0" applyFont="1"/>
    <xf numFmtId="0" fontId="50" fillId="0" borderId="0" xfId="0" applyFont="1"/>
    <xf numFmtId="0" fontId="35" fillId="16" borderId="0" xfId="0" applyFont="1" applyFill="1" applyAlignment="1">
      <alignment horizontal="center" vertical="center" wrapText="1"/>
    </xf>
    <xf numFmtId="0" fontId="29" fillId="0" borderId="58" xfId="0" applyFont="1" applyBorder="1" applyAlignment="1">
      <alignment horizontal="center" vertical="center" wrapText="1"/>
    </xf>
    <xf numFmtId="0" fontId="29" fillId="0" borderId="62" xfId="0" applyFont="1" applyBorder="1" applyAlignment="1">
      <alignment horizontal="center" vertical="center" wrapText="1"/>
    </xf>
    <xf numFmtId="0" fontId="35" fillId="0" borderId="0" xfId="0" applyFont="1"/>
    <xf numFmtId="0" fontId="41" fillId="4" borderId="2" xfId="0" applyFont="1" applyFill="1" applyBorder="1" applyAlignment="1">
      <alignment horizontal="left" vertical="center" wrapText="1"/>
    </xf>
    <xf numFmtId="0" fontId="42" fillId="0" borderId="2" xfId="0" applyFont="1" applyBorder="1" applyAlignment="1">
      <alignment vertical="center" wrapText="1"/>
    </xf>
    <xf numFmtId="0" fontId="3" fillId="0" borderId="3" xfId="0" applyFont="1" applyBorder="1" applyAlignment="1">
      <alignment wrapText="1"/>
    </xf>
    <xf numFmtId="0" fontId="3" fillId="0" borderId="4" xfId="0" applyFont="1" applyBorder="1"/>
    <xf numFmtId="0" fontId="3" fillId="0" borderId="4" xfId="0" applyFont="1" applyBorder="1" applyAlignment="1">
      <alignment wrapText="1"/>
    </xf>
    <xf numFmtId="0" fontId="3" fillId="0" borderId="5" xfId="0" applyFont="1" applyBorder="1" applyAlignment="1">
      <alignment wrapText="1"/>
    </xf>
    <xf numFmtId="0" fontId="3" fillId="0" borderId="13" xfId="0" applyFont="1" applyBorder="1" applyAlignment="1">
      <alignment wrapText="1"/>
    </xf>
    <xf numFmtId="0" fontId="3" fillId="0" borderId="23" xfId="0" applyFont="1" applyBorder="1" applyAlignment="1">
      <alignment wrapText="1"/>
    </xf>
    <xf numFmtId="0" fontId="3" fillId="0" borderId="16" xfId="0" applyFont="1" applyBorder="1" applyAlignment="1">
      <alignment wrapText="1"/>
    </xf>
    <xf numFmtId="0" fontId="3" fillId="0" borderId="28" xfId="0" applyFont="1" applyBorder="1" applyAlignment="1">
      <alignment wrapText="1"/>
    </xf>
    <xf numFmtId="0" fontId="20" fillId="7" borderId="11" xfId="0" applyFont="1" applyFill="1" applyBorder="1" applyAlignment="1" applyProtection="1">
      <alignment wrapText="1"/>
      <protection locked="0"/>
    </xf>
    <xf numFmtId="0" fontId="1" fillId="0" borderId="14" xfId="0" applyFont="1" applyBorder="1" applyAlignment="1" applyProtection="1">
      <alignment wrapText="1"/>
      <protection locked="0"/>
    </xf>
    <xf numFmtId="0" fontId="20" fillId="7" borderId="14" xfId="0" applyFont="1" applyFill="1" applyBorder="1" applyAlignment="1" applyProtection="1">
      <alignment wrapText="1"/>
      <protection locked="0"/>
    </xf>
    <xf numFmtId="0" fontId="20" fillId="7" borderId="14" xfId="0" applyFont="1" applyFill="1" applyBorder="1" applyProtection="1">
      <protection locked="0"/>
    </xf>
    <xf numFmtId="3" fontId="20" fillId="7" borderId="14" xfId="0" applyNumberFormat="1" applyFont="1" applyFill="1" applyBorder="1" applyProtection="1">
      <protection locked="0"/>
    </xf>
    <xf numFmtId="3" fontId="20" fillId="7" borderId="14" xfId="0" applyNumberFormat="1" applyFont="1" applyFill="1" applyBorder="1" applyAlignment="1" applyProtection="1">
      <alignment wrapText="1"/>
      <protection locked="0"/>
    </xf>
    <xf numFmtId="0" fontId="20" fillId="7" borderId="11" xfId="0" applyFont="1" applyFill="1" applyBorder="1" applyProtection="1">
      <protection locked="0"/>
    </xf>
    <xf numFmtId="0" fontId="20" fillId="7" borderId="6" xfId="0" applyFont="1" applyFill="1" applyBorder="1" applyProtection="1">
      <protection locked="0"/>
    </xf>
    <xf numFmtId="0" fontId="1" fillId="0" borderId="7" xfId="0" applyFont="1" applyBorder="1" applyAlignment="1" applyProtection="1">
      <alignment wrapText="1"/>
      <protection locked="0"/>
    </xf>
    <xf numFmtId="0" fontId="1" fillId="0" borderId="15" xfId="0" applyFont="1" applyBorder="1" applyAlignment="1" applyProtection="1">
      <alignment wrapText="1"/>
      <protection locked="0"/>
    </xf>
    <xf numFmtId="0" fontId="20" fillId="7" borderId="15" xfId="0" applyFont="1" applyFill="1" applyBorder="1" applyAlignment="1" applyProtection="1">
      <alignment wrapText="1"/>
      <protection locked="0"/>
    </xf>
    <xf numFmtId="0" fontId="20" fillId="7" borderId="15" xfId="0" applyFont="1" applyFill="1" applyBorder="1" applyProtection="1">
      <protection locked="0"/>
    </xf>
    <xf numFmtId="3" fontId="20" fillId="7" borderId="15" xfId="0" applyNumberFormat="1" applyFont="1" applyFill="1" applyBorder="1" applyProtection="1">
      <protection locked="0"/>
    </xf>
    <xf numFmtId="9" fontId="20" fillId="7" borderId="14" xfId="0" applyNumberFormat="1" applyFont="1" applyFill="1" applyBorder="1" applyAlignment="1" applyProtection="1">
      <alignment wrapText="1"/>
      <protection locked="0"/>
    </xf>
    <xf numFmtId="9" fontId="20" fillId="7" borderId="1" xfId="0" applyNumberFormat="1" applyFont="1" applyFill="1" applyBorder="1" applyAlignment="1" applyProtection="1">
      <alignment wrapText="1"/>
      <protection locked="0"/>
    </xf>
    <xf numFmtId="9" fontId="20" fillId="7" borderId="10" xfId="0" applyNumberFormat="1" applyFont="1" applyFill="1" applyBorder="1" applyProtection="1">
      <protection locked="0"/>
    </xf>
    <xf numFmtId="9" fontId="20" fillId="7" borderId="6" xfId="0" applyNumberFormat="1" applyFont="1" applyFill="1" applyBorder="1" applyAlignment="1" applyProtection="1">
      <alignment wrapText="1"/>
      <protection locked="0"/>
    </xf>
    <xf numFmtId="9" fontId="20" fillId="7" borderId="7" xfId="0" applyNumberFormat="1" applyFont="1" applyFill="1" applyBorder="1" applyAlignment="1" applyProtection="1">
      <alignment wrapText="1"/>
      <protection locked="0"/>
    </xf>
    <xf numFmtId="9" fontId="20" fillId="7" borderId="32" xfId="0" applyNumberFormat="1" applyFont="1" applyFill="1" applyBorder="1" applyProtection="1">
      <protection locked="0"/>
    </xf>
    <xf numFmtId="3" fontId="15" fillId="0" borderId="0" xfId="0" applyNumberFormat="1" applyFont="1" applyProtection="1">
      <protection hidden="1"/>
    </xf>
    <xf numFmtId="0" fontId="43" fillId="4" borderId="2" xfId="0" applyFont="1" applyFill="1" applyBorder="1" applyAlignment="1">
      <alignment horizontal="left" vertical="center" wrapText="1"/>
    </xf>
    <xf numFmtId="0" fontId="44" fillId="0" borderId="2" xfId="0" applyFont="1" applyBorder="1" applyAlignment="1">
      <alignment horizontal="left" vertical="center" wrapText="1"/>
    </xf>
    <xf numFmtId="0" fontId="18" fillId="17"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3" fontId="6" fillId="0" borderId="1" xfId="0" applyNumberFormat="1" applyFont="1" applyBorder="1" applyAlignment="1">
      <alignment horizontal="left" vertical="center" wrapText="1"/>
    </xf>
    <xf numFmtId="0" fontId="7" fillId="3" borderId="1" xfId="0" applyFont="1" applyFill="1" applyBorder="1" applyAlignment="1">
      <alignment horizontal="center" vertical="center" wrapText="1"/>
    </xf>
    <xf numFmtId="3" fontId="15" fillId="0" borderId="0" xfId="0" applyNumberFormat="1" applyFont="1" applyAlignment="1" applyProtection="1">
      <alignment horizontal="right"/>
      <protection locked="0"/>
    </xf>
    <xf numFmtId="0" fontId="10" fillId="0" borderId="1" xfId="0" applyFont="1" applyBorder="1" applyAlignment="1">
      <alignment horizontal="left" vertical="center" wrapText="1"/>
    </xf>
    <xf numFmtId="0" fontId="12" fillId="0" borderId="1" xfId="0" applyFont="1" applyBorder="1" applyAlignment="1">
      <alignment horizontal="left" vertical="center" wrapText="1"/>
    </xf>
    <xf numFmtId="3" fontId="15" fillId="0" borderId="0" xfId="0" applyNumberFormat="1" applyFont="1" applyProtection="1">
      <protection locked="0"/>
    </xf>
    <xf numFmtId="0" fontId="3" fillId="0" borderId="6" xfId="0" applyFont="1" applyBorder="1" applyAlignment="1">
      <alignment wrapText="1"/>
    </xf>
    <xf numFmtId="0" fontId="3" fillId="0" borderId="44" xfId="0" applyFont="1" applyBorder="1" applyAlignment="1">
      <alignment horizontal="center" vertical="center" wrapText="1"/>
    </xf>
    <xf numFmtId="0" fontId="3" fillId="0" borderId="22" xfId="0" applyFont="1" applyBorder="1" applyAlignment="1">
      <alignment horizontal="left" vertical="center"/>
    </xf>
    <xf numFmtId="0" fontId="22" fillId="0" borderId="1" xfId="0" applyFont="1" applyBorder="1" applyAlignment="1">
      <alignment wrapText="1"/>
    </xf>
    <xf numFmtId="3" fontId="15" fillId="0" borderId="0" xfId="0" applyNumberFormat="1" applyFont="1" applyAlignment="1" applyProtection="1">
      <alignment wrapText="1"/>
      <protection locked="0"/>
    </xf>
    <xf numFmtId="0" fontId="3" fillId="12" borderId="68" xfId="0" applyFont="1" applyFill="1" applyBorder="1" applyAlignment="1">
      <alignment horizontal="center" vertical="center" wrapText="1"/>
    </xf>
    <xf numFmtId="0" fontId="3" fillId="12" borderId="78" xfId="0" applyFont="1" applyFill="1" applyBorder="1" applyAlignment="1">
      <alignment horizontal="center" vertical="center" wrapText="1"/>
    </xf>
    <xf numFmtId="0" fontId="3" fillId="0" borderId="22" xfId="0" applyFont="1" applyBorder="1" applyAlignment="1">
      <alignment vertical="center" wrapText="1"/>
    </xf>
    <xf numFmtId="9" fontId="20" fillId="7" borderId="73" xfId="0" applyNumberFormat="1" applyFont="1" applyFill="1" applyBorder="1" applyAlignment="1" applyProtection="1">
      <alignment horizontal="right" vertical="center" wrapText="1"/>
      <protection locked="0"/>
    </xf>
    <xf numFmtId="0" fontId="41" fillId="4" borderId="82" xfId="0" applyFont="1" applyFill="1" applyBorder="1" applyAlignment="1">
      <alignment horizontal="center" vertical="center" wrapText="1"/>
    </xf>
    <xf numFmtId="0" fontId="42" fillId="0" borderId="83" xfId="0" applyFont="1" applyBorder="1" applyAlignment="1">
      <alignment wrapText="1"/>
    </xf>
    <xf numFmtId="0" fontId="14" fillId="0" borderId="1" xfId="0" applyFont="1" applyBorder="1" applyAlignment="1">
      <alignment wrapText="1"/>
    </xf>
    <xf numFmtId="3" fontId="20" fillId="7" borderId="1" xfId="0" applyNumberFormat="1" applyFont="1" applyFill="1" applyBorder="1" applyAlignment="1" applyProtection="1">
      <alignment wrapText="1"/>
      <protection locked="0"/>
    </xf>
    <xf numFmtId="0" fontId="10" fillId="0" borderId="1" xfId="0" applyFont="1" applyBorder="1" applyAlignment="1">
      <alignment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3" fontId="6" fillId="0" borderId="1" xfId="0" applyNumberFormat="1" applyFont="1" applyBorder="1" applyAlignment="1">
      <alignment wrapText="1"/>
    </xf>
    <xf numFmtId="3" fontId="14" fillId="0" borderId="1" xfId="0" applyNumberFormat="1" applyFont="1" applyBorder="1" applyAlignment="1">
      <alignment wrapText="1"/>
    </xf>
    <xf numFmtId="3" fontId="20" fillId="7" borderId="1" xfId="0" applyNumberFormat="1" applyFont="1" applyFill="1" applyBorder="1" applyAlignment="1" applyProtection="1">
      <alignment horizontal="right" wrapText="1"/>
      <protection locked="0"/>
    </xf>
    <xf numFmtId="164" fontId="20" fillId="7" borderId="1" xfId="0" applyNumberFormat="1" applyFont="1" applyFill="1" applyBorder="1" applyAlignment="1" applyProtection="1">
      <alignment horizontal="right" wrapText="1"/>
      <protection locked="0"/>
    </xf>
    <xf numFmtId="0" fontId="39" fillId="4" borderId="2" xfId="0" applyFont="1" applyFill="1" applyBorder="1" applyAlignment="1">
      <alignment horizontal="center" vertical="center" wrapText="1"/>
    </xf>
    <xf numFmtId="0" fontId="45" fillId="0" borderId="28" xfId="0" applyFont="1" applyBorder="1" applyAlignment="1">
      <alignment wrapText="1"/>
    </xf>
    <xf numFmtId="0" fontId="3" fillId="12" borderId="2" xfId="0" applyFont="1" applyFill="1" applyBorder="1" applyAlignment="1">
      <alignment horizontal="center" vertical="center" wrapText="1"/>
    </xf>
    <xf numFmtId="0" fontId="39" fillId="4" borderId="20" xfId="0" applyFont="1" applyFill="1" applyBorder="1" applyAlignment="1">
      <alignment horizontal="center" vertical="center" wrapText="1"/>
    </xf>
    <xf numFmtId="0" fontId="45" fillId="0" borderId="21" xfId="0" applyFont="1" applyBorder="1" applyAlignment="1">
      <alignment wrapText="1"/>
    </xf>
    <xf numFmtId="0" fontId="3" fillId="12" borderId="69" xfId="0" applyFont="1" applyFill="1" applyBorder="1" applyAlignment="1">
      <alignment horizontal="center" vertical="center" wrapText="1"/>
    </xf>
    <xf numFmtId="0" fontId="3" fillId="12" borderId="67" xfId="0" applyFont="1" applyFill="1" applyBorder="1" applyAlignment="1">
      <alignment horizontal="center" vertical="center" wrapText="1"/>
    </xf>
    <xf numFmtId="0" fontId="0" fillId="0" borderId="70" xfId="0" applyBorder="1" applyAlignment="1">
      <alignment horizontal="left" vertical="center" wrapText="1"/>
    </xf>
    <xf numFmtId="0" fontId="3" fillId="6" borderId="10" xfId="0" applyFont="1" applyFill="1" applyBorder="1" applyAlignment="1">
      <alignment horizontal="center" vertical="center" wrapText="1"/>
    </xf>
    <xf numFmtId="0" fontId="1" fillId="0" borderId="10" xfId="0" applyFont="1" applyBorder="1" applyAlignment="1">
      <alignment wrapText="1"/>
    </xf>
    <xf numFmtId="0" fontId="3" fillId="0" borderId="10" xfId="0" applyFont="1" applyBorder="1" applyAlignment="1">
      <alignment wrapText="1"/>
    </xf>
    <xf numFmtId="0" fontId="4" fillId="0" borderId="10" xfId="0" applyFont="1" applyBorder="1" applyAlignment="1">
      <alignment wrapText="1"/>
    </xf>
    <xf numFmtId="0" fontId="46" fillId="0" borderId="2" xfId="0" applyFont="1" applyBorder="1" applyAlignment="1">
      <alignment horizontal="left" vertical="center" wrapText="1"/>
    </xf>
    <xf numFmtId="0" fontId="1" fillId="0" borderId="1" xfId="0" applyFont="1" applyBorder="1" applyAlignment="1">
      <alignment horizontal="left" wrapText="1"/>
    </xf>
    <xf numFmtId="0" fontId="5" fillId="0" borderId="1" xfId="0" applyFont="1" applyBorder="1" applyAlignment="1">
      <alignment horizontal="left" wrapText="1" indent="1"/>
    </xf>
    <xf numFmtId="0" fontId="20" fillId="7" borderId="1" xfId="0" applyFont="1" applyFill="1" applyBorder="1" applyProtection="1">
      <protection locked="0"/>
    </xf>
    <xf numFmtId="0" fontId="2" fillId="5" borderId="0" xfId="0" applyFont="1" applyFill="1" applyAlignment="1" applyProtection="1">
      <alignment wrapText="1"/>
      <protection locked="0"/>
    </xf>
    <xf numFmtId="0" fontId="54" fillId="5" borderId="0" xfId="0" applyFont="1" applyFill="1" applyProtection="1">
      <protection locked="0"/>
    </xf>
    <xf numFmtId="0" fontId="54" fillId="0" borderId="0" xfId="0" applyFont="1" applyProtection="1">
      <protection locked="0"/>
    </xf>
    <xf numFmtId="0" fontId="54" fillId="0" borderId="43" xfId="0" applyFont="1" applyBorder="1" applyAlignment="1" applyProtection="1">
      <alignment wrapText="1"/>
      <protection locked="0"/>
    </xf>
    <xf numFmtId="3" fontId="54" fillId="0" borderId="43" xfId="0" applyNumberFormat="1" applyFont="1" applyBorder="1" applyAlignment="1" applyProtection="1">
      <alignment wrapText="1"/>
      <protection locked="0"/>
    </xf>
    <xf numFmtId="0" fontId="54" fillId="0" borderId="0" xfId="0" applyFont="1" applyAlignment="1" applyProtection="1">
      <alignment wrapText="1"/>
      <protection locked="0"/>
    </xf>
    <xf numFmtId="0" fontId="7" fillId="3" borderId="1" xfId="0" applyFont="1" applyFill="1" applyBorder="1" applyAlignment="1" applyProtection="1">
      <alignment horizontal="left" vertical="center" wrapText="1"/>
      <protection locked="0"/>
    </xf>
    <xf numFmtId="0" fontId="12" fillId="3" borderId="43" xfId="0" applyFont="1" applyFill="1" applyBorder="1" applyAlignment="1" applyProtection="1">
      <alignment horizontal="center" vertical="center" wrapText="1"/>
      <protection locked="0"/>
    </xf>
    <xf numFmtId="3" fontId="6" fillId="0" borderId="1" xfId="0" applyNumberFormat="1" applyFont="1" applyBorder="1" applyAlignment="1" applyProtection="1">
      <alignment horizontal="left" vertical="center" wrapText="1"/>
      <protection locked="0"/>
    </xf>
    <xf numFmtId="3" fontId="19" fillId="0" borderId="43" xfId="0" applyNumberFormat="1" applyFont="1" applyBorder="1" applyAlignment="1" applyProtection="1">
      <alignment horizontal="right" wrapText="1"/>
      <protection locked="0"/>
    </xf>
    <xf numFmtId="0" fontId="60" fillId="0" borderId="0" xfId="0" applyFont="1" applyProtection="1">
      <protection locked="0"/>
    </xf>
    <xf numFmtId="0" fontId="60" fillId="0" borderId="0" xfId="0" applyFont="1" applyAlignment="1" applyProtection="1">
      <alignment wrapText="1"/>
      <protection locked="0"/>
    </xf>
    <xf numFmtId="0" fontId="7" fillId="3" borderId="43" xfId="0" applyFont="1" applyFill="1" applyBorder="1" applyAlignment="1" applyProtection="1">
      <alignment horizontal="left" vertical="center" wrapText="1"/>
      <protection locked="0"/>
    </xf>
    <xf numFmtId="0" fontId="10" fillId="0" borderId="43" xfId="0" applyFont="1" applyBorder="1" applyAlignment="1" applyProtection="1">
      <alignment horizontal="left" vertical="center" wrapText="1"/>
      <protection locked="0"/>
    </xf>
    <xf numFmtId="3" fontId="19" fillId="0" borderId="43" xfId="0" applyNumberFormat="1" applyFont="1" applyBorder="1" applyAlignment="1" applyProtection="1">
      <alignment wrapText="1"/>
      <protection locked="0"/>
    </xf>
    <xf numFmtId="3" fontId="60" fillId="0" borderId="0" xfId="0" applyNumberFormat="1" applyFont="1" applyProtection="1">
      <protection locked="0"/>
    </xf>
    <xf numFmtId="0" fontId="2" fillId="0" borderId="0" xfId="0" applyFont="1" applyAlignment="1" applyProtection="1">
      <alignment wrapText="1"/>
      <protection locked="0"/>
    </xf>
    <xf numFmtId="10" fontId="2" fillId="0" borderId="43" xfId="0" applyNumberFormat="1" applyFont="1" applyBorder="1" applyAlignment="1" applyProtection="1">
      <alignment wrapText="1"/>
      <protection locked="0"/>
    </xf>
    <xf numFmtId="0" fontId="54" fillId="0" borderId="43" xfId="0" applyFont="1" applyBorder="1" applyProtection="1">
      <protection locked="0"/>
    </xf>
    <xf numFmtId="0" fontId="1" fillId="0" borderId="1" xfId="0" applyFont="1" applyBorder="1" applyProtection="1">
      <protection locked="0"/>
    </xf>
    <xf numFmtId="0" fontId="1" fillId="0" borderId="1" xfId="0" applyFont="1" applyBorder="1" applyAlignment="1" applyProtection="1">
      <alignment wrapText="1"/>
      <protection locked="0"/>
    </xf>
    <xf numFmtId="3" fontId="1" fillId="0" borderId="1" xfId="0" applyNumberFormat="1" applyFont="1" applyBorder="1" applyAlignment="1" applyProtection="1">
      <alignment wrapText="1"/>
      <protection locked="0"/>
    </xf>
    <xf numFmtId="164" fontId="1" fillId="0" borderId="1" xfId="0" applyNumberFormat="1" applyFont="1" applyBorder="1" applyAlignment="1" applyProtection="1">
      <alignment wrapText="1"/>
      <protection locked="0"/>
    </xf>
    <xf numFmtId="9" fontId="1" fillId="0" borderId="1" xfId="0" applyNumberFormat="1" applyFont="1" applyBorder="1" applyAlignment="1" applyProtection="1">
      <alignment wrapText="1"/>
      <protection locked="0"/>
    </xf>
    <xf numFmtId="0" fontId="3" fillId="0" borderId="1" xfId="0" applyFont="1" applyBorder="1" applyAlignment="1" applyProtection="1">
      <alignment wrapText="1"/>
      <protection locked="0"/>
    </xf>
    <xf numFmtId="164" fontId="3" fillId="0" borderId="1" xfId="0" applyNumberFormat="1" applyFont="1" applyBorder="1" applyAlignment="1" applyProtection="1">
      <alignment wrapText="1"/>
      <protection locked="0"/>
    </xf>
    <xf numFmtId="9" fontId="1" fillId="0" borderId="0" xfId="0" applyNumberFormat="1" applyFont="1" applyProtection="1">
      <protection locked="0"/>
    </xf>
    <xf numFmtId="0" fontId="16" fillId="0" borderId="43" xfId="0" applyFont="1" applyBorder="1" applyAlignment="1" applyProtection="1">
      <alignment horizontal="center" vertical="center" wrapText="1"/>
      <protection locked="0"/>
    </xf>
    <xf numFmtId="0" fontId="20" fillId="7" borderId="43" xfId="0" applyFont="1" applyFill="1" applyBorder="1" applyAlignment="1" applyProtection="1">
      <alignment wrapText="1"/>
      <protection locked="0"/>
    </xf>
    <xf numFmtId="3" fontId="54" fillId="0" borderId="0" xfId="0" applyNumberFormat="1" applyFont="1" applyProtection="1">
      <protection locked="0"/>
    </xf>
    <xf numFmtId="0" fontId="3" fillId="0" borderId="43" xfId="0" applyFont="1" applyBorder="1" applyAlignment="1" applyProtection="1">
      <alignment wrapText="1"/>
      <protection locked="0"/>
    </xf>
    <xf numFmtId="0" fontId="2" fillId="5" borderId="0" xfId="0" applyFont="1" applyFill="1" applyProtection="1">
      <protection locked="0"/>
    </xf>
    <xf numFmtId="0" fontId="0" fillId="0" borderId="0" xfId="0" applyProtection="1">
      <protection locked="0"/>
    </xf>
    <xf numFmtId="10" fontId="0" fillId="0" borderId="0" xfId="0" applyNumberFormat="1" applyProtection="1">
      <protection locked="0"/>
    </xf>
    <xf numFmtId="0" fontId="3" fillId="8" borderId="0" xfId="0" applyFont="1" applyFill="1" applyProtection="1">
      <protection locked="0"/>
    </xf>
    <xf numFmtId="0" fontId="1" fillId="8" borderId="0" xfId="0" applyFont="1" applyFill="1" applyProtection="1">
      <protection locked="0"/>
    </xf>
    <xf numFmtId="0" fontId="3" fillId="6" borderId="1" xfId="0" applyFont="1" applyFill="1" applyBorder="1" applyAlignment="1" applyProtection="1">
      <alignment horizontal="center" vertical="center" wrapText="1"/>
      <protection locked="0"/>
    </xf>
    <xf numFmtId="0" fontId="3" fillId="6" borderId="10"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0" fillId="0" borderId="0" xfId="0" applyAlignment="1" applyProtection="1">
      <alignment wrapText="1"/>
      <protection locked="0"/>
    </xf>
    <xf numFmtId="3" fontId="6" fillId="0" borderId="1" xfId="0" applyNumberFormat="1" applyFont="1" applyBorder="1" applyAlignment="1" applyProtection="1">
      <alignment wrapText="1"/>
      <protection locked="0"/>
    </xf>
    <xf numFmtId="3" fontId="1" fillId="0" borderId="10" xfId="0" applyNumberFormat="1" applyFont="1" applyBorder="1" applyAlignment="1" applyProtection="1">
      <alignment wrapText="1"/>
      <protection locked="0"/>
    </xf>
    <xf numFmtId="3" fontId="24" fillId="0" borderId="1" xfId="0" applyNumberFormat="1" applyFont="1" applyBorder="1" applyAlignment="1" applyProtection="1">
      <alignment horizontal="left" wrapText="1"/>
      <protection locked="0"/>
    </xf>
    <xf numFmtId="3" fontId="5" fillId="0" borderId="1" xfId="0" applyNumberFormat="1" applyFont="1" applyBorder="1" applyAlignment="1" applyProtection="1">
      <alignment wrapText="1"/>
      <protection locked="0"/>
    </xf>
    <xf numFmtId="3" fontId="5" fillId="0" borderId="10" xfId="0" applyNumberFormat="1" applyFont="1" applyBorder="1" applyAlignment="1" applyProtection="1">
      <alignment wrapText="1"/>
      <protection locked="0"/>
    </xf>
    <xf numFmtId="3" fontId="14" fillId="0" borderId="1" xfId="0" applyNumberFormat="1" applyFont="1" applyBorder="1" applyAlignment="1" applyProtection="1">
      <alignment wrapText="1"/>
      <protection locked="0"/>
    </xf>
    <xf numFmtId="3" fontId="3" fillId="0" borderId="1" xfId="0" applyNumberFormat="1" applyFont="1" applyBorder="1" applyAlignment="1" applyProtection="1">
      <alignment wrapText="1"/>
      <protection locked="0"/>
    </xf>
    <xf numFmtId="3" fontId="3" fillId="0" borderId="10" xfId="0" applyNumberFormat="1" applyFont="1" applyBorder="1" applyAlignment="1" applyProtection="1">
      <alignment wrapText="1"/>
      <protection locked="0"/>
    </xf>
    <xf numFmtId="3" fontId="16" fillId="0" borderId="0" xfId="0" applyNumberFormat="1" applyFont="1" applyAlignment="1" applyProtection="1">
      <alignment wrapText="1"/>
      <protection locked="0"/>
    </xf>
    <xf numFmtId="10" fontId="14" fillId="0" borderId="1" xfId="2" applyNumberFormat="1" applyFont="1" applyBorder="1" applyAlignment="1" applyProtection="1">
      <alignment horizontal="right" wrapText="1"/>
      <protection locked="0"/>
    </xf>
    <xf numFmtId="3" fontId="1" fillId="0" borderId="0" xfId="0" applyNumberFormat="1" applyFont="1" applyProtection="1">
      <protection locked="0"/>
    </xf>
    <xf numFmtId="3" fontId="0" fillId="0" borderId="1" xfId="0" applyNumberFormat="1" applyBorder="1" applyAlignment="1" applyProtection="1">
      <alignment wrapText="1"/>
      <protection locked="0"/>
    </xf>
    <xf numFmtId="10" fontId="0" fillId="0" borderId="1" xfId="0" applyNumberFormat="1" applyBorder="1" applyAlignment="1" applyProtection="1">
      <alignment wrapText="1"/>
      <protection locked="0"/>
    </xf>
    <xf numFmtId="3" fontId="6" fillId="0" borderId="0" xfId="0" applyNumberFormat="1" applyFont="1" applyProtection="1">
      <protection locked="0"/>
    </xf>
    <xf numFmtId="3" fontId="25" fillId="0" borderId="0" xfId="0" applyNumberFormat="1" applyFont="1" applyAlignment="1" applyProtection="1">
      <alignment wrapText="1"/>
      <protection locked="0"/>
    </xf>
    <xf numFmtId="3" fontId="14" fillId="6" borderId="2" xfId="0" applyNumberFormat="1" applyFont="1" applyFill="1" applyBorder="1" applyAlignment="1" applyProtection="1">
      <alignment wrapText="1"/>
      <protection locked="0"/>
    </xf>
    <xf numFmtId="0" fontId="2" fillId="6" borderId="33" xfId="0" applyFont="1" applyFill="1" applyBorder="1" applyAlignment="1" applyProtection="1">
      <alignment wrapText="1"/>
      <protection locked="0"/>
    </xf>
    <xf numFmtId="0" fontId="2" fillId="6" borderId="34" xfId="0" applyFont="1" applyFill="1" applyBorder="1" applyAlignment="1" applyProtection="1">
      <alignment wrapText="1"/>
      <protection locked="0"/>
    </xf>
    <xf numFmtId="9" fontId="0" fillId="0" borderId="0" xfId="0" applyNumberFormat="1" applyProtection="1">
      <protection locked="0"/>
    </xf>
    <xf numFmtId="10" fontId="25" fillId="0" borderId="0" xfId="0" applyNumberFormat="1" applyFont="1" applyAlignment="1" applyProtection="1">
      <alignment wrapText="1"/>
      <protection locked="0"/>
    </xf>
    <xf numFmtId="10" fontId="0" fillId="0" borderId="3" xfId="0" applyNumberFormat="1" applyBorder="1" applyAlignment="1" applyProtection="1">
      <alignment wrapText="1"/>
      <protection locked="0"/>
    </xf>
    <xf numFmtId="9" fontId="26" fillId="0" borderId="5" xfId="0" applyNumberFormat="1" applyFont="1" applyBorder="1" applyAlignment="1" applyProtection="1">
      <alignment wrapText="1"/>
      <protection locked="0"/>
    </xf>
    <xf numFmtId="165" fontId="25" fillId="0" borderId="0" xfId="0" applyNumberFormat="1" applyFont="1" applyAlignment="1" applyProtection="1">
      <alignment wrapText="1"/>
      <protection locked="0"/>
    </xf>
    <xf numFmtId="10" fontId="0" fillId="0" borderId="5" xfId="0" applyNumberFormat="1" applyBorder="1" applyAlignment="1" applyProtection="1">
      <alignment wrapText="1"/>
      <protection locked="0"/>
    </xf>
    <xf numFmtId="10" fontId="0" fillId="0" borderId="11" xfId="0" applyNumberFormat="1" applyBorder="1" applyAlignment="1" applyProtection="1">
      <alignment wrapText="1"/>
      <protection locked="0"/>
    </xf>
    <xf numFmtId="9" fontId="26" fillId="0" borderId="12" xfId="0" applyNumberFormat="1" applyFont="1" applyBorder="1" applyAlignment="1" applyProtection="1">
      <alignment wrapText="1"/>
      <protection locked="0"/>
    </xf>
    <xf numFmtId="10" fontId="0" fillId="0" borderId="12" xfId="0" applyNumberFormat="1" applyBorder="1" applyAlignment="1" applyProtection="1">
      <alignment wrapText="1"/>
      <protection locked="0"/>
    </xf>
    <xf numFmtId="10" fontId="0" fillId="0" borderId="6" xfId="0" applyNumberFormat="1" applyBorder="1" applyAlignment="1" applyProtection="1">
      <alignment wrapText="1"/>
      <protection locked="0"/>
    </xf>
    <xf numFmtId="9" fontId="26" fillId="0" borderId="8" xfId="0" applyNumberFormat="1" applyFont="1" applyBorder="1" applyAlignment="1" applyProtection="1">
      <alignment wrapText="1"/>
      <protection locked="0"/>
    </xf>
    <xf numFmtId="10" fontId="0" fillId="0" borderId="8" xfId="0" applyNumberFormat="1" applyBorder="1" applyAlignment="1" applyProtection="1">
      <alignment wrapText="1"/>
      <protection locked="0"/>
    </xf>
    <xf numFmtId="0" fontId="0" fillId="0" borderId="20" xfId="0" applyBorder="1" applyAlignment="1" applyProtection="1">
      <alignment wrapText="1"/>
      <protection locked="0"/>
    </xf>
    <xf numFmtId="10" fontId="0" fillId="0" borderId="3" xfId="0" applyNumberFormat="1" applyBorder="1" applyAlignment="1" applyProtection="1">
      <alignment horizontal="right" wrapText="1"/>
      <protection locked="0"/>
    </xf>
    <xf numFmtId="10" fontId="0" fillId="0" borderId="5" xfId="0" applyNumberFormat="1" applyBorder="1" applyAlignment="1" applyProtection="1">
      <alignment horizontal="right" wrapText="1"/>
      <protection locked="0"/>
    </xf>
    <xf numFmtId="0" fontId="0" fillId="0" borderId="25" xfId="0" applyBorder="1" applyAlignment="1" applyProtection="1">
      <alignment wrapText="1"/>
      <protection locked="0"/>
    </xf>
    <xf numFmtId="10" fontId="0" fillId="0" borderId="11" xfId="0" applyNumberFormat="1" applyBorder="1" applyAlignment="1" applyProtection="1">
      <alignment horizontal="right" wrapText="1"/>
      <protection locked="0"/>
    </xf>
    <xf numFmtId="10" fontId="0" fillId="0" borderId="12" xfId="0" applyNumberFormat="1" applyBorder="1" applyAlignment="1" applyProtection="1">
      <alignment horizontal="right" wrapText="1"/>
      <protection locked="0"/>
    </xf>
    <xf numFmtId="0" fontId="0" fillId="0" borderId="21" xfId="0" applyBorder="1" applyAlignment="1" applyProtection="1">
      <alignment wrapText="1"/>
      <protection locked="0"/>
    </xf>
    <xf numFmtId="10" fontId="0" fillId="0" borderId="6" xfId="0" applyNumberFormat="1" applyBorder="1" applyAlignment="1" applyProtection="1">
      <alignment horizontal="right" wrapText="1"/>
      <protection locked="0"/>
    </xf>
    <xf numFmtId="10" fontId="0" fillId="0" borderId="8" xfId="0" applyNumberFormat="1" applyBorder="1" applyAlignment="1" applyProtection="1">
      <alignment horizontal="right" wrapText="1"/>
      <protection locked="0"/>
    </xf>
    <xf numFmtId="0" fontId="16" fillId="0" borderId="0" xfId="0" applyFont="1" applyAlignment="1" applyProtection="1">
      <alignment horizontal="center" vertical="center" wrapText="1"/>
      <protection locked="0"/>
    </xf>
    <xf numFmtId="0" fontId="5" fillId="0" borderId="1" xfId="0" applyFont="1" applyBorder="1" applyAlignment="1" applyProtection="1">
      <alignment horizontal="left" wrapText="1"/>
      <protection locked="0"/>
    </xf>
    <xf numFmtId="3" fontId="17" fillId="0" borderId="0" xfId="0" applyNumberFormat="1" applyFont="1" applyAlignment="1" applyProtection="1">
      <alignment wrapText="1"/>
      <protection locked="0"/>
    </xf>
    <xf numFmtId="10" fontId="1" fillId="0" borderId="1" xfId="0" applyNumberFormat="1" applyFont="1" applyBorder="1" applyAlignment="1" applyProtection="1">
      <alignment wrapText="1"/>
      <protection locked="0"/>
    </xf>
    <xf numFmtId="4" fontId="1" fillId="0" borderId="1" xfId="0" applyNumberFormat="1" applyFont="1" applyBorder="1" applyAlignment="1" applyProtection="1">
      <alignment wrapText="1"/>
      <protection locked="0"/>
    </xf>
    <xf numFmtId="0" fontId="2" fillId="6" borderId="39" xfId="0" applyFont="1" applyFill="1" applyBorder="1" applyAlignment="1" applyProtection="1">
      <alignment wrapText="1"/>
      <protection locked="0"/>
    </xf>
    <xf numFmtId="10" fontId="26" fillId="0" borderId="3" xfId="0" applyNumberFormat="1" applyFont="1" applyBorder="1" applyAlignment="1" applyProtection="1">
      <alignment wrapText="1"/>
      <protection locked="0"/>
    </xf>
    <xf numFmtId="10" fontId="26" fillId="0" borderId="4" xfId="0" applyNumberFormat="1" applyFont="1" applyBorder="1" applyAlignment="1" applyProtection="1">
      <alignment wrapText="1"/>
      <protection locked="0"/>
    </xf>
    <xf numFmtId="10" fontId="26" fillId="0" borderId="5" xfId="0" applyNumberFormat="1" applyFont="1" applyBorder="1" applyAlignment="1" applyProtection="1">
      <alignment wrapText="1"/>
      <protection locked="0"/>
    </xf>
    <xf numFmtId="10" fontId="26" fillId="0" borderId="11" xfId="0" applyNumberFormat="1" applyFont="1" applyBorder="1" applyAlignment="1" applyProtection="1">
      <alignment wrapText="1"/>
      <protection locked="0"/>
    </xf>
    <xf numFmtId="10" fontId="26" fillId="0" borderId="1" xfId="0" applyNumberFormat="1" applyFont="1" applyBorder="1" applyAlignment="1" applyProtection="1">
      <alignment wrapText="1"/>
      <protection locked="0"/>
    </xf>
    <xf numFmtId="10" fontId="26" fillId="0" borderId="12" xfId="0" applyNumberFormat="1" applyFont="1" applyBorder="1" applyAlignment="1" applyProtection="1">
      <alignment wrapText="1"/>
      <protection locked="0"/>
    </xf>
    <xf numFmtId="10" fontId="26" fillId="0" borderId="6" xfId="0" applyNumberFormat="1" applyFont="1" applyBorder="1" applyAlignment="1" applyProtection="1">
      <alignment wrapText="1"/>
      <protection locked="0"/>
    </xf>
    <xf numFmtId="10" fontId="26" fillId="0" borderId="7" xfId="0" applyNumberFormat="1" applyFont="1" applyBorder="1" applyAlignment="1" applyProtection="1">
      <alignment wrapText="1"/>
      <protection locked="0"/>
    </xf>
    <xf numFmtId="10" fontId="26" fillId="0" borderId="8" xfId="0" applyNumberFormat="1" applyFont="1" applyBorder="1" applyAlignment="1" applyProtection="1">
      <alignment wrapText="1"/>
      <protection locked="0"/>
    </xf>
    <xf numFmtId="10" fontId="0" fillId="0" borderId="20" xfId="0" applyNumberFormat="1" applyBorder="1" applyAlignment="1" applyProtection="1">
      <alignment wrapText="1"/>
      <protection locked="0"/>
    </xf>
    <xf numFmtId="10" fontId="0" fillId="0" borderId="46" xfId="0" applyNumberFormat="1" applyBorder="1" applyAlignment="1" applyProtection="1">
      <alignment horizontal="right" wrapText="1"/>
      <protection locked="0"/>
    </xf>
    <xf numFmtId="10" fontId="0" fillId="0" borderId="52" xfId="0" applyNumberFormat="1" applyBorder="1" applyAlignment="1" applyProtection="1">
      <alignment horizontal="right" wrapText="1"/>
      <protection locked="0"/>
    </xf>
    <xf numFmtId="10" fontId="0" fillId="0" borderId="47" xfId="0" applyNumberFormat="1" applyBorder="1" applyAlignment="1" applyProtection="1">
      <alignment horizontal="right" wrapText="1"/>
      <protection locked="0"/>
    </xf>
    <xf numFmtId="10" fontId="0" fillId="0" borderId="25" xfId="0" applyNumberFormat="1" applyBorder="1" applyAlignment="1" applyProtection="1">
      <alignment wrapText="1"/>
      <protection locked="0"/>
    </xf>
    <xf numFmtId="10" fontId="0" fillId="0" borderId="45" xfId="0" applyNumberFormat="1" applyBorder="1" applyAlignment="1" applyProtection="1">
      <alignment horizontal="right" wrapText="1"/>
      <protection locked="0"/>
    </xf>
    <xf numFmtId="10" fontId="0" fillId="0" borderId="43" xfId="0" applyNumberFormat="1" applyBorder="1" applyAlignment="1" applyProtection="1">
      <alignment horizontal="right" wrapText="1"/>
      <protection locked="0"/>
    </xf>
    <xf numFmtId="10" fontId="0" fillId="0" borderId="53" xfId="0" applyNumberFormat="1" applyBorder="1" applyAlignment="1" applyProtection="1">
      <alignment horizontal="right" wrapText="1"/>
      <protection locked="0"/>
    </xf>
    <xf numFmtId="10" fontId="0" fillId="0" borderId="21" xfId="0" applyNumberFormat="1" applyBorder="1" applyAlignment="1" applyProtection="1">
      <alignment wrapText="1"/>
      <protection locked="0"/>
    </xf>
    <xf numFmtId="10" fontId="0" fillId="0" borderId="48" xfId="0" applyNumberFormat="1" applyBorder="1" applyAlignment="1" applyProtection="1">
      <alignment horizontal="right" wrapText="1"/>
      <protection locked="0"/>
    </xf>
    <xf numFmtId="10" fontId="0" fillId="0" borderId="54" xfId="0" applyNumberFormat="1" applyBorder="1" applyAlignment="1" applyProtection="1">
      <alignment horizontal="right" wrapText="1"/>
      <protection locked="0"/>
    </xf>
    <xf numFmtId="10" fontId="0" fillId="0" borderId="49" xfId="0" applyNumberFormat="1" applyBorder="1" applyAlignment="1" applyProtection="1">
      <alignment horizontal="right" wrapText="1"/>
      <protection locked="0"/>
    </xf>
    <xf numFmtId="0" fontId="3" fillId="6" borderId="42" xfId="0" applyFont="1" applyFill="1" applyBorder="1" applyAlignment="1" applyProtection="1">
      <alignment horizontal="center" vertical="center" wrapText="1"/>
      <protection locked="0"/>
    </xf>
    <xf numFmtId="0" fontId="3" fillId="6" borderId="40" xfId="0" applyFont="1" applyFill="1" applyBorder="1" applyAlignment="1" applyProtection="1">
      <alignment horizontal="center" vertical="center" wrapText="1"/>
      <protection locked="0"/>
    </xf>
    <xf numFmtId="0" fontId="3" fillId="6" borderId="41" xfId="0" applyFont="1" applyFill="1" applyBorder="1" applyAlignment="1" applyProtection="1">
      <alignment horizontal="center" vertical="center" wrapText="1"/>
      <protection locked="0"/>
    </xf>
    <xf numFmtId="0" fontId="0" fillId="0" borderId="3" xfId="0" applyBorder="1" applyAlignment="1" applyProtection="1">
      <alignment wrapText="1"/>
      <protection locked="0"/>
    </xf>
    <xf numFmtId="9" fontId="26" fillId="0" borderId="4" xfId="0" applyNumberFormat="1" applyFont="1" applyBorder="1" applyAlignment="1" applyProtection="1">
      <alignment wrapText="1"/>
      <protection locked="0"/>
    </xf>
    <xf numFmtId="0" fontId="0" fillId="0" borderId="11" xfId="0" applyBorder="1" applyAlignment="1" applyProtection="1">
      <alignment wrapText="1"/>
      <protection locked="0"/>
    </xf>
    <xf numFmtId="9" fontId="26" fillId="0" borderId="1" xfId="0" applyNumberFormat="1" applyFont="1" applyBorder="1" applyAlignment="1" applyProtection="1">
      <alignment wrapText="1"/>
      <protection locked="0"/>
    </xf>
    <xf numFmtId="0" fontId="0" fillId="0" borderId="6" xfId="0" applyBorder="1" applyAlignment="1" applyProtection="1">
      <alignment wrapText="1"/>
      <protection locked="0"/>
    </xf>
    <xf numFmtId="9" fontId="26" fillId="0" borderId="7" xfId="0" applyNumberFormat="1" applyFont="1" applyBorder="1" applyAlignment="1" applyProtection="1">
      <alignment wrapText="1"/>
      <protection locked="0"/>
    </xf>
    <xf numFmtId="0" fontId="3" fillId="6" borderId="33" xfId="0" applyFont="1" applyFill="1" applyBorder="1" applyAlignment="1" applyProtection="1">
      <alignment horizontal="center" vertical="center" wrapText="1"/>
      <protection locked="0"/>
    </xf>
    <xf numFmtId="0" fontId="3" fillId="6" borderId="39" xfId="0" applyFont="1" applyFill="1" applyBorder="1" applyAlignment="1" applyProtection="1">
      <alignment horizontal="center" vertical="center" wrapText="1"/>
      <protection locked="0"/>
    </xf>
    <xf numFmtId="0" fontId="3" fillId="6" borderId="34" xfId="0" applyFont="1" applyFill="1" applyBorder="1" applyAlignment="1" applyProtection="1">
      <alignment horizontal="center" vertical="center" wrapText="1"/>
      <protection locked="0"/>
    </xf>
    <xf numFmtId="3" fontId="0" fillId="0" borderId="4" xfId="0" applyNumberFormat="1" applyBorder="1" applyAlignment="1" applyProtection="1">
      <alignment wrapText="1"/>
      <protection locked="0"/>
    </xf>
    <xf numFmtId="10" fontId="0" fillId="0" borderId="4" xfId="0" applyNumberFormat="1" applyBorder="1" applyAlignment="1" applyProtection="1">
      <alignment wrapText="1"/>
      <protection locked="0"/>
    </xf>
    <xf numFmtId="3" fontId="0" fillId="0" borderId="7" xfId="0" applyNumberFormat="1" applyBorder="1" applyAlignment="1" applyProtection="1">
      <alignment wrapText="1"/>
      <protection locked="0"/>
    </xf>
    <xf numFmtId="10" fontId="0" fillId="0" borderId="7" xfId="0" applyNumberFormat="1" applyBorder="1" applyAlignment="1" applyProtection="1">
      <alignment wrapText="1"/>
      <protection locked="0"/>
    </xf>
    <xf numFmtId="0" fontId="0" fillId="5" borderId="0" xfId="0" applyFill="1" applyProtection="1">
      <protection locked="0"/>
    </xf>
    <xf numFmtId="0" fontId="2" fillId="13" borderId="0" xfId="0" applyFont="1" applyFill="1" applyAlignment="1" applyProtection="1">
      <alignment wrapText="1"/>
      <protection locked="0"/>
    </xf>
    <xf numFmtId="0" fontId="0" fillId="13" borderId="0" xfId="0" applyFill="1" applyProtection="1">
      <protection locked="0"/>
    </xf>
    <xf numFmtId="0" fontId="3" fillId="0" borderId="42" xfId="0" applyFont="1" applyBorder="1" applyAlignment="1">
      <alignment wrapText="1"/>
    </xf>
    <xf numFmtId="0" fontId="39" fillId="4" borderId="40" xfId="0" applyFont="1" applyFill="1" applyBorder="1" applyAlignment="1">
      <alignment wrapText="1"/>
    </xf>
    <xf numFmtId="0" fontId="3" fillId="4" borderId="40" xfId="0" applyFont="1" applyFill="1" applyBorder="1" applyAlignment="1">
      <alignment wrapText="1"/>
    </xf>
    <xf numFmtId="0" fontId="3" fillId="0" borderId="40" xfId="0" applyFont="1" applyBorder="1" applyAlignment="1">
      <alignment wrapText="1"/>
    </xf>
    <xf numFmtId="0" fontId="3" fillId="0" borderId="41" xfId="0" applyFont="1" applyBorder="1" applyAlignment="1">
      <alignment wrapText="1"/>
    </xf>
    <xf numFmtId="0" fontId="15" fillId="0" borderId="0" xfId="0" applyFont="1" applyAlignment="1" applyProtection="1">
      <alignment wrapText="1"/>
      <protection hidden="1"/>
    </xf>
    <xf numFmtId="164" fontId="56" fillId="7" borderId="1" xfId="0" applyNumberFormat="1" applyFont="1" applyFill="1" applyBorder="1"/>
    <xf numFmtId="0" fontId="15" fillId="0" borderId="0" xfId="0" applyFont="1" applyProtection="1">
      <protection hidden="1"/>
    </xf>
    <xf numFmtId="0" fontId="16" fillId="0" borderId="2" xfId="0" applyFont="1" applyBorder="1" applyAlignment="1" applyProtection="1">
      <alignment horizontal="center" vertical="center"/>
      <protection hidden="1"/>
    </xf>
    <xf numFmtId="0" fontId="15" fillId="0" borderId="26" xfId="0" applyFont="1" applyBorder="1" applyProtection="1">
      <protection hidden="1"/>
    </xf>
    <xf numFmtId="0" fontId="15" fillId="0" borderId="31" xfId="0" applyFont="1" applyBorder="1" applyProtection="1">
      <protection hidden="1"/>
    </xf>
    <xf numFmtId="0" fontId="15" fillId="0" borderId="21" xfId="0" applyFont="1" applyBorder="1" applyProtection="1">
      <protection hidden="1"/>
    </xf>
    <xf numFmtId="0" fontId="15" fillId="0" borderId="28" xfId="0" applyFont="1" applyBorder="1" applyProtection="1">
      <protection hidden="1"/>
    </xf>
    <xf numFmtId="0" fontId="15" fillId="0" borderId="25" xfId="0" applyFont="1" applyBorder="1" applyProtection="1">
      <protection hidden="1"/>
    </xf>
    <xf numFmtId="0" fontId="61" fillId="0" borderId="0" xfId="1" applyFont="1" applyFill="1" applyProtection="1">
      <protection hidden="1"/>
    </xf>
    <xf numFmtId="9" fontId="15" fillId="0" borderId="0" xfId="0" applyNumberFormat="1" applyFont="1" applyProtection="1">
      <protection hidden="1"/>
    </xf>
    <xf numFmtId="0" fontId="16" fillId="0" borderId="20" xfId="0" applyFont="1" applyBorder="1" applyAlignment="1" applyProtection="1">
      <alignment horizontal="center" vertical="center"/>
      <protection hidden="1"/>
    </xf>
    <xf numFmtId="0" fontId="15" fillId="0" borderId="20" xfId="0" applyFont="1" applyBorder="1" applyProtection="1">
      <protection hidden="1"/>
    </xf>
    <xf numFmtId="9" fontId="15" fillId="0" borderId="20" xfId="0" applyNumberFormat="1" applyFont="1" applyBorder="1" applyProtection="1">
      <protection hidden="1"/>
    </xf>
    <xf numFmtId="9" fontId="15" fillId="0" borderId="25" xfId="0" applyNumberFormat="1" applyFont="1" applyBorder="1" applyProtection="1">
      <protection hidden="1"/>
    </xf>
    <xf numFmtId="9" fontId="15" fillId="0" borderId="21" xfId="0" applyNumberFormat="1" applyFont="1" applyBorder="1" applyProtection="1">
      <protection hidden="1"/>
    </xf>
    <xf numFmtId="0" fontId="15" fillId="0" borderId="2" xfId="0" applyFont="1" applyBorder="1" applyProtection="1">
      <protection hidden="1"/>
    </xf>
    <xf numFmtId="9" fontId="15" fillId="0" borderId="2" xfId="0" applyNumberFormat="1" applyFont="1" applyBorder="1" applyProtection="1">
      <protection hidden="1"/>
    </xf>
    <xf numFmtId="9" fontId="15" fillId="0" borderId="26" xfId="0" applyNumberFormat="1" applyFont="1" applyBorder="1" applyProtection="1">
      <protection hidden="1"/>
    </xf>
    <xf numFmtId="0" fontId="16" fillId="0" borderId="29" xfId="0" applyFont="1" applyBorder="1" applyAlignment="1" applyProtection="1">
      <alignment horizontal="center" vertical="center"/>
      <protection hidden="1"/>
    </xf>
    <xf numFmtId="0" fontId="15" fillId="0" borderId="14" xfId="0" applyFont="1" applyBorder="1" applyProtection="1">
      <protection hidden="1"/>
    </xf>
    <xf numFmtId="0" fontId="16" fillId="0" borderId="29" xfId="0" applyFont="1" applyBorder="1" applyAlignment="1" applyProtection="1">
      <alignment horizontal="center" vertical="center" wrapText="1"/>
      <protection hidden="1"/>
    </xf>
    <xf numFmtId="0" fontId="15" fillId="0" borderId="4" xfId="0" applyFont="1" applyBorder="1" applyProtection="1">
      <protection hidden="1"/>
    </xf>
    <xf numFmtId="0" fontId="15" fillId="0" borderId="5" xfId="0" applyFont="1" applyBorder="1" applyProtection="1">
      <protection hidden="1"/>
    </xf>
    <xf numFmtId="0" fontId="15" fillId="0" borderId="12" xfId="0" applyFont="1" applyBorder="1" applyProtection="1">
      <protection hidden="1"/>
    </xf>
    <xf numFmtId="0" fontId="15" fillId="0" borderId="7" xfId="0" applyFont="1" applyBorder="1" applyProtection="1">
      <protection hidden="1"/>
    </xf>
    <xf numFmtId="0" fontId="15" fillId="0" borderId="8" xfId="0" applyFont="1" applyBorder="1" applyProtection="1">
      <protection hidden="1"/>
    </xf>
    <xf numFmtId="0" fontId="16" fillId="0" borderId="27" xfId="0" applyFont="1" applyBorder="1" applyAlignment="1" applyProtection="1">
      <alignment horizontal="center" vertical="center"/>
      <protection hidden="1"/>
    </xf>
    <xf numFmtId="0" fontId="15" fillId="0" borderId="17" xfId="0" applyFont="1" applyBorder="1" applyProtection="1">
      <protection hidden="1"/>
    </xf>
    <xf numFmtId="0" fontId="15" fillId="0" borderId="19" xfId="0" applyFont="1" applyBorder="1" applyProtection="1">
      <protection hidden="1"/>
    </xf>
    <xf numFmtId="0" fontId="15" fillId="0" borderId="11" xfId="0" applyFont="1" applyBorder="1" applyProtection="1">
      <protection hidden="1"/>
    </xf>
    <xf numFmtId="0" fontId="15" fillId="0" borderId="6" xfId="0" applyFont="1" applyBorder="1" applyProtection="1">
      <protection hidden="1"/>
    </xf>
    <xf numFmtId="0" fontId="16" fillId="0" borderId="29" xfId="0" applyFont="1" applyBorder="1" applyAlignment="1" applyProtection="1">
      <alignment horizontal="center"/>
      <protection hidden="1"/>
    </xf>
    <xf numFmtId="0" fontId="15" fillId="0" borderId="3" xfId="0" applyFont="1" applyBorder="1" applyProtection="1">
      <protection hidden="1"/>
    </xf>
    <xf numFmtId="0" fontId="16" fillId="0" borderId="2" xfId="0" applyFont="1" applyBorder="1" applyProtection="1">
      <protection hidden="1"/>
    </xf>
    <xf numFmtId="0" fontId="62" fillId="0" borderId="1" xfId="0" applyFont="1" applyBorder="1" applyAlignment="1" applyProtection="1">
      <alignment horizontal="left"/>
      <protection hidden="1"/>
    </xf>
    <xf numFmtId="0" fontId="63" fillId="0" borderId="1" xfId="0" applyFont="1" applyBorder="1" applyProtection="1">
      <protection hidden="1"/>
    </xf>
    <xf numFmtId="0" fontId="15" fillId="0" borderId="1" xfId="0" applyFont="1" applyBorder="1" applyAlignment="1" applyProtection="1">
      <alignment wrapText="1"/>
      <protection hidden="1"/>
    </xf>
    <xf numFmtId="164" fontId="15" fillId="0" borderId="1" xfId="0" applyNumberFormat="1" applyFont="1" applyBorder="1" applyAlignment="1" applyProtection="1">
      <alignment wrapText="1"/>
      <protection hidden="1"/>
    </xf>
    <xf numFmtId="0" fontId="15" fillId="0" borderId="50" xfId="0" applyFont="1" applyBorder="1" applyProtection="1">
      <protection hidden="1"/>
    </xf>
    <xf numFmtId="0" fontId="15" fillId="0" borderId="57" xfId="0" applyFont="1" applyBorder="1" applyProtection="1">
      <protection hidden="1"/>
    </xf>
    <xf numFmtId="0" fontId="15" fillId="0" borderId="51" xfId="0" applyFont="1" applyBorder="1" applyProtection="1">
      <protection hidden="1"/>
    </xf>
    <xf numFmtId="0" fontId="17" fillId="0" borderId="9" xfId="0" applyFont="1" applyBorder="1" applyAlignment="1" applyProtection="1">
      <alignment wrapText="1"/>
      <protection hidden="1"/>
    </xf>
    <xf numFmtId="0" fontId="16" fillId="0" borderId="2" xfId="0" applyFont="1" applyBorder="1" applyAlignment="1" applyProtection="1">
      <alignment wrapText="1"/>
      <protection hidden="1"/>
    </xf>
    <xf numFmtId="0" fontId="15" fillId="0" borderId="26" xfId="0" applyFont="1" applyBorder="1" applyAlignment="1" applyProtection="1">
      <alignment wrapText="1"/>
      <protection hidden="1"/>
    </xf>
    <xf numFmtId="0" fontId="15" fillId="0" borderId="21" xfId="0" applyFont="1" applyBorder="1" applyAlignment="1" applyProtection="1">
      <alignment wrapText="1"/>
      <protection hidden="1"/>
    </xf>
    <xf numFmtId="0" fontId="15" fillId="0" borderId="25" xfId="0" applyFont="1" applyBorder="1" applyAlignment="1" applyProtection="1">
      <alignment wrapText="1"/>
      <protection hidden="1"/>
    </xf>
    <xf numFmtId="0" fontId="1" fillId="0" borderId="36" xfId="0" applyFont="1" applyBorder="1" applyProtection="1">
      <protection hidden="1"/>
    </xf>
    <xf numFmtId="3" fontId="19" fillId="0" borderId="1" xfId="0" applyNumberFormat="1" applyFont="1" applyBorder="1" applyProtection="1">
      <protection hidden="1"/>
    </xf>
    <xf numFmtId="3" fontId="52" fillId="0" borderId="1" xfId="0" applyNumberFormat="1" applyFont="1" applyBorder="1" applyProtection="1">
      <protection hidden="1"/>
    </xf>
    <xf numFmtId="0" fontId="3" fillId="6" borderId="1" xfId="0" applyFont="1" applyFill="1" applyBorder="1" applyAlignment="1" applyProtection="1">
      <alignment horizontal="center" vertical="center"/>
      <protection hidden="1"/>
    </xf>
    <xf numFmtId="3" fontId="3" fillId="0" borderId="1" xfId="0" applyNumberFormat="1" applyFont="1" applyBorder="1" applyProtection="1">
      <protection hidden="1"/>
    </xf>
    <xf numFmtId="0" fontId="3" fillId="8" borderId="0" xfId="0" applyFont="1" applyFill="1" applyProtection="1">
      <protection hidden="1"/>
    </xf>
    <xf numFmtId="0" fontId="45" fillId="0" borderId="0" xfId="0" applyFont="1" applyProtection="1">
      <protection hidden="1"/>
    </xf>
    <xf numFmtId="0" fontId="4" fillId="10" borderId="0" xfId="0" applyFont="1" applyFill="1" applyAlignment="1" applyProtection="1">
      <alignment wrapText="1"/>
      <protection hidden="1"/>
    </xf>
    <xf numFmtId="0" fontId="1" fillId="10" borderId="0" xfId="0" applyFont="1" applyFill="1" applyProtection="1">
      <protection hidden="1"/>
    </xf>
    <xf numFmtId="0" fontId="3" fillId="2" borderId="0" xfId="0" applyFont="1" applyFill="1" applyAlignment="1" applyProtection="1">
      <alignment wrapText="1"/>
      <protection hidden="1"/>
    </xf>
    <xf numFmtId="0" fontId="3" fillId="2" borderId="0" xfId="0" applyFont="1" applyFill="1" applyProtection="1">
      <protection hidden="1"/>
    </xf>
    <xf numFmtId="0" fontId="1" fillId="2" borderId="0" xfId="0" applyFont="1" applyFill="1" applyProtection="1">
      <protection hidden="1"/>
    </xf>
    <xf numFmtId="0" fontId="40" fillId="0" borderId="2" xfId="0" applyFont="1" applyBorder="1" applyAlignment="1">
      <alignment wrapText="1"/>
    </xf>
    <xf numFmtId="3" fontId="20" fillId="7" borderId="1" xfId="0" applyNumberFormat="1" applyFont="1" applyFill="1" applyBorder="1" applyProtection="1">
      <protection locked="0"/>
    </xf>
    <xf numFmtId="3" fontId="56" fillId="7" borderId="1" xfId="0" applyNumberFormat="1" applyFont="1" applyFill="1" applyBorder="1" applyProtection="1">
      <protection locked="0"/>
    </xf>
    <xf numFmtId="0" fontId="3" fillId="6" borderId="1" xfId="0" applyFont="1" applyFill="1" applyBorder="1" applyAlignment="1">
      <alignment wrapText="1"/>
    </xf>
    <xf numFmtId="10" fontId="20" fillId="7" borderId="1" xfId="0" applyNumberFormat="1" applyFont="1" applyFill="1" applyBorder="1" applyAlignment="1" applyProtection="1">
      <alignment wrapText="1"/>
      <protection locked="0"/>
    </xf>
    <xf numFmtId="0" fontId="4" fillId="0" borderId="1" xfId="0" applyFont="1" applyBorder="1" applyAlignment="1">
      <alignment wrapText="1"/>
    </xf>
    <xf numFmtId="0" fontId="4" fillId="10" borderId="0" xfId="0" applyFont="1" applyFill="1" applyProtection="1">
      <protection hidden="1"/>
    </xf>
    <xf numFmtId="3" fontId="16" fillId="0" borderId="0" xfId="0" applyNumberFormat="1" applyFont="1" applyProtection="1">
      <protection hidden="1"/>
    </xf>
    <xf numFmtId="3" fontId="17" fillId="0" borderId="0" xfId="0" applyNumberFormat="1" applyFont="1" applyProtection="1">
      <protection hidden="1"/>
    </xf>
    <xf numFmtId="3" fontId="18" fillId="0" borderId="0" xfId="0" applyNumberFormat="1" applyFont="1" applyProtection="1">
      <protection hidden="1"/>
    </xf>
    <xf numFmtId="0" fontId="14" fillId="0" borderId="1" xfId="0" applyFont="1" applyBorder="1"/>
    <xf numFmtId="0" fontId="10" fillId="0" borderId="1" xfId="0" applyFont="1" applyBorder="1"/>
    <xf numFmtId="0" fontId="4" fillId="0" borderId="1" xfId="0" applyFont="1" applyBorder="1"/>
    <xf numFmtId="3" fontId="5" fillId="0" borderId="1" xfId="0" applyNumberFormat="1" applyFont="1" applyBorder="1" applyProtection="1">
      <protection hidden="1"/>
    </xf>
    <xf numFmtId="0" fontId="9" fillId="0" borderId="0" xfId="0" applyFont="1"/>
    <xf numFmtId="3" fontId="24" fillId="0" borderId="1" xfId="0" applyNumberFormat="1" applyFont="1" applyBorder="1" applyAlignment="1">
      <alignment wrapText="1"/>
    </xf>
    <xf numFmtId="0" fontId="56" fillId="7" borderId="17" xfId="0" applyFont="1" applyFill="1" applyBorder="1" applyProtection="1">
      <protection locked="0"/>
    </xf>
    <xf numFmtId="0" fontId="56" fillId="7" borderId="18" xfId="0" applyFont="1" applyFill="1" applyBorder="1" applyAlignment="1" applyProtection="1">
      <alignment wrapText="1"/>
      <protection locked="0"/>
    </xf>
    <xf numFmtId="3" fontId="20" fillId="7" borderId="18" xfId="0" applyNumberFormat="1" applyFont="1" applyFill="1" applyBorder="1" applyAlignment="1" applyProtection="1">
      <alignment wrapText="1"/>
      <protection locked="0"/>
    </xf>
    <xf numFmtId="164" fontId="20" fillId="7" borderId="19" xfId="0" applyNumberFormat="1" applyFont="1" applyFill="1" applyBorder="1" applyAlignment="1" applyProtection="1">
      <alignment wrapText="1"/>
      <protection locked="0"/>
    </xf>
    <xf numFmtId="0" fontId="56" fillId="7" borderId="11" xfId="0" applyFont="1" applyFill="1" applyBorder="1" applyProtection="1">
      <protection locked="0"/>
    </xf>
    <xf numFmtId="164" fontId="20" fillId="7" borderId="12" xfId="0" applyNumberFormat="1" applyFont="1" applyFill="1" applyBorder="1" applyAlignment="1" applyProtection="1">
      <alignment wrapText="1"/>
      <protection locked="0"/>
    </xf>
    <xf numFmtId="0" fontId="56" fillId="7" borderId="18" xfId="0" applyFont="1" applyFill="1" applyBorder="1" applyProtection="1">
      <protection locked="0"/>
    </xf>
    <xf numFmtId="164" fontId="20" fillId="7" borderId="12" xfId="0" applyNumberFormat="1" applyFont="1" applyFill="1" applyBorder="1" applyProtection="1">
      <protection locked="0"/>
    </xf>
    <xf numFmtId="0" fontId="56" fillId="7" borderId="6" xfId="0" applyFont="1" applyFill="1" applyBorder="1" applyProtection="1">
      <protection locked="0"/>
    </xf>
    <xf numFmtId="0" fontId="20" fillId="7" borderId="7" xfId="0" applyFont="1" applyFill="1" applyBorder="1" applyProtection="1">
      <protection locked="0"/>
    </xf>
    <xf numFmtId="3" fontId="20" fillId="7" borderId="7" xfId="0" applyNumberFormat="1" applyFont="1" applyFill="1" applyBorder="1" applyProtection="1">
      <protection locked="0"/>
    </xf>
    <xf numFmtId="164" fontId="20" fillId="7" borderId="8" xfId="0" applyNumberFormat="1" applyFont="1" applyFill="1" applyBorder="1" applyProtection="1">
      <protection locked="0"/>
    </xf>
    <xf numFmtId="0" fontId="13" fillId="7" borderId="39" xfId="0" applyFont="1" applyFill="1" applyBorder="1" applyAlignment="1" applyProtection="1">
      <alignment horizontal="center" wrapText="1"/>
      <protection locked="0"/>
    </xf>
    <xf numFmtId="0" fontId="13" fillId="7" borderId="72" xfId="0" applyFont="1" applyFill="1" applyBorder="1" applyAlignment="1" applyProtection="1">
      <alignment horizontal="center" wrapText="1"/>
      <protection locked="0"/>
    </xf>
    <xf numFmtId="0" fontId="20" fillId="7" borderId="71" xfId="0" applyFont="1" applyFill="1" applyBorder="1" applyAlignment="1" applyProtection="1">
      <alignment wrapText="1"/>
      <protection locked="0"/>
    </xf>
    <xf numFmtId="0" fontId="13" fillId="7" borderId="34" xfId="0" applyFont="1" applyFill="1" applyBorder="1" applyAlignment="1" applyProtection="1">
      <alignment horizontal="center" wrapText="1"/>
      <protection locked="0"/>
    </xf>
    <xf numFmtId="0" fontId="13" fillId="7" borderId="49" xfId="0" applyFont="1" applyFill="1" applyBorder="1" applyAlignment="1" applyProtection="1">
      <alignment horizontal="center" wrapText="1"/>
      <protection locked="0"/>
    </xf>
    <xf numFmtId="0" fontId="13" fillId="7" borderId="47" xfId="0" applyFont="1" applyFill="1" applyBorder="1" applyAlignment="1" applyProtection="1">
      <alignment horizontal="center" wrapText="1"/>
      <protection locked="0"/>
    </xf>
    <xf numFmtId="3" fontId="10" fillId="0" borderId="1" xfId="0" applyNumberFormat="1" applyFont="1" applyBorder="1" applyAlignment="1">
      <alignment horizontal="right" vertical="center" wrapText="1"/>
    </xf>
    <xf numFmtId="3" fontId="6" fillId="0" borderId="1" xfId="0" applyNumberFormat="1" applyFont="1" applyBorder="1" applyAlignment="1">
      <alignment horizontal="right" wrapText="1"/>
    </xf>
    <xf numFmtId="3" fontId="14" fillId="0" borderId="1" xfId="0" applyNumberFormat="1" applyFont="1" applyBorder="1" applyAlignment="1">
      <alignment horizontal="right" wrapText="1"/>
    </xf>
    <xf numFmtId="3" fontId="15" fillId="0" borderId="0" xfId="0" applyNumberFormat="1" applyFont="1" applyAlignment="1">
      <alignment wrapText="1"/>
    </xf>
    <xf numFmtId="3" fontId="3" fillId="0" borderId="4" xfId="0" applyNumberFormat="1" applyFont="1" applyBorder="1" applyAlignment="1">
      <alignment horizontal="right" wrapText="1"/>
    </xf>
    <xf numFmtId="3" fontId="3" fillId="0" borderId="7" xfId="0" applyNumberFormat="1" applyFont="1" applyBorder="1" applyAlignment="1">
      <alignment horizontal="right" wrapText="1"/>
    </xf>
    <xf numFmtId="3" fontId="22" fillId="0" borderId="10" xfId="0" applyNumberFormat="1" applyFont="1" applyBorder="1" applyAlignment="1">
      <alignment horizontal="right" wrapText="1"/>
    </xf>
    <xf numFmtId="3" fontId="1" fillId="0" borderId="1" xfId="0" applyNumberFormat="1" applyFont="1" applyBorder="1" applyAlignment="1">
      <alignment wrapText="1"/>
    </xf>
    <xf numFmtId="3" fontId="3" fillId="0" borderId="1" xfId="0" applyNumberFormat="1" applyFont="1" applyBorder="1" applyAlignment="1">
      <alignment wrapText="1"/>
    </xf>
    <xf numFmtId="3" fontId="19" fillId="0" borderId="1" xfId="0" applyNumberFormat="1" applyFont="1" applyBorder="1" applyAlignment="1">
      <alignment wrapText="1"/>
    </xf>
    <xf numFmtId="3" fontId="19" fillId="0" borderId="10" xfId="0" applyNumberFormat="1" applyFont="1" applyBorder="1" applyAlignment="1">
      <alignment wrapText="1"/>
    </xf>
    <xf numFmtId="3" fontId="1" fillId="0" borderId="10" xfId="0" applyNumberFormat="1" applyFont="1" applyBorder="1" applyAlignment="1">
      <alignment wrapText="1"/>
    </xf>
    <xf numFmtId="3" fontId="53" fillId="0" borderId="10" xfId="0" applyNumberFormat="1" applyFont="1" applyBorder="1" applyAlignment="1">
      <alignment wrapText="1"/>
    </xf>
    <xf numFmtId="3" fontId="52" fillId="0" borderId="10" xfId="0" applyNumberFormat="1" applyFont="1" applyBorder="1" applyAlignment="1">
      <alignment wrapText="1"/>
    </xf>
    <xf numFmtId="3" fontId="3" fillId="0" borderId="10" xfId="0" applyNumberFormat="1" applyFont="1" applyBorder="1" applyAlignment="1">
      <alignment wrapText="1"/>
    </xf>
    <xf numFmtId="3" fontId="16" fillId="0" borderId="0" xfId="0" applyNumberFormat="1" applyFont="1" applyAlignment="1">
      <alignment wrapText="1"/>
    </xf>
    <xf numFmtId="3" fontId="15" fillId="0" borderId="10" xfId="0" applyNumberFormat="1" applyFont="1" applyBorder="1" applyAlignment="1">
      <alignment wrapText="1"/>
    </xf>
    <xf numFmtId="3" fontId="17" fillId="0" borderId="0" xfId="0" applyNumberFormat="1" applyFont="1" applyAlignment="1">
      <alignment wrapText="1"/>
    </xf>
    <xf numFmtId="10" fontId="16" fillId="0" borderId="0" xfId="0" applyNumberFormat="1" applyFont="1" applyAlignment="1">
      <alignment wrapText="1"/>
    </xf>
    <xf numFmtId="0" fontId="13" fillId="7" borderId="66" xfId="0" applyFont="1" applyFill="1" applyBorder="1" applyAlignment="1" applyProtection="1">
      <alignment horizontal="center" wrapText="1"/>
      <protection locked="0"/>
    </xf>
    <xf numFmtId="10" fontId="1" fillId="0" borderId="1" xfId="0" applyNumberFormat="1" applyFont="1" applyBorder="1"/>
    <xf numFmtId="4" fontId="1" fillId="0" borderId="1" xfId="0" applyNumberFormat="1" applyFont="1" applyBorder="1"/>
    <xf numFmtId="3" fontId="6" fillId="0" borderId="1" xfId="0" applyNumberFormat="1" applyFont="1" applyBorder="1"/>
    <xf numFmtId="10" fontId="14" fillId="0" borderId="1" xfId="2" applyNumberFormat="1" applyFont="1" applyBorder="1" applyAlignment="1" applyProtection="1">
      <alignment horizontal="right"/>
    </xf>
    <xf numFmtId="3" fontId="14" fillId="0" borderId="1" xfId="0" applyNumberFormat="1" applyFont="1" applyBorder="1"/>
    <xf numFmtId="3" fontId="1" fillId="0" borderId="37" xfId="0" applyNumberFormat="1" applyFont="1" applyBorder="1" applyAlignment="1" applyProtection="1">
      <alignment wrapText="1"/>
      <protection hidden="1"/>
    </xf>
    <xf numFmtId="3" fontId="1" fillId="0" borderId="38" xfId="0" applyNumberFormat="1" applyFont="1" applyBorder="1" applyAlignment="1" applyProtection="1">
      <alignment wrapText="1"/>
      <protection hidden="1"/>
    </xf>
    <xf numFmtId="3" fontId="20" fillId="7" borderId="86" xfId="0" applyNumberFormat="1" applyFont="1" applyFill="1" applyBorder="1" applyProtection="1">
      <protection locked="0"/>
    </xf>
    <xf numFmtId="3" fontId="20" fillId="7" borderId="86" xfId="0" applyNumberFormat="1" applyFont="1" applyFill="1" applyBorder="1" applyAlignment="1" applyProtection="1">
      <alignment wrapText="1"/>
      <protection locked="0"/>
    </xf>
    <xf numFmtId="3" fontId="20" fillId="7" borderId="87" xfId="0" applyNumberFormat="1" applyFont="1" applyFill="1" applyBorder="1" applyProtection="1">
      <protection locked="0"/>
    </xf>
    <xf numFmtId="0" fontId="3" fillId="0" borderId="88" xfId="0" applyFont="1" applyBorder="1" applyAlignment="1">
      <alignment wrapText="1"/>
    </xf>
    <xf numFmtId="0" fontId="3" fillId="0" borderId="71" xfId="0" applyFont="1" applyBorder="1" applyAlignment="1">
      <alignment wrapText="1"/>
    </xf>
    <xf numFmtId="3" fontId="20" fillId="7" borderId="81" xfId="0" applyNumberFormat="1" applyFont="1" applyFill="1" applyBorder="1" applyProtection="1">
      <protection locked="0"/>
    </xf>
    <xf numFmtId="3" fontId="20" fillId="7" borderId="81" xfId="0" applyNumberFormat="1" applyFont="1" applyFill="1" applyBorder="1" applyAlignment="1" applyProtection="1">
      <alignment wrapText="1"/>
      <protection locked="0"/>
    </xf>
    <xf numFmtId="3" fontId="20" fillId="7" borderId="72" xfId="0" applyNumberFormat="1" applyFont="1" applyFill="1" applyBorder="1" applyProtection="1">
      <protection locked="0"/>
    </xf>
    <xf numFmtId="0" fontId="3" fillId="0" borderId="89" xfId="0" applyFont="1" applyBorder="1" applyAlignment="1">
      <alignment wrapText="1"/>
    </xf>
    <xf numFmtId="9" fontId="20" fillId="7" borderId="90" xfId="0" applyNumberFormat="1" applyFont="1" applyFill="1" applyBorder="1" applyProtection="1">
      <protection locked="0"/>
    </xf>
    <xf numFmtId="9" fontId="20" fillId="7" borderId="90" xfId="0" applyNumberFormat="1" applyFont="1" applyFill="1" applyBorder="1" applyAlignment="1" applyProtection="1">
      <alignment wrapText="1"/>
      <protection locked="0"/>
    </xf>
    <xf numFmtId="9" fontId="20" fillId="7" borderId="91" xfId="0" applyNumberFormat="1" applyFont="1" applyFill="1" applyBorder="1" applyProtection="1">
      <protection locked="0"/>
    </xf>
    <xf numFmtId="0" fontId="3" fillId="0" borderId="69" xfId="0" applyFont="1" applyBorder="1" applyAlignment="1">
      <alignment wrapText="1"/>
    </xf>
    <xf numFmtId="3" fontId="1" fillId="0" borderId="80" xfId="0" applyNumberFormat="1" applyFont="1" applyBorder="1" applyAlignment="1" applyProtection="1">
      <alignment wrapText="1"/>
      <protection hidden="1"/>
    </xf>
    <xf numFmtId="3" fontId="1" fillId="0" borderId="70" xfId="0" applyNumberFormat="1" applyFont="1" applyBorder="1" applyAlignment="1" applyProtection="1">
      <alignment wrapText="1"/>
      <protection hidden="1"/>
    </xf>
    <xf numFmtId="3" fontId="1" fillId="0" borderId="81" xfId="0" applyNumberFormat="1" applyFont="1" applyBorder="1" applyAlignment="1" applyProtection="1">
      <alignment wrapText="1"/>
      <protection hidden="1"/>
    </xf>
    <xf numFmtId="3" fontId="1" fillId="0" borderId="72" xfId="0" applyNumberFormat="1" applyFont="1" applyBorder="1" applyAlignment="1" applyProtection="1">
      <alignment wrapText="1"/>
      <protection hidden="1"/>
    </xf>
    <xf numFmtId="0" fontId="3" fillId="12" borderId="67" xfId="0" applyFont="1" applyFill="1" applyBorder="1" applyAlignment="1">
      <alignment horizontal="center" vertical="center" wrapText="1"/>
    </xf>
    <xf numFmtId="0" fontId="3" fillId="12" borderId="71" xfId="0" applyFont="1" applyFill="1" applyBorder="1" applyAlignment="1">
      <alignment horizontal="center" vertical="center" wrapText="1"/>
    </xf>
    <xf numFmtId="0" fontId="13" fillId="7" borderId="66" xfId="0" applyFont="1" applyFill="1" applyBorder="1" applyAlignment="1" applyProtection="1">
      <alignment horizontal="center" wrapText="1"/>
      <protection locked="0"/>
    </xf>
    <xf numFmtId="0" fontId="13" fillId="7" borderId="72" xfId="0" applyFont="1" applyFill="1" applyBorder="1" applyAlignment="1" applyProtection="1">
      <alignment horizontal="center" wrapText="1"/>
      <protection locked="0"/>
    </xf>
    <xf numFmtId="0" fontId="3" fillId="12" borderId="68" xfId="0" applyFont="1" applyFill="1" applyBorder="1" applyAlignment="1">
      <alignment horizontal="center" vertical="center" wrapText="1"/>
    </xf>
    <xf numFmtId="0" fontId="3" fillId="12" borderId="76" xfId="0" applyFont="1" applyFill="1" applyBorder="1" applyAlignment="1">
      <alignment horizontal="center" vertical="center" wrapText="1"/>
    </xf>
    <xf numFmtId="0" fontId="3" fillId="12" borderId="77" xfId="0" applyFont="1" applyFill="1" applyBorder="1" applyAlignment="1">
      <alignment horizontal="center" vertical="center" wrapText="1"/>
    </xf>
    <xf numFmtId="9" fontId="20" fillId="7" borderId="73" xfId="0" applyNumberFormat="1" applyFont="1" applyFill="1" applyBorder="1" applyAlignment="1" applyProtection="1">
      <alignment horizontal="left" wrapText="1"/>
      <protection locked="0"/>
    </xf>
    <xf numFmtId="9" fontId="20" fillId="7" borderId="74" xfId="0" applyNumberFormat="1" applyFont="1" applyFill="1" applyBorder="1" applyAlignment="1" applyProtection="1">
      <alignment horizontal="left" wrapText="1"/>
      <protection locked="0"/>
    </xf>
    <xf numFmtId="9" fontId="20" fillId="7" borderId="75" xfId="0" applyNumberFormat="1" applyFont="1" applyFill="1" applyBorder="1" applyAlignment="1" applyProtection="1">
      <alignment horizontal="left" wrapText="1"/>
      <protection locked="0"/>
    </xf>
    <xf numFmtId="0" fontId="3" fillId="12" borderId="67" xfId="0" applyFont="1" applyFill="1" applyBorder="1" applyAlignment="1" applyProtection="1">
      <alignment horizontal="center" vertical="center" wrapText="1"/>
      <protection hidden="1"/>
    </xf>
    <xf numFmtId="0" fontId="3" fillId="12" borderId="71" xfId="0" applyFont="1" applyFill="1" applyBorder="1" applyAlignment="1" applyProtection="1">
      <alignment horizontal="center" vertical="center" wrapText="1"/>
      <protection hidden="1"/>
    </xf>
    <xf numFmtId="0" fontId="13" fillId="14" borderId="66" xfId="0" applyFont="1" applyFill="1" applyBorder="1" applyAlignment="1" applyProtection="1">
      <alignment horizontal="center" wrapText="1"/>
      <protection locked="0" hidden="1"/>
    </xf>
    <xf numFmtId="0" fontId="13" fillId="14" borderId="72" xfId="0" applyFont="1" applyFill="1" applyBorder="1" applyAlignment="1" applyProtection="1">
      <alignment horizontal="center" wrapText="1"/>
      <protection locked="0" hidden="1"/>
    </xf>
    <xf numFmtId="0" fontId="15" fillId="0" borderId="43" xfId="0" applyFont="1" applyFill="1" applyBorder="1" applyProtection="1">
      <protection hidden="1"/>
    </xf>
    <xf numFmtId="0" fontId="15" fillId="0" borderId="92" xfId="0" applyFont="1" applyBorder="1" applyProtection="1">
      <protection hidden="1"/>
    </xf>
    <xf numFmtId="0" fontId="15" fillId="0" borderId="93" xfId="0" applyFont="1" applyBorder="1" applyProtection="1">
      <protection hidden="1"/>
    </xf>
  </cellXfs>
  <cellStyles count="3">
    <cellStyle name="Hivatkozás" xfId="1" builtinId="8"/>
    <cellStyle name="Normál" xfId="0" builtinId="0"/>
    <cellStyle name="Százalék" xfId="2" builtinId="5"/>
  </cellStyles>
  <dxfs count="276">
    <dxf>
      <font>
        <color rgb="FF0000FF"/>
      </font>
      <fill>
        <patternFill>
          <bgColor rgb="FFDDEBF5"/>
        </patternFill>
      </fill>
      <border>
        <left style="thin">
          <color auto="1"/>
        </left>
        <right style="thin">
          <color auto="1"/>
        </right>
        <top style="thin">
          <color auto="1"/>
        </top>
        <bottom style="thin">
          <color auto="1"/>
        </bottom>
        <vertical/>
        <horizontal/>
      </border>
    </dxf>
    <dxf>
      <font>
        <color rgb="FF0000FF"/>
      </font>
      <fill>
        <patternFill>
          <bgColor rgb="FFDDEBF5"/>
        </patternFill>
      </fill>
      <border>
        <left style="thin">
          <color auto="1"/>
        </left>
        <right style="thin">
          <color auto="1"/>
        </right>
        <top style="thin">
          <color auto="1"/>
        </top>
        <bottom style="thin">
          <color auto="1"/>
        </bottom>
        <vertical/>
        <horizontal/>
      </border>
    </dxf>
    <dxf>
      <font>
        <color rgb="FF0000FF"/>
      </font>
      <fill>
        <patternFill>
          <bgColor rgb="FFDDEBF5"/>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b/>
        <i val="0"/>
        <color auto="1"/>
      </font>
      <fill>
        <patternFill>
          <bgColor theme="0"/>
        </patternFill>
      </fill>
      <border>
        <left style="thin">
          <color auto="1"/>
        </left>
        <right style="thin">
          <color auto="1"/>
        </right>
        <top style="thin">
          <color auto="1"/>
        </top>
        <bottom style="thin">
          <color auto="1"/>
        </bottom>
        <vertical/>
        <horizontal/>
      </border>
    </dxf>
    <dxf>
      <font>
        <color auto="1"/>
      </font>
      <fill>
        <patternFill>
          <bgColor theme="0"/>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rgb="FF0000FF"/>
      </font>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rgb="FF0000FF"/>
      </font>
      <fill>
        <patternFill>
          <bgColor rgb="FFDDEBF7"/>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b/>
        <i val="0"/>
        <color auto="1"/>
      </font>
      <fill>
        <patternFill>
          <bgColor theme="9" tint="0.79998168889431442"/>
        </patternFill>
      </fill>
      <border>
        <left style="thin">
          <color auto="1"/>
        </left>
        <right style="thin">
          <color auto="1"/>
        </right>
        <top style="thin">
          <color auto="1"/>
        </top>
        <bottom style="thin">
          <color auto="1"/>
        </bottom>
      </border>
    </dxf>
    <dxf>
      <font>
        <color rgb="FF0000FF"/>
      </font>
      <fill>
        <patternFill>
          <bgColor rgb="FFDDEBF7"/>
        </patternFill>
      </fill>
    </dxf>
    <dxf>
      <font>
        <color rgb="FF0000FF"/>
      </font>
      <fill>
        <patternFill>
          <bgColor rgb="FFDDEBF7"/>
        </patternFill>
      </fill>
    </dxf>
    <dxf>
      <font>
        <color rgb="FF0000FF"/>
      </font>
      <fill>
        <patternFill>
          <bgColor rgb="FFDDEBF7"/>
        </patternFill>
      </fill>
    </dxf>
    <dxf>
      <font>
        <color auto="1"/>
      </font>
      <border>
        <left style="thin">
          <color auto="1"/>
        </left>
        <right style="thin">
          <color auto="1"/>
        </right>
        <top style="thin">
          <color auto="1"/>
        </top>
        <bottom style="thin">
          <color auto="1"/>
        </bottom>
        <vertical/>
        <horizontal/>
      </border>
    </dxf>
    <dxf>
      <font>
        <color rgb="FF0000FF"/>
      </font>
      <fill>
        <patternFill>
          <bgColor rgb="FFDDEBF7"/>
        </patternFill>
      </fill>
    </dxf>
    <dxf>
      <font>
        <b/>
        <i val="0"/>
        <color auto="1"/>
      </font>
      <fill>
        <patternFill>
          <bgColor theme="9" tint="0.79998168889431442"/>
        </patternFill>
      </fill>
      <border>
        <left style="thin">
          <color auto="1"/>
        </left>
        <right style="thin">
          <color auto="1"/>
        </right>
        <top style="thin">
          <color auto="1"/>
        </top>
        <bottom style="thin">
          <color auto="1"/>
        </bottom>
      </border>
    </dxf>
    <dxf>
      <font>
        <color auto="1"/>
      </font>
      <border>
        <left style="thin">
          <color auto="1"/>
        </left>
        <right style="thin">
          <color auto="1"/>
        </right>
        <top style="thin">
          <color auto="1"/>
        </top>
        <bottom style="thin">
          <color auto="1"/>
        </bottom>
        <vertical/>
        <horizontal/>
      </border>
    </dxf>
    <dxf>
      <font>
        <color rgb="FF0000FF"/>
      </font>
      <fill>
        <patternFill>
          <bgColor rgb="FFDDEBF7"/>
        </patternFill>
      </fill>
    </dxf>
    <dxf>
      <font>
        <b/>
        <i val="0"/>
        <color auto="1"/>
      </font>
      <fill>
        <patternFill>
          <bgColor theme="9" tint="0.79998168889431442"/>
        </patternFill>
      </fill>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auto="1"/>
      </font>
      <fill>
        <patternFill patternType="none">
          <bgColor auto="1"/>
        </patternFill>
      </fill>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font>
      <fill>
        <patternFill>
          <bgColor theme="9"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b/>
        <i val="0"/>
        <color auto="1"/>
      </font>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b/>
        <i val="0"/>
        <color auto="1"/>
      </font>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color rgb="FF0000FF"/>
      </font>
      <fill>
        <patternFill>
          <bgColor rgb="FFDDEBF7"/>
        </patternFill>
      </fill>
      <border>
        <left style="thin">
          <color auto="1"/>
        </left>
        <right style="thin">
          <color auto="1"/>
        </right>
        <top style="thin">
          <color auto="1"/>
        </top>
        <bottom style="thin">
          <color auto="1"/>
        </bottom>
        <vertical/>
        <horizontal/>
      </border>
    </dxf>
    <dxf>
      <font>
        <b/>
        <i val="0"/>
        <color auto="1"/>
      </font>
      <fill>
        <patternFill>
          <bgColor theme="6" tint="0.79998168889431442"/>
        </patternFill>
      </fill>
      <border>
        <left style="thin">
          <color auto="1"/>
        </left>
        <right style="thin">
          <color auto="1"/>
        </right>
        <top style="thin">
          <color auto="1"/>
        </top>
        <bottom style="thin">
          <color auto="1"/>
        </bottom>
        <vertical/>
        <horizontal/>
      </border>
    </dxf>
    <dxf>
      <font>
        <b/>
        <i val="0"/>
        <color auto="1"/>
      </font>
      <fill>
        <patternFill>
          <bgColor theme="0" tint="-0.14996795556505021"/>
        </patternFill>
      </fill>
    </dxf>
    <dxf>
      <fill>
        <patternFill>
          <bgColor theme="8" tint="0.59996337778862885"/>
        </patternFill>
      </fill>
      <border>
        <vertical/>
        <horizontal/>
      </border>
    </dxf>
  </dxfs>
  <tableStyles count="0" defaultTableStyle="TableStyleMedium2" defaultPivotStyle="PivotStyleLight16"/>
  <colors>
    <mruColors>
      <color rgb="FFDDEBF7"/>
      <color rgb="FFF2F7FC"/>
      <color rgb="FF0000FF"/>
      <color rgb="FFDDEBF5"/>
      <color rgb="FFE0E0E0"/>
      <color rgb="FFCCECFF"/>
      <color rgb="FFFFFF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1313793</xdr:colOff>
      <xdr:row>3</xdr:row>
      <xdr:rowOff>43794</xdr:rowOff>
    </xdr:from>
    <xdr:to>
      <xdr:col>7</xdr:col>
      <xdr:colOff>1313793</xdr:colOff>
      <xdr:row>13</xdr:row>
      <xdr:rowOff>306552</xdr:rowOff>
    </xdr:to>
    <xdr:cxnSp macro="">
      <xdr:nvCxnSpPr>
        <xdr:cNvPr id="16" name="Egyenes összekötő nyíllal 21">
          <a:extLst>
            <a:ext uri="{FF2B5EF4-FFF2-40B4-BE49-F238E27FC236}">
              <a16:creationId xmlns:a16="http://schemas.microsoft.com/office/drawing/2014/main" id="{A70102CA-988E-067D-454F-D127CFE91CC4}"/>
            </a:ext>
          </a:extLst>
        </xdr:cNvPr>
        <xdr:cNvCxnSpPr/>
      </xdr:nvCxnSpPr>
      <xdr:spPr>
        <a:xfrm>
          <a:off x="12349655" y="1226208"/>
          <a:ext cx="0" cy="4532585"/>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22</xdr:row>
      <xdr:rowOff>13335</xdr:rowOff>
    </xdr:from>
    <xdr:to>
      <xdr:col>9</xdr:col>
      <xdr:colOff>853966</xdr:colOff>
      <xdr:row>24</xdr:row>
      <xdr:rowOff>284655</xdr:rowOff>
    </xdr:to>
    <xdr:cxnSp macro="">
      <xdr:nvCxnSpPr>
        <xdr:cNvPr id="5" name="Egyenes összekötő nyíllal 30">
          <a:extLst>
            <a:ext uri="{FF2B5EF4-FFF2-40B4-BE49-F238E27FC236}">
              <a16:creationId xmlns:a16="http://schemas.microsoft.com/office/drawing/2014/main" id="{68231B59-72C0-4036-6857-4BE7AF683976}"/>
            </a:ext>
          </a:extLst>
        </xdr:cNvPr>
        <xdr:cNvCxnSpPr/>
      </xdr:nvCxnSpPr>
      <xdr:spPr>
        <a:xfrm>
          <a:off x="14386034" y="10063852"/>
          <a:ext cx="1554656" cy="928217"/>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0</xdr:colOff>
      <xdr:row>2</xdr:row>
      <xdr:rowOff>188595</xdr:rowOff>
    </xdr:from>
    <xdr:to>
      <xdr:col>12</xdr:col>
      <xdr:colOff>678793</xdr:colOff>
      <xdr:row>6</xdr:row>
      <xdr:rowOff>0</xdr:rowOff>
    </xdr:to>
    <xdr:cxnSp macro="">
      <xdr:nvCxnSpPr>
        <xdr:cNvPr id="35" name="Egyenes összekötő nyíllal 34">
          <a:extLst>
            <a:ext uri="{FF2B5EF4-FFF2-40B4-BE49-F238E27FC236}">
              <a16:creationId xmlns:a16="http://schemas.microsoft.com/office/drawing/2014/main" id="{F5319E22-F9B1-B30E-CF5C-C1E1DA5501D1}"/>
            </a:ext>
          </a:extLst>
        </xdr:cNvPr>
        <xdr:cNvCxnSpPr/>
      </xdr:nvCxnSpPr>
      <xdr:spPr>
        <a:xfrm>
          <a:off x="14386034" y="714112"/>
          <a:ext cx="8780518" cy="1497440"/>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2912241</xdr:colOff>
      <xdr:row>6</xdr:row>
      <xdr:rowOff>481724</xdr:rowOff>
    </xdr:from>
    <xdr:to>
      <xdr:col>12</xdr:col>
      <xdr:colOff>678793</xdr:colOff>
      <xdr:row>13</xdr:row>
      <xdr:rowOff>306552</xdr:rowOff>
    </xdr:to>
    <xdr:cxnSp macro="">
      <xdr:nvCxnSpPr>
        <xdr:cNvPr id="37" name="Egyenes összekötő nyíllal 36">
          <a:extLst>
            <a:ext uri="{FF2B5EF4-FFF2-40B4-BE49-F238E27FC236}">
              <a16:creationId xmlns:a16="http://schemas.microsoft.com/office/drawing/2014/main" id="{A095B9FA-97A3-6BA4-B027-3AC33C38C89D}"/>
            </a:ext>
          </a:extLst>
        </xdr:cNvPr>
        <xdr:cNvCxnSpPr/>
      </xdr:nvCxnSpPr>
      <xdr:spPr>
        <a:xfrm flipH="1">
          <a:off x="13948103" y="2715172"/>
          <a:ext cx="9218449" cy="3853794"/>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2605690</xdr:colOff>
      <xdr:row>10</xdr:row>
      <xdr:rowOff>569310</xdr:rowOff>
    </xdr:from>
    <xdr:to>
      <xdr:col>12</xdr:col>
      <xdr:colOff>656896</xdr:colOff>
      <xdr:row>13</xdr:row>
      <xdr:rowOff>262759</xdr:rowOff>
    </xdr:to>
    <xdr:cxnSp macro="">
      <xdr:nvCxnSpPr>
        <xdr:cNvPr id="10" name="Egyenes összekötő nyíllal 42">
          <a:extLst>
            <a:ext uri="{FF2B5EF4-FFF2-40B4-BE49-F238E27FC236}">
              <a16:creationId xmlns:a16="http://schemas.microsoft.com/office/drawing/2014/main" id="{AEEE4F52-E27F-E66B-15EE-3D9B9FB95C87}"/>
            </a:ext>
          </a:extLst>
        </xdr:cNvPr>
        <xdr:cNvCxnSpPr/>
      </xdr:nvCxnSpPr>
      <xdr:spPr>
        <a:xfrm flipH="1">
          <a:off x="17692414" y="4379310"/>
          <a:ext cx="5452241" cy="1335690"/>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1029138</xdr:colOff>
      <xdr:row>18</xdr:row>
      <xdr:rowOff>21896</xdr:rowOff>
    </xdr:from>
    <xdr:to>
      <xdr:col>6</xdr:col>
      <xdr:colOff>678794</xdr:colOff>
      <xdr:row>25</xdr:row>
      <xdr:rowOff>0</xdr:rowOff>
    </xdr:to>
    <xdr:cxnSp macro="">
      <xdr:nvCxnSpPr>
        <xdr:cNvPr id="32" name="Egyenes összekötő nyíllal 65">
          <a:extLst>
            <a:ext uri="{FF2B5EF4-FFF2-40B4-BE49-F238E27FC236}">
              <a16:creationId xmlns:a16="http://schemas.microsoft.com/office/drawing/2014/main" id="{338672C4-861E-E3EB-F64A-AD169558D8B1}"/>
            </a:ext>
          </a:extLst>
        </xdr:cNvPr>
        <xdr:cNvCxnSpPr/>
      </xdr:nvCxnSpPr>
      <xdr:spPr>
        <a:xfrm flipH="1">
          <a:off x="8014138" y="8583448"/>
          <a:ext cx="2999828" cy="3284483"/>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1270002</xdr:colOff>
      <xdr:row>18</xdr:row>
      <xdr:rowOff>0</xdr:rowOff>
    </xdr:from>
    <xdr:to>
      <xdr:col>7</xdr:col>
      <xdr:colOff>1270002</xdr:colOff>
      <xdr:row>20</xdr:row>
      <xdr:rowOff>306552</xdr:rowOff>
    </xdr:to>
    <xdr:cxnSp macro="">
      <xdr:nvCxnSpPr>
        <xdr:cNvPr id="7" name="Egyenes összekötő nyíllal 67">
          <a:extLst>
            <a:ext uri="{FF2B5EF4-FFF2-40B4-BE49-F238E27FC236}">
              <a16:creationId xmlns:a16="http://schemas.microsoft.com/office/drawing/2014/main" id="{FA38D912-7080-71CF-BE72-0A70E398E63A}"/>
            </a:ext>
          </a:extLst>
        </xdr:cNvPr>
        <xdr:cNvCxnSpPr/>
      </xdr:nvCxnSpPr>
      <xdr:spPr>
        <a:xfrm>
          <a:off x="12305864" y="8561552"/>
          <a:ext cx="0" cy="963448"/>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888760</xdr:colOff>
      <xdr:row>7</xdr:row>
      <xdr:rowOff>0</xdr:rowOff>
    </xdr:from>
    <xdr:to>
      <xdr:col>13</xdr:col>
      <xdr:colOff>897759</xdr:colOff>
      <xdr:row>10</xdr:row>
      <xdr:rowOff>5714</xdr:rowOff>
    </xdr:to>
    <xdr:cxnSp macro="">
      <xdr:nvCxnSpPr>
        <xdr:cNvPr id="70" name="Egyenes összekötő nyíllal 69">
          <a:extLst>
            <a:ext uri="{FF2B5EF4-FFF2-40B4-BE49-F238E27FC236}">
              <a16:creationId xmlns:a16="http://schemas.microsoft.com/office/drawing/2014/main" id="{7E063410-56D8-96E6-2C80-A10715119081}"/>
            </a:ext>
          </a:extLst>
        </xdr:cNvPr>
        <xdr:cNvCxnSpPr/>
      </xdr:nvCxnSpPr>
      <xdr:spPr>
        <a:xfrm flipH="1">
          <a:off x="24077208" y="2824655"/>
          <a:ext cx="8999" cy="991059"/>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1488966</xdr:colOff>
      <xdr:row>18</xdr:row>
      <xdr:rowOff>0</xdr:rowOff>
    </xdr:from>
    <xdr:to>
      <xdr:col>13</xdr:col>
      <xdr:colOff>0</xdr:colOff>
      <xdr:row>24</xdr:row>
      <xdr:rowOff>284655</xdr:rowOff>
    </xdr:to>
    <xdr:cxnSp macro="">
      <xdr:nvCxnSpPr>
        <xdr:cNvPr id="51" name="Egyenes összekötő nyíllal 70">
          <a:extLst>
            <a:ext uri="{FF2B5EF4-FFF2-40B4-BE49-F238E27FC236}">
              <a16:creationId xmlns:a16="http://schemas.microsoft.com/office/drawing/2014/main" id="{BF4DC132-6B88-77FA-4BF4-ABB4731401A8}"/>
            </a:ext>
          </a:extLst>
        </xdr:cNvPr>
        <xdr:cNvCxnSpPr/>
      </xdr:nvCxnSpPr>
      <xdr:spPr>
        <a:xfrm flipH="1">
          <a:off x="20626552" y="8561552"/>
          <a:ext cx="2561896" cy="3678620"/>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1226207</xdr:colOff>
      <xdr:row>22</xdr:row>
      <xdr:rowOff>0</xdr:rowOff>
    </xdr:from>
    <xdr:to>
      <xdr:col>7</xdr:col>
      <xdr:colOff>1226207</xdr:colOff>
      <xdr:row>25</xdr:row>
      <xdr:rowOff>0</xdr:rowOff>
    </xdr:to>
    <xdr:cxnSp macro="">
      <xdr:nvCxnSpPr>
        <xdr:cNvPr id="26" name="Egyenes összekötő nyíllal 10">
          <a:extLst>
            <a:ext uri="{FF2B5EF4-FFF2-40B4-BE49-F238E27FC236}">
              <a16:creationId xmlns:a16="http://schemas.microsoft.com/office/drawing/2014/main" id="{C5D90A1C-1825-9438-479E-8998396CBB2C}"/>
            </a:ext>
          </a:extLst>
        </xdr:cNvPr>
        <xdr:cNvCxnSpPr/>
      </xdr:nvCxnSpPr>
      <xdr:spPr>
        <a:xfrm>
          <a:off x="12262069" y="12283966"/>
          <a:ext cx="0" cy="1598448"/>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1291897</xdr:colOff>
      <xdr:row>22</xdr:row>
      <xdr:rowOff>21896</xdr:rowOff>
    </xdr:from>
    <xdr:to>
      <xdr:col>15</xdr:col>
      <xdr:colOff>1291897</xdr:colOff>
      <xdr:row>24</xdr:row>
      <xdr:rowOff>306552</xdr:rowOff>
    </xdr:to>
    <xdr:cxnSp macro="">
      <xdr:nvCxnSpPr>
        <xdr:cNvPr id="39" name="Egyenes összekötő nyíllal 15">
          <a:extLst>
            <a:ext uri="{FF2B5EF4-FFF2-40B4-BE49-F238E27FC236}">
              <a16:creationId xmlns:a16="http://schemas.microsoft.com/office/drawing/2014/main" id="{870DC0D0-8852-7E4E-ACAF-5D2A9C60DCF6}"/>
            </a:ext>
          </a:extLst>
        </xdr:cNvPr>
        <xdr:cNvCxnSpPr/>
      </xdr:nvCxnSpPr>
      <xdr:spPr>
        <a:xfrm>
          <a:off x="28531207" y="10072413"/>
          <a:ext cx="0" cy="941553"/>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2364828</xdr:colOff>
      <xdr:row>22</xdr:row>
      <xdr:rowOff>21896</xdr:rowOff>
    </xdr:from>
    <xdr:to>
      <xdr:col>14</xdr:col>
      <xdr:colOff>678793</xdr:colOff>
      <xdr:row>24</xdr:row>
      <xdr:rowOff>284655</xdr:rowOff>
    </xdr:to>
    <xdr:cxnSp macro="">
      <xdr:nvCxnSpPr>
        <xdr:cNvPr id="62" name="Egyenes összekötő nyíllal 17">
          <a:extLst>
            <a:ext uri="{FF2B5EF4-FFF2-40B4-BE49-F238E27FC236}">
              <a16:creationId xmlns:a16="http://schemas.microsoft.com/office/drawing/2014/main" id="{BAA44A04-8FC3-CA0F-CB40-01D7B56FCBE0}"/>
            </a:ext>
          </a:extLst>
        </xdr:cNvPr>
        <xdr:cNvCxnSpPr/>
      </xdr:nvCxnSpPr>
      <xdr:spPr>
        <a:xfrm flipH="1">
          <a:off x="25553276" y="12305862"/>
          <a:ext cx="1664138" cy="919655"/>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18</xdr:row>
      <xdr:rowOff>0</xdr:rowOff>
    </xdr:from>
    <xdr:to>
      <xdr:col>15</xdr:col>
      <xdr:colOff>1160518</xdr:colOff>
      <xdr:row>20</xdr:row>
      <xdr:rowOff>284655</xdr:rowOff>
    </xdr:to>
    <xdr:cxnSp macro="">
      <xdr:nvCxnSpPr>
        <xdr:cNvPr id="78" name="Egyenes összekötő nyíllal 28">
          <a:extLst>
            <a:ext uri="{FF2B5EF4-FFF2-40B4-BE49-F238E27FC236}">
              <a16:creationId xmlns:a16="http://schemas.microsoft.com/office/drawing/2014/main" id="{FA6EC287-0FB0-829F-2936-FB298E3FB2B8}"/>
            </a:ext>
          </a:extLst>
        </xdr:cNvPr>
        <xdr:cNvCxnSpPr/>
      </xdr:nvCxnSpPr>
      <xdr:spPr>
        <a:xfrm>
          <a:off x="26538621" y="8561552"/>
          <a:ext cx="1861207" cy="1357586"/>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875862</xdr:colOff>
      <xdr:row>11</xdr:row>
      <xdr:rowOff>18393</xdr:rowOff>
    </xdr:from>
    <xdr:to>
      <xdr:col>13</xdr:col>
      <xdr:colOff>875862</xdr:colOff>
      <xdr:row>14</xdr:row>
      <xdr:rowOff>27611</xdr:rowOff>
    </xdr:to>
    <xdr:cxnSp macro="">
      <xdr:nvCxnSpPr>
        <xdr:cNvPr id="72" name="Egyenes összekötő nyíllal 71">
          <a:extLst>
            <a:ext uri="{FF2B5EF4-FFF2-40B4-BE49-F238E27FC236}">
              <a16:creationId xmlns:a16="http://schemas.microsoft.com/office/drawing/2014/main" id="{3E36184C-FAFE-8AD6-7E8A-21C71DE3BBEE}"/>
            </a:ext>
          </a:extLst>
        </xdr:cNvPr>
        <xdr:cNvCxnSpPr/>
      </xdr:nvCxnSpPr>
      <xdr:spPr>
        <a:xfrm>
          <a:off x="24064310" y="5908565"/>
          <a:ext cx="0" cy="666115"/>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875862</xdr:colOff>
      <xdr:row>14</xdr:row>
      <xdr:rowOff>284655</xdr:rowOff>
    </xdr:from>
    <xdr:to>
      <xdr:col>13</xdr:col>
      <xdr:colOff>875862</xdr:colOff>
      <xdr:row>17</xdr:row>
      <xdr:rowOff>0</xdr:rowOff>
    </xdr:to>
    <xdr:cxnSp macro="">
      <xdr:nvCxnSpPr>
        <xdr:cNvPr id="109" name="Egyenes összekötő nyíllal 108">
          <a:extLst>
            <a:ext uri="{FF2B5EF4-FFF2-40B4-BE49-F238E27FC236}">
              <a16:creationId xmlns:a16="http://schemas.microsoft.com/office/drawing/2014/main" id="{966466F9-9128-9732-E900-7BFCD3CE29E2}"/>
            </a:ext>
          </a:extLst>
        </xdr:cNvPr>
        <xdr:cNvCxnSpPr/>
      </xdr:nvCxnSpPr>
      <xdr:spPr>
        <a:xfrm>
          <a:off x="24064310" y="6065345"/>
          <a:ext cx="0" cy="700689"/>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1291896</xdr:colOff>
      <xdr:row>15</xdr:row>
      <xdr:rowOff>0</xdr:rowOff>
    </xdr:from>
    <xdr:to>
      <xdr:col>7</xdr:col>
      <xdr:colOff>1291897</xdr:colOff>
      <xdr:row>16</xdr:row>
      <xdr:rowOff>315747</xdr:rowOff>
    </xdr:to>
    <xdr:cxnSp macro="">
      <xdr:nvCxnSpPr>
        <xdr:cNvPr id="111" name="Egyenes összekötő nyíllal 110">
          <a:extLst>
            <a:ext uri="{FF2B5EF4-FFF2-40B4-BE49-F238E27FC236}">
              <a16:creationId xmlns:a16="http://schemas.microsoft.com/office/drawing/2014/main" id="{3D21EA10-6EB9-000D-7F27-9C98592125F1}"/>
            </a:ext>
          </a:extLst>
        </xdr:cNvPr>
        <xdr:cNvCxnSpPr/>
      </xdr:nvCxnSpPr>
      <xdr:spPr>
        <a:xfrm flipH="1">
          <a:off x="12327758" y="6109138"/>
          <a:ext cx="1" cy="644195"/>
        </a:xfrm>
        <a:prstGeom prst="straightConnector1">
          <a:avLst/>
        </a:prstGeom>
        <a:ln>
          <a:solidFill>
            <a:srgbClr val="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r_xls">
  <a:themeElements>
    <a:clrScheme name="25. egyéni séma">
      <a:dk1>
        <a:sysClr val="windowText" lastClr="000000"/>
      </a:dk1>
      <a:lt1>
        <a:sysClr val="window" lastClr="FFFFFF"/>
      </a:lt1>
      <a:dk2>
        <a:srgbClr val="666666"/>
      </a:dk2>
      <a:lt2>
        <a:srgbClr val="EBF1DD"/>
      </a:lt2>
      <a:accent1>
        <a:srgbClr val="95C13D"/>
      </a:accent1>
      <a:accent2>
        <a:srgbClr val="33916D"/>
      </a:accent2>
      <a:accent3>
        <a:srgbClr val="472F6E"/>
      </a:accent3>
      <a:accent4>
        <a:srgbClr val="0099CC"/>
      </a:accent4>
      <a:accent5>
        <a:srgbClr val="3F3F3F"/>
      </a:accent5>
      <a:accent6>
        <a:srgbClr val="A3A3A3"/>
      </a:accent6>
      <a:hlink>
        <a:srgbClr val="AECB36"/>
      </a:hlink>
      <a:folHlink>
        <a:srgbClr val="33916D"/>
      </a:folHlink>
    </a:clrScheme>
    <a:fontScheme name="Trenecon_betűk">
      <a:majorFont>
        <a:latin typeface="Arial Narrow"/>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3598-2C65-481C-B9C0-AB48FABA51A3}">
  <sheetPr codeName="Munka18">
    <tabColor theme="0" tint="-0.249977111117893"/>
  </sheetPr>
  <dimension ref="B1:AF181"/>
  <sheetViews>
    <sheetView topLeftCell="A75" zoomScale="55" zoomScaleNormal="55" workbookViewId="0">
      <selection activeCell="C84" sqref="C84"/>
    </sheetView>
  </sheetViews>
  <sheetFormatPr defaultColWidth="9.19921875" defaultRowHeight="13.8"/>
  <cols>
    <col min="1" max="1" width="9.19921875" style="443"/>
    <col min="2" max="2" width="85.69921875" style="443" customWidth="1"/>
    <col min="3" max="3" width="98.5" style="443" customWidth="1"/>
    <col min="4" max="4" width="31.19921875" style="443" customWidth="1"/>
    <col min="5" max="6" width="19.69921875" style="443" customWidth="1"/>
    <col min="7" max="7" width="24.5" style="443" customWidth="1"/>
    <col min="8" max="9" width="9.19921875" style="443"/>
    <col min="10" max="10" width="11.69921875" style="443" customWidth="1"/>
    <col min="11" max="16384" width="9.19921875" style="443"/>
  </cols>
  <sheetData>
    <row r="1" spans="2:2" ht="14.4" thickBot="1"/>
    <row r="2" spans="2:2" ht="14.4" thickBot="1">
      <c r="B2" s="444" t="s">
        <v>0</v>
      </c>
    </row>
    <row r="3" spans="2:2">
      <c r="B3" s="445" t="s">
        <v>1</v>
      </c>
    </row>
    <row r="4" spans="2:2">
      <c r="B4" s="446" t="s">
        <v>2</v>
      </c>
    </row>
    <row r="5" spans="2:2" ht="14.4" thickBot="1">
      <c r="B5" s="447"/>
    </row>
    <row r="7" spans="2:2" ht="14.4" thickBot="1"/>
    <row r="8" spans="2:2" ht="14.4" thickBot="1">
      <c r="B8" s="444" t="s">
        <v>3</v>
      </c>
    </row>
    <row r="9" spans="2:2" ht="14.4" thickBot="1">
      <c r="B9" s="448" t="s">
        <v>4</v>
      </c>
    </row>
    <row r="11" spans="2:2" ht="14.4" thickBot="1"/>
    <row r="12" spans="2:2" ht="14.4" thickBot="1">
      <c r="B12" s="444" t="s">
        <v>5</v>
      </c>
    </row>
    <row r="13" spans="2:2">
      <c r="B13" s="445" t="s">
        <v>6</v>
      </c>
    </row>
    <row r="14" spans="2:2">
      <c r="B14" s="449" t="s">
        <v>7</v>
      </c>
    </row>
    <row r="15" spans="2:2">
      <c r="B15" s="449" t="s">
        <v>8</v>
      </c>
    </row>
    <row r="16" spans="2:2" ht="14.4" thickBot="1">
      <c r="B16" s="447" t="s">
        <v>9</v>
      </c>
    </row>
    <row r="17" spans="2:10" ht="14.4" thickBot="1">
      <c r="D17" s="450"/>
      <c r="E17" s="451"/>
      <c r="F17" s="451"/>
    </row>
    <row r="18" spans="2:10" ht="14.4" thickBot="1">
      <c r="B18" s="452" t="s">
        <v>10</v>
      </c>
      <c r="D18" s="452" t="s">
        <v>6</v>
      </c>
      <c r="E18" s="452" t="s">
        <v>7</v>
      </c>
      <c r="F18" s="452" t="s">
        <v>8</v>
      </c>
      <c r="G18" s="452" t="s">
        <v>9</v>
      </c>
    </row>
    <row r="19" spans="2:10">
      <c r="B19" s="453" t="s">
        <v>11</v>
      </c>
      <c r="C19" s="453" t="s">
        <v>12</v>
      </c>
      <c r="D19" s="454">
        <v>0.6</v>
      </c>
      <c r="E19" s="454">
        <v>0.8</v>
      </c>
      <c r="F19" s="454">
        <v>0.7</v>
      </c>
      <c r="G19" s="454">
        <v>0.6</v>
      </c>
    </row>
    <row r="20" spans="2:10">
      <c r="B20" s="449" t="s">
        <v>13</v>
      </c>
      <c r="C20" s="449" t="s">
        <v>12</v>
      </c>
      <c r="D20" s="455">
        <v>0.6</v>
      </c>
      <c r="E20" s="455">
        <v>0.8</v>
      </c>
      <c r="F20" s="455">
        <v>0.7</v>
      </c>
      <c r="G20" s="455">
        <v>0.6</v>
      </c>
    </row>
    <row r="21" spans="2:10" ht="14.4" thickBot="1">
      <c r="B21" s="447" t="s">
        <v>14</v>
      </c>
      <c r="C21" s="447" t="s">
        <v>12</v>
      </c>
      <c r="D21" s="456">
        <v>0.5</v>
      </c>
      <c r="E21" s="456">
        <v>0.7</v>
      </c>
      <c r="F21" s="456">
        <v>0.6</v>
      </c>
      <c r="G21" s="456">
        <v>0.5</v>
      </c>
    </row>
    <row r="22" spans="2:10">
      <c r="B22" s="453" t="s">
        <v>15</v>
      </c>
      <c r="C22" s="453" t="s">
        <v>16</v>
      </c>
      <c r="D22" s="454">
        <v>0.5</v>
      </c>
      <c r="E22" s="454">
        <v>0.7</v>
      </c>
      <c r="F22" s="454">
        <v>0.6</v>
      </c>
      <c r="G22" s="454">
        <v>0.5</v>
      </c>
    </row>
    <row r="23" spans="2:10">
      <c r="B23" s="449" t="s">
        <v>17</v>
      </c>
      <c r="C23" s="449" t="s">
        <v>16</v>
      </c>
      <c r="D23" s="455">
        <v>0.5</v>
      </c>
      <c r="E23" s="455">
        <v>0.7</v>
      </c>
      <c r="F23" s="455">
        <v>0.6</v>
      </c>
      <c r="G23" s="455">
        <v>0.5</v>
      </c>
    </row>
    <row r="24" spans="2:10" ht="14.4" thickBot="1">
      <c r="B24" s="447" t="s">
        <v>18</v>
      </c>
      <c r="C24" s="447" t="s">
        <v>16</v>
      </c>
      <c r="D24" s="456">
        <v>0.5</v>
      </c>
      <c r="E24" s="456">
        <v>0.7</v>
      </c>
      <c r="F24" s="456">
        <v>0.6</v>
      </c>
      <c r="G24" s="456">
        <v>0.5</v>
      </c>
    </row>
    <row r="25" spans="2:10">
      <c r="B25" s="453" t="s">
        <v>19</v>
      </c>
      <c r="C25" s="453" t="s">
        <v>20</v>
      </c>
      <c r="D25" s="454">
        <v>0.5</v>
      </c>
      <c r="E25" s="454">
        <v>0.7</v>
      </c>
      <c r="F25" s="454">
        <v>0.6</v>
      </c>
      <c r="G25" s="454">
        <v>0.5</v>
      </c>
    </row>
    <row r="26" spans="2:10">
      <c r="B26" s="449" t="s">
        <v>21</v>
      </c>
      <c r="C26" s="449" t="s">
        <v>20</v>
      </c>
      <c r="D26" s="455">
        <v>0.5</v>
      </c>
      <c r="E26" s="455">
        <v>0.7</v>
      </c>
      <c r="F26" s="455">
        <v>0.6</v>
      </c>
      <c r="G26" s="455">
        <v>0.5</v>
      </c>
    </row>
    <row r="27" spans="2:10" ht="14.4" thickBot="1">
      <c r="B27" s="447" t="s">
        <v>22</v>
      </c>
      <c r="C27" s="447" t="s">
        <v>20</v>
      </c>
      <c r="D27" s="456">
        <v>0.5</v>
      </c>
      <c r="E27" s="456">
        <v>0.7</v>
      </c>
      <c r="F27" s="456">
        <v>0.6</v>
      </c>
      <c r="G27" s="456">
        <v>0.5</v>
      </c>
    </row>
    <row r="28" spans="2:10" ht="14.4" thickBot="1">
      <c r="B28" s="457" t="s">
        <v>23</v>
      </c>
      <c r="C28" s="457" t="s">
        <v>24</v>
      </c>
      <c r="D28" s="458">
        <v>0.5</v>
      </c>
      <c r="E28" s="458">
        <v>0.7</v>
      </c>
      <c r="F28" s="458">
        <v>0.6</v>
      </c>
      <c r="G28" s="458">
        <v>0.5</v>
      </c>
      <c r="J28" s="451"/>
    </row>
    <row r="29" spans="2:10" ht="14.4" thickBot="1">
      <c r="B29" s="457" t="s">
        <v>25</v>
      </c>
      <c r="C29" s="457" t="s">
        <v>25</v>
      </c>
      <c r="D29" s="458">
        <v>0</v>
      </c>
      <c r="E29" s="458">
        <v>0.2</v>
      </c>
      <c r="F29" s="458">
        <v>0.1</v>
      </c>
      <c r="G29" s="458">
        <v>0</v>
      </c>
    </row>
    <row r="30" spans="2:10">
      <c r="B30" s="453" t="s">
        <v>26</v>
      </c>
      <c r="C30" s="453" t="s">
        <v>27</v>
      </c>
      <c r="D30" s="454">
        <v>0.3</v>
      </c>
      <c r="E30" s="454">
        <v>0.5</v>
      </c>
      <c r="F30" s="454">
        <v>0.4</v>
      </c>
      <c r="G30" s="454">
        <v>0.3</v>
      </c>
    </row>
    <row r="31" spans="2:10">
      <c r="B31" s="449" t="s">
        <v>28</v>
      </c>
      <c r="C31" s="449" t="s">
        <v>27</v>
      </c>
      <c r="D31" s="455">
        <v>0.3</v>
      </c>
      <c r="E31" s="455">
        <v>0.5</v>
      </c>
      <c r="F31" s="455">
        <v>0.4</v>
      </c>
      <c r="G31" s="455">
        <v>0.3</v>
      </c>
    </row>
    <row r="32" spans="2:10" ht="14.4" thickBot="1">
      <c r="B32" s="447" t="s">
        <v>29</v>
      </c>
      <c r="C32" s="447" t="s">
        <v>27</v>
      </c>
      <c r="D32" s="456">
        <v>0.3</v>
      </c>
      <c r="E32" s="456">
        <v>0.5</v>
      </c>
      <c r="F32" s="456">
        <v>0.4</v>
      </c>
      <c r="G32" s="456">
        <v>0.3</v>
      </c>
    </row>
    <row r="33" spans="2:7">
      <c r="B33" s="453" t="s">
        <v>30</v>
      </c>
      <c r="C33" s="453" t="s">
        <v>31</v>
      </c>
      <c r="D33" s="454">
        <v>0.3</v>
      </c>
      <c r="E33" s="454">
        <v>0.5</v>
      </c>
      <c r="F33" s="454">
        <v>0.4</v>
      </c>
      <c r="G33" s="454">
        <v>0.3</v>
      </c>
    </row>
    <row r="34" spans="2:7">
      <c r="B34" s="449" t="s">
        <v>32</v>
      </c>
      <c r="C34" s="449" t="s">
        <v>31</v>
      </c>
      <c r="D34" s="455">
        <v>0.3</v>
      </c>
      <c r="E34" s="455">
        <v>0.5</v>
      </c>
      <c r="F34" s="455">
        <v>0.4</v>
      </c>
      <c r="G34" s="455">
        <v>0.3</v>
      </c>
    </row>
    <row r="35" spans="2:7" ht="14.4" thickBot="1">
      <c r="B35" s="447" t="s">
        <v>33</v>
      </c>
      <c r="C35" s="447" t="s">
        <v>31</v>
      </c>
      <c r="D35" s="456">
        <v>0.3</v>
      </c>
      <c r="E35" s="456">
        <v>0.5</v>
      </c>
      <c r="F35" s="456">
        <v>0.4</v>
      </c>
      <c r="G35" s="456">
        <v>0.3</v>
      </c>
    </row>
    <row r="36" spans="2:7">
      <c r="B36" s="445" t="s">
        <v>34</v>
      </c>
      <c r="C36" s="445" t="s">
        <v>35</v>
      </c>
      <c r="D36" s="459">
        <v>0.6</v>
      </c>
      <c r="E36" s="459">
        <v>0.8</v>
      </c>
      <c r="F36" s="459">
        <v>0.7</v>
      </c>
      <c r="G36" s="459">
        <v>0.6</v>
      </c>
    </row>
    <row r="37" spans="2:7">
      <c r="B37" s="449" t="s">
        <v>36</v>
      </c>
      <c r="C37" s="449" t="s">
        <v>35</v>
      </c>
      <c r="D37" s="455">
        <v>0.5</v>
      </c>
      <c r="E37" s="455">
        <v>0.7</v>
      </c>
      <c r="F37" s="455">
        <v>0.6</v>
      </c>
      <c r="G37" s="455">
        <v>0.5</v>
      </c>
    </row>
    <row r="38" spans="2:7" ht="14.4" thickBot="1">
      <c r="B38" s="447" t="s">
        <v>37</v>
      </c>
      <c r="C38" s="447" t="s">
        <v>35</v>
      </c>
      <c r="D38" s="456">
        <v>0.5</v>
      </c>
      <c r="E38" s="456">
        <v>0.7</v>
      </c>
      <c r="F38" s="456">
        <v>0.6</v>
      </c>
      <c r="G38" s="456">
        <v>0.5</v>
      </c>
    </row>
    <row r="40" spans="2:7" ht="14.4" thickBot="1"/>
    <row r="41" spans="2:7" ht="14.4" thickBot="1">
      <c r="B41" s="460" t="s">
        <v>38</v>
      </c>
    </row>
    <row r="42" spans="2:7">
      <c r="B42" s="453" t="s">
        <v>39</v>
      </c>
      <c r="C42" s="461">
        <v>1</v>
      </c>
    </row>
    <row r="43" spans="2:7" ht="14.4" thickBot="1">
      <c r="B43" s="447" t="s">
        <v>40</v>
      </c>
      <c r="C43" s="461">
        <v>2</v>
      </c>
    </row>
    <row r="44" spans="2:7" ht="14.4" thickBot="1">
      <c r="B44" s="457">
        <f>INDEX($C$42:$C$43,MATCH(Főoldal!$C$11,felh_valaszt,0))</f>
        <v>1</v>
      </c>
    </row>
    <row r="45" spans="2:7" ht="14.4" thickBot="1"/>
    <row r="46" spans="2:7" ht="41.4">
      <c r="B46" s="460" t="s">
        <v>41</v>
      </c>
      <c r="D46" s="462" t="s">
        <v>42</v>
      </c>
    </row>
    <row r="47" spans="2:7">
      <c r="B47" s="592" t="str" cm="1">
        <f t="array" ref="B47:B75">IFERROR(IF($B$44=C42,Felh_azon,Felh_cím),"")</f>
        <v>TOP_PLUSZ-1.3.2-23</v>
      </c>
      <c r="C47" s="592" t="str" cm="1">
        <f t="array" ref="C47:C75">IFERROR(IF($B$44=$C$42,Felh_cím,Felh_azon),"")</f>
        <v>Fenntartható városfejlesztés</v>
      </c>
      <c r="D47" s="592">
        <v>1</v>
      </c>
    </row>
    <row r="48" spans="2:7">
      <c r="B48" s="592" t="str">
        <v>TOP_PLUSZ-2.1.2-21</v>
      </c>
      <c r="C48" s="592" t="str">
        <v>Fenntartható energiahatékonyság</v>
      </c>
      <c r="D48" s="592">
        <v>1</v>
      </c>
    </row>
    <row r="49" spans="2:4">
      <c r="B49" s="592" t="str">
        <v>TOP_PLUSZ-3.1.3-23</v>
      </c>
      <c r="C49" s="592" t="str">
        <v>Helyi humán fejlesztések</v>
      </c>
      <c r="D49" s="592">
        <v>0</v>
      </c>
    </row>
    <row r="50" spans="2:4">
      <c r="B50" s="592" t="str">
        <v>TOP_PLUSZ-3.2.1-23</v>
      </c>
      <c r="C50" s="592" t="str">
        <v>Fenntartható humán fejlesztések</v>
      </c>
      <c r="D50" s="592">
        <v>0</v>
      </c>
    </row>
    <row r="51" spans="2:4">
      <c r="B51" s="592" t="str">
        <v>TOP_PLUSZ-3.3.3-23</v>
      </c>
      <c r="C51" s="592" t="str">
        <v>Köznevelési infrastruktúra fejlesztése</v>
      </c>
      <c r="D51" s="592">
        <v>0</v>
      </c>
    </row>
    <row r="52" spans="2:4">
      <c r="B52" s="592" t="str">
        <v>TOP_PLUSZ-3.4.1-23</v>
      </c>
      <c r="C52" s="592" t="str">
        <v>Fenntartható humán infrastruktúra</v>
      </c>
      <c r="D52" s="592">
        <v>0</v>
      </c>
    </row>
    <row r="53" spans="2:4">
      <c r="B53" s="592" t="str">
        <v>TOP_PLUSZ-4.1.2-23</v>
      </c>
      <c r="C53" s="592" t="str">
        <v>BRINGASZTRÁDA PROGRAM</v>
      </c>
      <c r="D53" s="592">
        <v>1</v>
      </c>
    </row>
    <row r="54" spans="2:4">
      <c r="B54" s="592" t="str">
        <v>TOP_PLUSZ-4.1.3-23</v>
      </c>
      <c r="C54" s="592" t="str">
        <v>Komplex klímaadaptációs és közterület-megújítási program</v>
      </c>
      <c r="D54" s="592">
        <v>1</v>
      </c>
    </row>
    <row r="55" spans="2:4">
      <c r="B55" s="592" t="str">
        <v>TOP_PLUSZ-6.1.4-23</v>
      </c>
      <c r="C55" s="592" t="str">
        <v>Aktív turizmus fejlesztése</v>
      </c>
      <c r="D55" s="592">
        <v>1</v>
      </c>
    </row>
    <row r="56" spans="2:4">
      <c r="B56" s="592" t="str">
        <v>TOP_PLUSZ-6.2.1-23</v>
      </c>
      <c r="C56" s="592" t="str">
        <v>Fenntartható versenyképes városfejlesztés</v>
      </c>
      <c r="D56" s="592">
        <v>1</v>
      </c>
    </row>
    <row r="57" spans="2:4">
      <c r="B57" s="592" t="str">
        <v>TOP_Plusz-4.2.2-25</v>
      </c>
      <c r="C57" s="592" t="str">
        <v>Az energiaszegénység enyhítése szilárd tüzelésű háztartások átállításával fővárosi pilot projekt keretében</v>
      </c>
      <c r="D57" s="592">
        <v>1</v>
      </c>
    </row>
    <row r="58" spans="2:4">
      <c r="B58" s="592" t="str">
        <v>TOP_Plusz-1.1.1-25</v>
      </c>
      <c r="C58" s="592" t="str">
        <v>Klímatudatosság, éghajlatváltozáshoz való alkalmazkodás</v>
      </c>
      <c r="D58" s="592">
        <v>0</v>
      </c>
    </row>
    <row r="59" spans="2:4">
      <c r="B59" s="592" t="str">
        <v>TOP_Plusz-4.2.1-25</v>
      </c>
      <c r="C59" s="592" t="str">
        <v>Lakásügynökség - önkormányzati lakásállomány felújítása és bővítése</v>
      </c>
      <c r="D59" s="592">
        <v>1</v>
      </c>
    </row>
    <row r="60" spans="2:4">
      <c r="B60" s="592" t="str">
        <v>TOP_Plusz-5.1.1-25</v>
      </c>
      <c r="C60" s="592" t="str">
        <v>Fővárosi Foglalkoztatási Paktum</v>
      </c>
      <c r="D60" s="592">
        <v>0</v>
      </c>
    </row>
    <row r="61" spans="2:4">
      <c r="B61" s="592" t="str">
        <v>TOP_Plusz-5.1.2-25</v>
      </c>
      <c r="C61" s="592" t="str">
        <v>Szociális szolgáltatások kapacitásainak fejlesztése</v>
      </c>
      <c r="D61" s="592">
        <v>0</v>
      </c>
    </row>
    <row r="62" spans="2:4">
      <c r="B62" s="592" t="str">
        <v>TOP_Plusz-5.1.3-25</v>
      </c>
      <c r="C62" s="592" t="str">
        <v>Lakásügynökség-modell kialakítása</v>
      </c>
      <c r="D62" s="592">
        <v>1</v>
      </c>
    </row>
    <row r="63" spans="2:4">
      <c r="B63" s="592" t="str">
        <v>TOP_Plusz-5.1.4-25</v>
      </c>
      <c r="C63" s="592" t="str">
        <v>Lakhatási garancia program</v>
      </c>
      <c r="D63" s="592">
        <v>0</v>
      </c>
    </row>
    <row r="64" spans="2:4">
      <c r="B64" s="592" t="str">
        <v>TOP_Plusz-5.1.5-25</v>
      </c>
      <c r="C64" s="592" t="str">
        <v>Komplex támogatás a szolgáltatások összekapcsolásával</v>
      </c>
      <c r="D64" s="592">
        <v>0</v>
      </c>
    </row>
    <row r="65" spans="2:4">
      <c r="B65" s="592" t="str">
        <v>TOP_Plusz-4.1.1-23</v>
      </c>
      <c r="C65" s="592" t="str">
        <v>Egészséges utcák program</v>
      </c>
      <c r="D65" s="592">
        <v>1</v>
      </c>
    </row>
    <row r="66" spans="2:4">
      <c r="B66" s="592" t="str">
        <v>TOP_Plusz-1.2.1-21</v>
      </c>
      <c r="C66" s="592" t="str">
        <v>Élhető települések</v>
      </c>
      <c r="D66" s="592">
        <v>1</v>
      </c>
    </row>
    <row r="67" spans="2:4">
      <c r="B67" s="592" t="str">
        <v>TOP_Plusz-1.2.2-21</v>
      </c>
      <c r="C67" s="592" t="str">
        <v>Szociális célú városrehabilitáció (ERFA)</v>
      </c>
      <c r="D67" s="592">
        <v>1</v>
      </c>
    </row>
    <row r="68" spans="2:4">
      <c r="B68" s="592" t="str">
        <v>TOP_Plusz-1.2.3-21</v>
      </c>
      <c r="C68" s="592" t="str">
        <v>Belterületi utak fejlesztése</v>
      </c>
      <c r="D68" s="592">
        <v>1</v>
      </c>
    </row>
    <row r="69" spans="2:4">
      <c r="B69" s="592" t="str">
        <v>TOP_Plusz-2.1.1-21</v>
      </c>
      <c r="C69" s="592" t="str">
        <v>Önkormányzati épületek energetikai korszerűsítése</v>
      </c>
      <c r="D69" s="592">
        <v>1</v>
      </c>
    </row>
    <row r="70" spans="2:4">
      <c r="B70" s="592" t="str">
        <v>TOP_Plusz-3.1.2-21</v>
      </c>
      <c r="C70" s="592" t="str">
        <v>Szociális célú város rehabilitáció (ESZA+)</v>
      </c>
      <c r="D70" s="592">
        <v>0</v>
      </c>
    </row>
    <row r="71" spans="2:4">
      <c r="B71" s="592" t="str">
        <v>TOP_Plusz-3.3.1-21</v>
      </c>
      <c r="C71" s="592" t="str">
        <v>Gyermeknevelést támogató humán infrastruktúra fejlesztése</v>
      </c>
      <c r="D71" s="592">
        <v>1</v>
      </c>
    </row>
    <row r="72" spans="2:4">
      <c r="B72" s="592" t="str">
        <v>TOP_Plusz-3.3.2-21</v>
      </c>
      <c r="C72" s="592" t="str">
        <v>Helyi egészségügyi és szociális infrastruktúra fejlesztése</v>
      </c>
      <c r="D72" s="592">
        <v>0</v>
      </c>
    </row>
    <row r="73" spans="2:4">
      <c r="B73" s="592" t="str">
        <v>TOP_Plusz-6.1.1-21</v>
      </c>
      <c r="C73" s="592" t="str">
        <v>Helyi gazdaságfejlesztés</v>
      </c>
      <c r="D73" s="592">
        <v>1</v>
      </c>
    </row>
    <row r="74" spans="2:4">
      <c r="B74" s="592" t="str">
        <v>TOP_Plusz-6.1.2-21</v>
      </c>
      <c r="C74" s="592" t="str">
        <v>4–5 számjegyű utak fejlesztése</v>
      </c>
      <c r="D74" s="592">
        <v>1</v>
      </c>
    </row>
    <row r="75" spans="2:4">
      <c r="B75" s="592" t="str">
        <v>TOP_Plusz-6.1.3-21</v>
      </c>
      <c r="C75" s="592" t="str">
        <v>Helyi és térségi turizmusfejlesztés</v>
      </c>
      <c r="D75" s="592">
        <v>1</v>
      </c>
    </row>
    <row r="76" spans="2:4" ht="14.4" thickBot="1"/>
    <row r="77" spans="2:4">
      <c r="B77" s="453" t="s">
        <v>43</v>
      </c>
    </row>
    <row r="78" spans="2:4">
      <c r="B78" s="449" t="s">
        <v>44</v>
      </c>
    </row>
    <row r="79" spans="2:4">
      <c r="B79" s="449" t="s">
        <v>45</v>
      </c>
    </row>
    <row r="80" spans="2:4">
      <c r="B80" s="449" t="s">
        <v>46</v>
      </c>
    </row>
    <row r="81" spans="2:4">
      <c r="B81" s="449" t="s">
        <v>47</v>
      </c>
    </row>
    <row r="82" spans="2:4" ht="14.4" thickBot="1">
      <c r="B82" s="447" t="s">
        <v>48</v>
      </c>
    </row>
    <row r="83" spans="2:4" ht="14.4" thickBot="1"/>
    <row r="84" spans="2:4">
      <c r="B84" s="453" t="s">
        <v>49</v>
      </c>
    </row>
    <row r="85" spans="2:4" ht="14.4" thickBot="1">
      <c r="B85" s="447" t="s">
        <v>50</v>
      </c>
    </row>
    <row r="87" spans="2:4" ht="14.4" thickBot="1"/>
    <row r="88" spans="2:4" ht="14.4" thickBot="1">
      <c r="B88" s="444" t="s">
        <v>51</v>
      </c>
      <c r="C88" s="468" t="s">
        <v>52</v>
      </c>
      <c r="D88" s="468" t="s">
        <v>53</v>
      </c>
    </row>
    <row r="89" spans="2:4">
      <c r="B89" s="469" t="s">
        <v>54</v>
      </c>
      <c r="C89" s="470" t="s">
        <v>55</v>
      </c>
      <c r="D89" s="470" t="s">
        <v>56</v>
      </c>
    </row>
    <row r="90" spans="2:4">
      <c r="B90" s="471" t="s">
        <v>57</v>
      </c>
      <c r="C90" s="465" t="s">
        <v>58</v>
      </c>
      <c r="D90" s="465" t="s">
        <v>59</v>
      </c>
    </row>
    <row r="91" spans="2:4">
      <c r="B91" s="471" t="s">
        <v>60</v>
      </c>
      <c r="C91" s="465" t="s">
        <v>61</v>
      </c>
      <c r="D91" s="465" t="s">
        <v>62</v>
      </c>
    </row>
    <row r="92" spans="2:4">
      <c r="B92" s="471" t="s">
        <v>63</v>
      </c>
      <c r="C92" s="465" t="s">
        <v>64</v>
      </c>
      <c r="D92" s="465" t="s">
        <v>65</v>
      </c>
    </row>
    <row r="93" spans="2:4">
      <c r="B93" s="471" t="s">
        <v>66</v>
      </c>
      <c r="C93" s="465" t="s">
        <v>67</v>
      </c>
      <c r="D93" s="465" t="s">
        <v>68</v>
      </c>
    </row>
    <row r="94" spans="2:4">
      <c r="B94" s="471" t="s">
        <v>69</v>
      </c>
      <c r="C94" s="465" t="s">
        <v>70</v>
      </c>
      <c r="D94" s="465" t="s">
        <v>71</v>
      </c>
    </row>
    <row r="95" spans="2:4">
      <c r="B95" s="471" t="s">
        <v>72</v>
      </c>
      <c r="C95" s="465" t="s">
        <v>73</v>
      </c>
      <c r="D95" s="465" t="s">
        <v>74</v>
      </c>
    </row>
    <row r="96" spans="2:4">
      <c r="B96" s="471" t="s">
        <v>75</v>
      </c>
      <c r="C96" s="465" t="s">
        <v>76</v>
      </c>
      <c r="D96" s="465" t="s">
        <v>77</v>
      </c>
    </row>
    <row r="97" spans="2:4">
      <c r="B97" s="471" t="s">
        <v>78</v>
      </c>
      <c r="C97" s="465" t="s">
        <v>79</v>
      </c>
      <c r="D97" s="465" t="s">
        <v>80</v>
      </c>
    </row>
    <row r="98" spans="2:4">
      <c r="B98" s="471" t="s">
        <v>81</v>
      </c>
      <c r="C98" s="465" t="s">
        <v>82</v>
      </c>
      <c r="D98" s="465" t="s">
        <v>83</v>
      </c>
    </row>
    <row r="99" spans="2:4">
      <c r="B99" s="471" t="s">
        <v>587</v>
      </c>
      <c r="C99" s="465" t="s">
        <v>84</v>
      </c>
      <c r="D99" s="465" t="s">
        <v>85</v>
      </c>
    </row>
    <row r="100" spans="2:4">
      <c r="B100" s="471" t="s">
        <v>588</v>
      </c>
      <c r="C100" s="465" t="s">
        <v>86</v>
      </c>
      <c r="D100" s="465" t="s">
        <v>87</v>
      </c>
    </row>
    <row r="101" spans="2:4">
      <c r="B101" s="471" t="s">
        <v>589</v>
      </c>
      <c r="C101" s="465" t="s">
        <v>88</v>
      </c>
      <c r="D101" s="465" t="s">
        <v>89</v>
      </c>
    </row>
    <row r="102" spans="2:4">
      <c r="B102" s="471" t="s">
        <v>590</v>
      </c>
      <c r="C102" s="465" t="s">
        <v>90</v>
      </c>
      <c r="D102" s="465" t="s">
        <v>91</v>
      </c>
    </row>
    <row r="103" spans="2:4">
      <c r="B103" s="471" t="s">
        <v>591</v>
      </c>
      <c r="C103" s="465" t="s">
        <v>92</v>
      </c>
      <c r="D103" s="465" t="s">
        <v>93</v>
      </c>
    </row>
    <row r="104" spans="2:4">
      <c r="B104" s="471" t="s">
        <v>592</v>
      </c>
      <c r="C104" s="465" t="s">
        <v>94</v>
      </c>
      <c r="D104" s="465" t="s">
        <v>95</v>
      </c>
    </row>
    <row r="105" spans="2:4">
      <c r="B105" s="471" t="s">
        <v>593</v>
      </c>
      <c r="C105" s="465" t="s">
        <v>96</v>
      </c>
      <c r="D105" s="465" t="s">
        <v>97</v>
      </c>
    </row>
    <row r="106" spans="2:4">
      <c r="B106" s="593" t="s">
        <v>594</v>
      </c>
      <c r="C106" s="594" t="s">
        <v>98</v>
      </c>
      <c r="D106" s="594" t="s">
        <v>99</v>
      </c>
    </row>
    <row r="107" spans="2:4">
      <c r="B107" s="593" t="s">
        <v>565</v>
      </c>
      <c r="C107" s="594" t="s">
        <v>566</v>
      </c>
      <c r="D107" s="594"/>
    </row>
    <row r="108" spans="2:4">
      <c r="B108" s="593" t="s">
        <v>567</v>
      </c>
      <c r="C108" s="594" t="s">
        <v>568</v>
      </c>
      <c r="D108" s="594"/>
    </row>
    <row r="109" spans="2:4">
      <c r="B109" s="593" t="s">
        <v>569</v>
      </c>
      <c r="C109" s="594" t="s">
        <v>570</v>
      </c>
      <c r="D109" s="594"/>
    </row>
    <row r="110" spans="2:4">
      <c r="B110" s="593" t="s">
        <v>571</v>
      </c>
      <c r="C110" s="594" t="s">
        <v>572</v>
      </c>
      <c r="D110" s="594"/>
    </row>
    <row r="111" spans="2:4">
      <c r="B111" s="593" t="s">
        <v>573</v>
      </c>
      <c r="C111" s="594" t="s">
        <v>574</v>
      </c>
      <c r="D111" s="594"/>
    </row>
    <row r="112" spans="2:4">
      <c r="B112" s="593" t="s">
        <v>575</v>
      </c>
      <c r="C112" s="594" t="s">
        <v>576</v>
      </c>
      <c r="D112" s="594"/>
    </row>
    <row r="113" spans="2:4">
      <c r="B113" s="593" t="s">
        <v>577</v>
      </c>
      <c r="C113" s="594" t="s">
        <v>578</v>
      </c>
      <c r="D113" s="594"/>
    </row>
    <row r="114" spans="2:4">
      <c r="B114" s="593" t="s">
        <v>579</v>
      </c>
      <c r="C114" s="594" t="s">
        <v>580</v>
      </c>
      <c r="D114" s="594"/>
    </row>
    <row r="115" spans="2:4">
      <c r="B115" s="593" t="s">
        <v>581</v>
      </c>
      <c r="C115" s="594" t="s">
        <v>582</v>
      </c>
      <c r="D115" s="594"/>
    </row>
    <row r="116" spans="2:4">
      <c r="B116" s="593" t="s">
        <v>583</v>
      </c>
      <c r="C116" s="594" t="s">
        <v>584</v>
      </c>
      <c r="D116" s="594"/>
    </row>
    <row r="117" spans="2:4" ht="14.4" thickBot="1">
      <c r="B117" s="472" t="s">
        <v>585</v>
      </c>
      <c r="C117" s="467" t="s">
        <v>586</v>
      </c>
      <c r="D117" s="467"/>
    </row>
    <row r="119" spans="2:4" ht="14.4" thickBot="1"/>
    <row r="120" spans="2:4" ht="14.4" thickBot="1">
      <c r="B120" s="444" t="s">
        <v>100</v>
      </c>
    </row>
    <row r="121" spans="2:4">
      <c r="B121" s="445" t="s">
        <v>101</v>
      </c>
    </row>
    <row r="122" spans="2:4" ht="14.4" thickBot="1">
      <c r="B122" s="447" t="s">
        <v>102</v>
      </c>
    </row>
    <row r="123" spans="2:4" ht="14.4" thickBot="1"/>
    <row r="124" spans="2:4" ht="14.4" thickBot="1">
      <c r="B124" s="444" t="s">
        <v>103</v>
      </c>
    </row>
    <row r="125" spans="2:4">
      <c r="B125" s="445" t="s">
        <v>104</v>
      </c>
    </row>
    <row r="126" spans="2:4" ht="14.4" thickBot="1">
      <c r="B126" s="447" t="s">
        <v>105</v>
      </c>
    </row>
    <row r="127" spans="2:4" ht="14.4" thickBot="1"/>
    <row r="128" spans="2:4" ht="14.4" thickBot="1">
      <c r="B128" s="444" t="s">
        <v>106</v>
      </c>
    </row>
    <row r="129" spans="2:32">
      <c r="B129" s="445" t="s">
        <v>107</v>
      </c>
    </row>
    <row r="130" spans="2:32" ht="14.4" thickBot="1">
      <c r="B130" s="447" t="s">
        <v>108</v>
      </c>
    </row>
    <row r="132" spans="2:32" ht="14.4" thickBot="1"/>
    <row r="133" spans="2:32">
      <c r="B133" s="453" t="s">
        <v>109</v>
      </c>
    </row>
    <row r="134" spans="2:32" ht="14.4" thickBot="1">
      <c r="B134" s="447" t="s">
        <v>110</v>
      </c>
    </row>
    <row r="136" spans="2:32" ht="14.4" thickBot="1"/>
    <row r="137" spans="2:32" ht="14.4" thickBot="1">
      <c r="B137" s="473" t="s">
        <v>111</v>
      </c>
    </row>
    <row r="138" spans="2:32">
      <c r="B138" s="474">
        <f t="shared" ref="B138:AF138" si="0">IF(B139&lt;=last_year,1,0)</f>
        <v>1</v>
      </c>
      <c r="C138" s="463">
        <f t="shared" si="0"/>
        <v>1</v>
      </c>
      <c r="D138" s="463">
        <f t="shared" si="0"/>
        <v>1</v>
      </c>
      <c r="E138" s="463">
        <f t="shared" si="0"/>
        <v>1</v>
      </c>
      <c r="F138" s="463">
        <f t="shared" si="0"/>
        <v>1</v>
      </c>
      <c r="G138" s="463">
        <f t="shared" si="0"/>
        <v>1</v>
      </c>
      <c r="H138" s="463">
        <f t="shared" si="0"/>
        <v>1</v>
      </c>
      <c r="I138" s="463">
        <f t="shared" si="0"/>
        <v>1</v>
      </c>
      <c r="J138" s="463">
        <f t="shared" si="0"/>
        <v>1</v>
      </c>
      <c r="K138" s="463">
        <f t="shared" si="0"/>
        <v>1</v>
      </c>
      <c r="L138" s="463">
        <f t="shared" si="0"/>
        <v>1</v>
      </c>
      <c r="M138" s="463">
        <f t="shared" si="0"/>
        <v>1</v>
      </c>
      <c r="N138" s="463">
        <f t="shared" si="0"/>
        <v>1</v>
      </c>
      <c r="O138" s="463">
        <f t="shared" si="0"/>
        <v>1</v>
      </c>
      <c r="P138" s="463">
        <f t="shared" si="0"/>
        <v>1</v>
      </c>
      <c r="Q138" s="463">
        <f t="shared" si="0"/>
        <v>1</v>
      </c>
      <c r="R138" s="463">
        <f t="shared" si="0"/>
        <v>1</v>
      </c>
      <c r="S138" s="463">
        <f t="shared" si="0"/>
        <v>1</v>
      </c>
      <c r="T138" s="463">
        <f t="shared" si="0"/>
        <v>1</v>
      </c>
      <c r="U138" s="463">
        <f t="shared" si="0"/>
        <v>1</v>
      </c>
      <c r="V138" s="463">
        <f t="shared" si="0"/>
        <v>0</v>
      </c>
      <c r="W138" s="463">
        <f t="shared" si="0"/>
        <v>0</v>
      </c>
      <c r="X138" s="463">
        <f t="shared" si="0"/>
        <v>0</v>
      </c>
      <c r="Y138" s="463">
        <f t="shared" si="0"/>
        <v>0</v>
      </c>
      <c r="Z138" s="463">
        <f t="shared" si="0"/>
        <v>0</v>
      </c>
      <c r="AA138" s="463">
        <f t="shared" si="0"/>
        <v>0</v>
      </c>
      <c r="AB138" s="463">
        <f t="shared" si="0"/>
        <v>0</v>
      </c>
      <c r="AC138" s="463">
        <f t="shared" si="0"/>
        <v>0</v>
      </c>
      <c r="AD138" s="463">
        <f t="shared" si="0"/>
        <v>0</v>
      </c>
      <c r="AE138" s="463">
        <f t="shared" si="0"/>
        <v>0</v>
      </c>
      <c r="AF138" s="464">
        <f t="shared" si="0"/>
        <v>0</v>
      </c>
    </row>
    <row r="139" spans="2:32" ht="14.4" thickBot="1">
      <c r="B139" s="472">
        <f>start_year</f>
        <v>2025</v>
      </c>
      <c r="C139" s="466">
        <f>B139+1</f>
        <v>2026</v>
      </c>
      <c r="D139" s="466">
        <f t="shared" ref="D139:AF139" si="1">C139+1</f>
        <v>2027</v>
      </c>
      <c r="E139" s="466">
        <f t="shared" si="1"/>
        <v>2028</v>
      </c>
      <c r="F139" s="466">
        <f t="shared" si="1"/>
        <v>2029</v>
      </c>
      <c r="G139" s="466">
        <f t="shared" si="1"/>
        <v>2030</v>
      </c>
      <c r="H139" s="466">
        <f t="shared" si="1"/>
        <v>2031</v>
      </c>
      <c r="I139" s="466">
        <f t="shared" si="1"/>
        <v>2032</v>
      </c>
      <c r="J139" s="466">
        <f t="shared" si="1"/>
        <v>2033</v>
      </c>
      <c r="K139" s="466">
        <f t="shared" si="1"/>
        <v>2034</v>
      </c>
      <c r="L139" s="466">
        <f t="shared" si="1"/>
        <v>2035</v>
      </c>
      <c r="M139" s="466">
        <f t="shared" si="1"/>
        <v>2036</v>
      </c>
      <c r="N139" s="466">
        <f t="shared" si="1"/>
        <v>2037</v>
      </c>
      <c r="O139" s="466">
        <f t="shared" si="1"/>
        <v>2038</v>
      </c>
      <c r="P139" s="466">
        <f t="shared" si="1"/>
        <v>2039</v>
      </c>
      <c r="Q139" s="466">
        <f t="shared" si="1"/>
        <v>2040</v>
      </c>
      <c r="R139" s="466">
        <f t="shared" si="1"/>
        <v>2041</v>
      </c>
      <c r="S139" s="466">
        <f t="shared" si="1"/>
        <v>2042</v>
      </c>
      <c r="T139" s="466">
        <f t="shared" si="1"/>
        <v>2043</v>
      </c>
      <c r="U139" s="466">
        <f t="shared" si="1"/>
        <v>2044</v>
      </c>
      <c r="V139" s="466">
        <f t="shared" si="1"/>
        <v>2045</v>
      </c>
      <c r="W139" s="466">
        <f t="shared" si="1"/>
        <v>2046</v>
      </c>
      <c r="X139" s="466">
        <f t="shared" si="1"/>
        <v>2047</v>
      </c>
      <c r="Y139" s="466">
        <f t="shared" si="1"/>
        <v>2048</v>
      </c>
      <c r="Z139" s="466">
        <f t="shared" si="1"/>
        <v>2049</v>
      </c>
      <c r="AA139" s="466">
        <f t="shared" si="1"/>
        <v>2050</v>
      </c>
      <c r="AB139" s="466">
        <f t="shared" si="1"/>
        <v>2051</v>
      </c>
      <c r="AC139" s="466">
        <f t="shared" si="1"/>
        <v>2052</v>
      </c>
      <c r="AD139" s="466">
        <f t="shared" si="1"/>
        <v>2053</v>
      </c>
      <c r="AE139" s="466">
        <f t="shared" si="1"/>
        <v>2054</v>
      </c>
      <c r="AF139" s="467">
        <f t="shared" si="1"/>
        <v>2055</v>
      </c>
    </row>
    <row r="141" spans="2:32" ht="14.4" thickBot="1"/>
    <row r="142" spans="2:32" ht="14.4" thickBot="1">
      <c r="B142" s="475" t="s">
        <v>112</v>
      </c>
    </row>
    <row r="143" spans="2:32" ht="14.4" thickBot="1">
      <c r="B143" s="448" t="s">
        <v>113</v>
      </c>
    </row>
    <row r="146" spans="2:3">
      <c r="B146" s="476" t="s">
        <v>114</v>
      </c>
      <c r="C146" s="477" t="s">
        <v>115</v>
      </c>
    </row>
    <row r="147" spans="2:3">
      <c r="B147" s="476" t="s">
        <v>116</v>
      </c>
      <c r="C147" s="477" t="s">
        <v>117</v>
      </c>
    </row>
    <row r="150" spans="2:3">
      <c r="B150" s="478" t="s">
        <v>118</v>
      </c>
      <c r="C150" s="479">
        <v>0.83</v>
      </c>
    </row>
    <row r="151" spans="2:3">
      <c r="B151" s="478" t="s">
        <v>119</v>
      </c>
      <c r="C151" s="479">
        <f>1-C150</f>
        <v>0.17000000000000004</v>
      </c>
    </row>
    <row r="153" spans="2:3" ht="14.4" thickBot="1"/>
    <row r="154" spans="2:3" ht="14.4" thickBot="1">
      <c r="B154" s="475" t="s">
        <v>120</v>
      </c>
    </row>
    <row r="155" spans="2:3">
      <c r="B155" s="480" t="s">
        <v>121</v>
      </c>
    </row>
    <row r="156" spans="2:3">
      <c r="B156" s="481" t="s">
        <v>122</v>
      </c>
    </row>
    <row r="157" spans="2:3">
      <c r="B157" s="481" t="s">
        <v>123</v>
      </c>
    </row>
    <row r="158" spans="2:3">
      <c r="B158" s="481" t="s">
        <v>124</v>
      </c>
    </row>
    <row r="159" spans="2:3">
      <c r="B159" s="481" t="s">
        <v>125</v>
      </c>
    </row>
    <row r="160" spans="2:3">
      <c r="B160" s="481" t="s">
        <v>126</v>
      </c>
    </row>
    <row r="161" spans="2:2">
      <c r="B161" s="481" t="s">
        <v>127</v>
      </c>
    </row>
    <row r="162" spans="2:2">
      <c r="B162" s="481" t="s">
        <v>128</v>
      </c>
    </row>
    <row r="163" spans="2:2">
      <c r="B163" s="481" t="s">
        <v>129</v>
      </c>
    </row>
    <row r="164" spans="2:2">
      <c r="B164" s="481" t="s">
        <v>130</v>
      </c>
    </row>
    <row r="165" spans="2:2">
      <c r="B165" s="481" t="s">
        <v>131</v>
      </c>
    </row>
    <row r="166" spans="2:2">
      <c r="B166" s="481" t="s">
        <v>132</v>
      </c>
    </row>
    <row r="167" spans="2:2" ht="14.4" thickBot="1">
      <c r="B167" s="482" t="s">
        <v>133</v>
      </c>
    </row>
    <row r="170" spans="2:2" ht="29.4" thickBot="1">
      <c r="B170" s="483" t="s">
        <v>131</v>
      </c>
    </row>
    <row r="171" spans="2:2" ht="14.4" thickBot="1">
      <c r="B171" s="484" t="s">
        <v>134</v>
      </c>
    </row>
    <row r="172" spans="2:2" ht="41.4">
      <c r="B172" s="485" t="s">
        <v>135</v>
      </c>
    </row>
    <row r="173" spans="2:2" ht="14.4" thickBot="1">
      <c r="B173" s="486" t="s">
        <v>136</v>
      </c>
    </row>
    <row r="176" spans="2:2" ht="15" thickBot="1">
      <c r="B176" s="483" t="s">
        <v>128</v>
      </c>
    </row>
    <row r="177" spans="2:2" ht="14.4" thickBot="1">
      <c r="B177" s="484" t="s">
        <v>137</v>
      </c>
    </row>
    <row r="178" spans="2:2" ht="27.6">
      <c r="B178" s="485" t="s">
        <v>138</v>
      </c>
    </row>
    <row r="179" spans="2:2" ht="27.6">
      <c r="B179" s="487" t="s">
        <v>139</v>
      </c>
    </row>
    <row r="180" spans="2:2" ht="41.4">
      <c r="B180" s="487" t="s">
        <v>140</v>
      </c>
    </row>
    <row r="181" spans="2:2" ht="28.2" thickBot="1">
      <c r="B181" s="486" t="s">
        <v>141</v>
      </c>
    </row>
  </sheetData>
  <sheetProtection algorithmName="SHA-512" hashValue="Ph8s3PwQIOLrHrO5shBqCr4lTy/kx/ooAs6KLRmhRvCwAjeLzxu9ktjJ+cDzZ/3qffyrma24C7AVpotEo6dJaw==" saltValue="VK5ftjxXBK/hvX/N/57YIQ==" spinCount="100000" sheet="1" objects="1" scenarios="1"/>
  <conditionalFormatting sqref="B138:AF139">
    <cfRule type="expression" dxfId="275" priority="1">
      <formula>B$138&gt;0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FBDC-149F-4591-8157-8F6B4B006374}">
  <sheetPr codeName="Munka2"/>
  <dimension ref="D2:X49"/>
  <sheetViews>
    <sheetView showGridLines="0" zoomScale="40" zoomScaleNormal="40" workbookViewId="0">
      <selection activeCell="F19" sqref="F19"/>
    </sheetView>
  </sheetViews>
  <sheetFormatPr defaultColWidth="9.19921875" defaultRowHeight="15" customHeight="1"/>
  <cols>
    <col min="1" max="1" width="9.19921875" style="200" customWidth="1"/>
    <col min="2" max="2" width="34.69921875" style="200" bestFit="1" customWidth="1"/>
    <col min="3" max="3" width="9.19921875" style="200" customWidth="1"/>
    <col min="4" max="4" width="37.19921875" style="200" customWidth="1"/>
    <col min="5" max="5" width="9.19921875" style="200" customWidth="1"/>
    <col min="6" max="6" width="44" style="200" customWidth="1"/>
    <col min="7" max="7" width="9.19921875" style="200" customWidth="1"/>
    <col min="8" max="8" width="44" style="200" customWidth="1"/>
    <col min="9" max="9" width="9.19921875" style="200" customWidth="1"/>
    <col min="10" max="10" width="44" style="200" customWidth="1"/>
    <col min="11" max="11" width="9.19921875" style="200" customWidth="1"/>
    <col min="12" max="12" width="44" style="200" customWidth="1"/>
    <col min="13" max="13" width="9.19921875" style="200" customWidth="1"/>
    <col min="14" max="14" width="44" style="200" customWidth="1"/>
    <col min="15" max="15" width="9.19921875" style="200" customWidth="1"/>
    <col min="16" max="16" width="44" style="200" customWidth="1"/>
    <col min="17" max="17" width="9.19921875" style="200" customWidth="1"/>
    <col min="18" max="16384" width="9.19921875" style="200"/>
  </cols>
  <sheetData>
    <row r="2" spans="6:16" ht="24.6"/>
    <row r="3" spans="6:16" ht="49.2">
      <c r="H3" s="201" t="s">
        <v>142</v>
      </c>
    </row>
    <row r="4" spans="6:16" ht="24.6"/>
    <row r="5" spans="6:16" ht="24.6">
      <c r="H5" s="202" t="s">
        <v>143</v>
      </c>
      <c r="L5" s="203" t="s">
        <v>144</v>
      </c>
    </row>
    <row r="6" spans="6:16" ht="24.6"/>
    <row r="7" spans="6:16" ht="49.2">
      <c r="N7" s="201" t="s">
        <v>145</v>
      </c>
    </row>
    <row r="8" spans="6:16" ht="24.6"/>
    <row r="9" spans="6:16" ht="24.6">
      <c r="L9" s="204" t="s">
        <v>143</v>
      </c>
      <c r="N9" s="205" t="s">
        <v>144</v>
      </c>
    </row>
    <row r="10" spans="6:16" ht="24.6"/>
    <row r="11" spans="6:16" ht="73.8">
      <c r="L11" s="206"/>
      <c r="N11" s="201" t="s">
        <v>146</v>
      </c>
    </row>
    <row r="12" spans="6:16" ht="24.6"/>
    <row r="13" spans="6:16" ht="24.6">
      <c r="J13" s="207" t="s">
        <v>144</v>
      </c>
      <c r="N13" s="208" t="s">
        <v>143</v>
      </c>
    </row>
    <row r="14" spans="6:16" ht="25.2" thickBot="1"/>
    <row r="15" spans="6:16" ht="25.2" thickBot="1">
      <c r="F15" s="209"/>
      <c r="G15" s="210"/>
      <c r="H15" s="211" t="s">
        <v>147</v>
      </c>
      <c r="I15" s="210"/>
      <c r="J15" s="212"/>
      <c r="L15" s="213"/>
      <c r="M15" s="214"/>
      <c r="N15" s="215" t="s">
        <v>148</v>
      </c>
      <c r="O15" s="214"/>
      <c r="P15" s="216"/>
    </row>
    <row r="16" spans="6:16" ht="24.6"/>
    <row r="17" spans="6:16" ht="24.6"/>
    <row r="18" spans="6:16" ht="73.8">
      <c r="H18" s="201" t="s">
        <v>149</v>
      </c>
      <c r="N18" s="201" t="s">
        <v>150</v>
      </c>
    </row>
    <row r="19" spans="6:16" ht="24.6"/>
    <row r="20" spans="6:16" ht="24.6">
      <c r="F20" s="217" t="s">
        <v>143</v>
      </c>
      <c r="H20" s="218" t="s">
        <v>144</v>
      </c>
      <c r="L20" s="217" t="s">
        <v>143</v>
      </c>
      <c r="P20" s="219" t="s">
        <v>144</v>
      </c>
    </row>
    <row r="21" spans="6:16" ht="24.6"/>
    <row r="22" spans="6:16" ht="98.4">
      <c r="H22" s="201" t="s">
        <v>151</v>
      </c>
      <c r="J22" s="220"/>
      <c r="P22" s="201" t="s">
        <v>149</v>
      </c>
    </row>
    <row r="23" spans="6:16" ht="24.6"/>
    <row r="24" spans="6:16" ht="24.6">
      <c r="H24" s="218" t="s">
        <v>144</v>
      </c>
      <c r="J24" s="221" t="s">
        <v>143</v>
      </c>
      <c r="N24" s="222" t="s">
        <v>143</v>
      </c>
      <c r="P24" s="218" t="s">
        <v>144</v>
      </c>
    </row>
    <row r="25" spans="6:16" ht="25.2" thickBot="1"/>
    <row r="26" spans="6:16" s="224" customFormat="1" ht="99" thickBot="1">
      <c r="F26" s="223" t="s">
        <v>152</v>
      </c>
      <c r="H26" s="223" t="s">
        <v>152</v>
      </c>
      <c r="J26" s="223" t="s">
        <v>153</v>
      </c>
      <c r="L26" s="225" t="s">
        <v>154</v>
      </c>
      <c r="N26" s="225" t="s">
        <v>154</v>
      </c>
      <c r="P26" s="225" t="s">
        <v>155</v>
      </c>
    </row>
    <row r="32" spans="6:16" ht="15" customHeight="1" thickBot="1"/>
    <row r="33" spans="4:24" s="229" customFormat="1" ht="111" thickBot="1">
      <c r="D33" s="226" t="s">
        <v>156</v>
      </c>
      <c r="E33" s="227"/>
      <c r="F33" s="228" t="s">
        <v>157</v>
      </c>
      <c r="G33" s="227"/>
      <c r="H33" s="228" t="s">
        <v>157</v>
      </c>
      <c r="I33" s="227"/>
      <c r="J33" s="228" t="s">
        <v>158</v>
      </c>
      <c r="K33" s="227"/>
      <c r="L33" s="228" t="s">
        <v>159</v>
      </c>
      <c r="M33" s="227"/>
      <c r="N33" s="228" t="s">
        <v>159</v>
      </c>
      <c r="O33" s="227"/>
      <c r="P33" s="228" t="s">
        <v>160</v>
      </c>
      <c r="Q33" s="227"/>
    </row>
    <row r="34" spans="4:24" ht="24.6"/>
    <row r="35" spans="4:24" ht="24.6"/>
    <row r="36" spans="4:24" ht="24.6"/>
    <row r="37" spans="4:24" ht="25.2" thickBot="1"/>
    <row r="38" spans="4:24" ht="25.2" thickBot="1">
      <c r="F38" s="209"/>
      <c r="G38" s="210"/>
      <c r="H38" s="211" t="s">
        <v>147</v>
      </c>
      <c r="I38" s="210"/>
      <c r="J38" s="212"/>
      <c r="L38" s="213"/>
      <c r="M38" s="214"/>
      <c r="N38" s="215" t="s">
        <v>148</v>
      </c>
      <c r="O38" s="214"/>
      <c r="P38" s="216"/>
    </row>
    <row r="39" spans="4:24" ht="25.2" thickBot="1"/>
    <row r="40" spans="4:24" s="224" customFormat="1" ht="148.19999999999999" thickBot="1">
      <c r="F40" s="223" t="s">
        <v>161</v>
      </c>
      <c r="H40" s="223" t="s">
        <v>162</v>
      </c>
      <c r="J40" s="223" t="s">
        <v>163</v>
      </c>
      <c r="L40" s="225" t="s">
        <v>164</v>
      </c>
      <c r="N40" s="225" t="s">
        <v>165</v>
      </c>
      <c r="P40" s="225" t="s">
        <v>166</v>
      </c>
      <c r="X40" s="230"/>
    </row>
    <row r="41" spans="4:24" ht="25.2" thickBot="1"/>
    <row r="42" spans="4:24" s="224" customFormat="1" ht="99" thickBot="1">
      <c r="F42" s="223" t="s">
        <v>152</v>
      </c>
      <c r="H42" s="223" t="s">
        <v>152</v>
      </c>
      <c r="J42" s="223" t="s">
        <v>153</v>
      </c>
      <c r="L42" s="225" t="s">
        <v>154</v>
      </c>
      <c r="N42" s="225" t="s">
        <v>154</v>
      </c>
      <c r="P42" s="225" t="s">
        <v>155</v>
      </c>
      <c r="X42" s="230"/>
    </row>
    <row r="43" spans="4:24" ht="25.2" thickBot="1"/>
    <row r="44" spans="4:24" ht="74.400000000000006" thickBot="1">
      <c r="D44" s="231" t="s">
        <v>167</v>
      </c>
      <c r="F44" s="232" t="s">
        <v>168</v>
      </c>
      <c r="H44" s="232" t="s">
        <v>168</v>
      </c>
      <c r="J44" s="232" t="s">
        <v>169</v>
      </c>
      <c r="L44" s="233" t="s">
        <v>170</v>
      </c>
      <c r="N44" s="233" t="s">
        <v>170</v>
      </c>
      <c r="P44" s="233" t="s">
        <v>171</v>
      </c>
    </row>
    <row r="45" spans="4:24" ht="25.2" thickBot="1">
      <c r="D45" s="234"/>
    </row>
    <row r="46" spans="4:24" ht="74.400000000000006" thickBot="1">
      <c r="D46" s="231" t="s">
        <v>172</v>
      </c>
      <c r="F46" s="232" t="s">
        <v>168</v>
      </c>
      <c r="H46" s="232" t="s">
        <v>173</v>
      </c>
      <c r="J46" s="232" t="s">
        <v>171</v>
      </c>
      <c r="L46" s="233" t="s">
        <v>174</v>
      </c>
      <c r="N46" s="233" t="s">
        <v>174</v>
      </c>
      <c r="P46" s="233" t="s">
        <v>171</v>
      </c>
    </row>
    <row r="47" spans="4:24" ht="25.2" thickBot="1">
      <c r="D47" s="234"/>
    </row>
    <row r="48" spans="4:24" ht="74.400000000000006" thickBot="1">
      <c r="D48" s="231" t="s">
        <v>175</v>
      </c>
      <c r="F48" s="232" t="s">
        <v>176</v>
      </c>
      <c r="H48" s="232" t="s">
        <v>176</v>
      </c>
      <c r="J48" s="232" t="s">
        <v>177</v>
      </c>
      <c r="L48" s="233" t="s">
        <v>176</v>
      </c>
      <c r="N48" s="233" t="s">
        <v>176</v>
      </c>
      <c r="P48" s="233" t="s">
        <v>177</v>
      </c>
    </row>
    <row r="49" s="200" customFormat="1" ht="24.6"/>
  </sheetData>
  <sheetProtection algorithmName="SHA-512" hashValue="e5FyGET7OEukxssRKJ3SucZ8bdGVp2rk2ZRkFxIGN8DWJ5CoN09h6f/qyGdfbTXbVKnIuemh576v9ljYdr32gg==" saltValue="lf/iu5D5Fy7GZKTJ9QYiCg==" spinCount="100000" sheet="1" objects="1" scenarios="1"/>
  <hyperlinks>
    <hyperlink ref="F33" location="nem_áll_egyszerű!A1" display="nem_áll_egyszerű!A1" xr:uid="{6FBC7F3B-5F43-0C46-B8B9-54483B630322}"/>
    <hyperlink ref="H33" location="nem_áll_egyszerű!A1" display="nem_áll_egyszerű!A1" xr:uid="{4DAF968A-B535-024A-A1DD-5D0614DA1DCD}"/>
    <hyperlink ref="J33" location="nem_áll_fin_hiány!A1" display="nem_áll_fin_hiány!A1" xr:uid="{6BEAFF26-10A8-7F4E-8470-2AEE20A870BE}"/>
    <hyperlink ref="L33" location="áll_tám_egyszerű!A1" display="áll_tám_egyszerű!A1" xr:uid="{D7C30237-7AF3-6441-97FB-755974C1604E}"/>
    <hyperlink ref="N33" location="áll_tám_egyszerű!A1" display="áll_tám_egyszerű!A1" xr:uid="{796DD805-9820-3C41-824A-9C54AAC551B8}"/>
    <hyperlink ref="P33" location="áll_tám_műk_eredmény!A1" display="áll_tám_műk_eredmény!A1" xr:uid="{38DDE476-D3B6-164E-8845-40C367660953}"/>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B1A70-F562-4C0D-950B-EE2FB2F28A94}">
  <sheetPr codeName="Munka14">
    <tabColor theme="9" tint="0.79998168889431442"/>
  </sheetPr>
  <dimension ref="A1:J106"/>
  <sheetViews>
    <sheetView tabSelected="1" topLeftCell="A51" zoomScale="40" zoomScaleNormal="40" workbookViewId="0">
      <selection activeCell="H84" sqref="H84"/>
    </sheetView>
  </sheetViews>
  <sheetFormatPr defaultColWidth="9.19921875" defaultRowHeight="15" customHeight="1"/>
  <cols>
    <col min="1" max="1" width="13.69921875" style="47" customWidth="1"/>
    <col min="2" max="2" width="52.5" style="47" customWidth="1"/>
    <col min="3" max="3" width="204.69921875" style="47" customWidth="1"/>
    <col min="4" max="6" width="25.5" style="47" customWidth="1"/>
    <col min="7" max="7" width="30.19921875" style="47" customWidth="1"/>
    <col min="8" max="10" width="40.69921875" style="47" customWidth="1"/>
    <col min="11" max="16384" width="9.19921875" style="47"/>
  </cols>
  <sheetData>
    <row r="1" spans="2:6" ht="15" customHeight="1" thickBot="1"/>
    <row r="2" spans="2:6" ht="306.60000000000002" customHeight="1" thickBot="1">
      <c r="B2" s="168" t="s">
        <v>178</v>
      </c>
      <c r="C2" s="169" t="s">
        <v>179</v>
      </c>
    </row>
    <row r="3" spans="2:6" ht="14.4" thickBot="1">
      <c r="F3" s="121" t="s">
        <v>180</v>
      </c>
    </row>
    <row r="4" spans="2:6" s="46" customFormat="1" ht="14.4" thickBot="1">
      <c r="B4" s="170" t="s">
        <v>181</v>
      </c>
      <c r="C4" s="171" t="s">
        <v>182</v>
      </c>
      <c r="F4" s="77" t="str">
        <f>IF(C4="",valaszoljon,"")</f>
        <v/>
      </c>
    </row>
    <row r="5" spans="2:6" s="46" customFormat="1" ht="14.4" thickBot="1">
      <c r="B5" s="47"/>
      <c r="C5" s="47"/>
    </row>
    <row r="6" spans="2:6" s="46" customFormat="1" ht="14.4" thickBot="1">
      <c r="B6" s="172" t="s">
        <v>183</v>
      </c>
      <c r="C6" s="171" t="s">
        <v>184</v>
      </c>
      <c r="F6" s="122" t="str">
        <f>IF(C6="",valaszoljon,"")</f>
        <v/>
      </c>
    </row>
    <row r="7" spans="2:6" s="46" customFormat="1" ht="13.8" thickBot="1"/>
    <row r="8" spans="2:6" s="46" customFormat="1" ht="39.450000000000003" customHeight="1">
      <c r="B8" s="173" t="s">
        <v>185</v>
      </c>
      <c r="C8" s="533" t="s">
        <v>7</v>
      </c>
      <c r="F8" s="123" t="str">
        <f>IF(C8="",valaszoljon,"")</f>
        <v/>
      </c>
    </row>
    <row r="9" spans="2:6" s="46" customFormat="1" ht="13.8" thickBot="1">
      <c r="B9" s="174" t="s">
        <v>186</v>
      </c>
      <c r="C9" s="532" t="s">
        <v>28</v>
      </c>
      <c r="F9" s="124" t="str">
        <f>IF(C9="",valaszoljon,"")</f>
        <v/>
      </c>
    </row>
    <row r="10" spans="2:6" s="46" customFormat="1" ht="13.8" thickBot="1"/>
    <row r="11" spans="2:6" ht="14.4" thickBot="1">
      <c r="B11" s="172" t="s">
        <v>187</v>
      </c>
      <c r="C11" s="531" t="s">
        <v>39</v>
      </c>
      <c r="F11" s="125" t="str">
        <f>IF(C11="",valaszoljon,"")</f>
        <v/>
      </c>
    </row>
    <row r="12" spans="2:6" ht="14.4" thickBot="1"/>
    <row r="13" spans="2:6" ht="13.8">
      <c r="B13" s="175" t="str">
        <f>IF($C$11=Háttér_listák!$B$42,"Felhívás azonosítója","Felhívás címe")</f>
        <v>Felhívás azonosítója</v>
      </c>
      <c r="C13" s="530" t="s">
        <v>54</v>
      </c>
      <c r="D13" s="46"/>
    </row>
    <row r="14" spans="2:6" ht="13.8">
      <c r="B14" s="176" t="str">
        <f>IF($C$11=Háttér_listák!$B$42,"Felhívás címe","Felhívás azonosítója")</f>
        <v>Felhívás címe</v>
      </c>
      <c r="C14" s="115" t="str">
        <f>IFERROR(INDEX(_xlfn.ANCHORARRAY(Háttér_listák!$C$47),MATCH(Főoldal!$C$13,felh_valaszt_list,0)),"HIBÁS KITÖLTÉS")</f>
        <v>Fenntartható városfejlesztés</v>
      </c>
    </row>
    <row r="15" spans="2:6" ht="40.200000000000003" customHeight="1" thickBot="1">
      <c r="B15" s="177" t="s">
        <v>188</v>
      </c>
      <c r="C15" s="529" t="s">
        <v>1</v>
      </c>
    </row>
    <row r="16" spans="2:6" ht="14.4" thickBot="1">
      <c r="B16" s="44"/>
    </row>
    <row r="17" spans="1:10" ht="14.4" thickBot="1">
      <c r="C17" s="118" t="str">
        <f>IFERROR(IF(C13="","",IF(INDEX(Háttér_listák!$D$47:$D$75,MATCH(Főoldal!$C$13,felh_valaszt_list,0))=1,köv_valaszoljon,ne_valaszoljon)),"")</f>
        <v>Kérjük válaszoljon a következő kérdésekre!</v>
      </c>
    </row>
    <row r="18" spans="1:10" ht="14.4" thickBot="1">
      <c r="C18" s="117"/>
    </row>
    <row r="19" spans="1:10" ht="14.4" thickBot="1">
      <c r="B19" s="436" t="s">
        <v>189</v>
      </c>
      <c r="C19" s="437" t="s">
        <v>190</v>
      </c>
      <c r="D19" s="438" t="s">
        <v>191</v>
      </c>
      <c r="E19" s="439" t="s">
        <v>192</v>
      </c>
      <c r="F19" s="439" t="s">
        <v>180</v>
      </c>
      <c r="G19" s="440" t="s">
        <v>193</v>
      </c>
    </row>
    <row r="20" spans="1:10" ht="408.45" customHeight="1" thickBot="1">
      <c r="B20" s="178" t="s">
        <v>194</v>
      </c>
      <c r="C20" s="179" t="s">
        <v>195</v>
      </c>
      <c r="D20" s="180" t="s">
        <v>196</v>
      </c>
      <c r="E20" s="528" t="s">
        <v>1</v>
      </c>
      <c r="F20" s="48" t="str">
        <f>IF(AND(C17=köv_valaszoljon,gazd_tev&lt;&gt;""),oke,IF(AND(C17=köv_valaszoljon,gazd_tev=""),valaszoljon,IF(AND(C17=ne_valaszoljon,gazd_tev&lt;&gt;""),torolje,oke)))</f>
        <v>A kitöltés megfelelő!</v>
      </c>
      <c r="G20" s="528"/>
    </row>
    <row r="21" spans="1:10" ht="14.4" thickBot="1"/>
    <row r="22" spans="1:10" ht="251.25" customHeight="1" thickBot="1">
      <c r="B22" s="178" t="s">
        <v>197</v>
      </c>
      <c r="C22" s="179" t="s">
        <v>198</v>
      </c>
      <c r="D22" s="179" t="s">
        <v>199</v>
      </c>
      <c r="E22" s="528" t="s">
        <v>1</v>
      </c>
      <c r="F22" s="48" t="str">
        <f>IF(áll_tám_rel=oke,IF(AND(C17=ne_valaszoljon,ker_hat&lt;&gt;""),torolje,IF(AND(C17=köv_valaszoljon,gazd_tev="nem",ker_hat=""),oke,IF(AND(C17=köv_valaszoljon,gazd_tev="nem",ker_hat&lt;&gt;""),torolje,IF(AND(C17=köv_valaszoljon,gazd_tev="igen",ker_hat=""),valaszoljon,oke)))),elozo_valasz)</f>
        <v>A kitöltés megfelelő!</v>
      </c>
      <c r="G22" s="528"/>
    </row>
    <row r="23" spans="1:10" ht="14.4" thickBot="1"/>
    <row r="24" spans="1:10" ht="132.6" thickBot="1">
      <c r="B24" s="178" t="s">
        <v>200</v>
      </c>
      <c r="C24" s="179" t="s">
        <v>201</v>
      </c>
      <c r="D24" s="179" t="s">
        <v>202</v>
      </c>
      <c r="E24" s="528" t="s">
        <v>1</v>
      </c>
      <c r="F24" s="48" t="str">
        <f>IF(F22=oke,IF(AND(C17=ne_valaszoljon,közc_tev&lt;&gt;""),torolje,IF(AND(C17=köv_valaszoljon,ker_hat="nem",közc_tev=""),oke,IF(AND(C17=köv_valaszoljon,ker_hat="nem",közc_tev&lt;&gt;""),torolje,IF(AND(C17=köv_valaszoljon,ker_hat="igen",közc_tev=""),valaszoljon,oke)))),elozo_valasz)</f>
        <v>A kitöltés megfelelő!</v>
      </c>
      <c r="G24" s="528"/>
    </row>
    <row r="25" spans="1:10" ht="13.8">
      <c r="D25" s="95"/>
    </row>
    <row r="26" spans="1:10" ht="14.4" thickBot="1">
      <c r="B26" s="49"/>
      <c r="C26" s="49"/>
      <c r="D26" s="95"/>
    </row>
    <row r="27" spans="1:10" ht="28.2" thickBot="1">
      <c r="A27" s="181" t="s">
        <v>203</v>
      </c>
      <c r="B27" s="182" t="s">
        <v>204</v>
      </c>
      <c r="C27" s="182" t="s">
        <v>205</v>
      </c>
      <c r="D27" s="182" t="s">
        <v>206</v>
      </c>
      <c r="E27" s="183" t="s">
        <v>207</v>
      </c>
      <c r="F27" s="184" t="s">
        <v>180</v>
      </c>
      <c r="H27" s="441" t="s">
        <v>208</v>
      </c>
      <c r="I27" s="441"/>
    </row>
    <row r="28" spans="1:10" ht="13.8">
      <c r="A28" s="516" t="s">
        <v>209</v>
      </c>
      <c r="B28" s="517" t="s">
        <v>121</v>
      </c>
      <c r="C28" s="517" t="s">
        <v>113</v>
      </c>
      <c r="D28" s="518">
        <v>19675211000</v>
      </c>
      <c r="E28" s="519">
        <v>1</v>
      </c>
      <c r="F28" s="50" t="str">
        <f t="shared" ref="F28:F34" si="0">IF(OR(D28="",E28=""),"",_xlfn.LET(_xlpm.ell,IF(C28=nem_rel,B28,C28),_xlpm.ell_tartomany,IF(C28=nem_rel,$B$28:$B$54,$C$28:$C$54),_xlpm.darab1,COUNTIF(_xlpm.ell_tartomany,_xlpm.ell),_xlpm.darab2,COUNTIFS(_xlpm.ell_tartomany,_xlpm.ell,$D$28:$D$54,D28,$E$28:$E$54,E28),IF(_xlpm.darab1=_xlpm.darab2,"Megfelelt","Hiba!!!")))</f>
        <v>Megfelelt</v>
      </c>
      <c r="H28" s="441" t="str">
        <f t="shared" ref="H28:H54" si="1">IF(ISBLANK(B28),"",IF(C28=nem_rel,B28,B28&amp;" - "&amp;C28))</f>
        <v>Nem állami támogatás</v>
      </c>
      <c r="I28" s="441" t="str">
        <f t="shared" ref="I28:I54" si="2">LEFT(H28,200)</f>
        <v>Nem állami támogatás</v>
      </c>
      <c r="J28" s="106"/>
    </row>
    <row r="29" spans="1:10" ht="13.8">
      <c r="A29" s="520" t="s">
        <v>210</v>
      </c>
      <c r="B29" s="517" t="s">
        <v>121</v>
      </c>
      <c r="C29" s="517" t="s">
        <v>113</v>
      </c>
      <c r="D29" s="287">
        <v>19675211000</v>
      </c>
      <c r="E29" s="521">
        <v>1</v>
      </c>
      <c r="F29" s="52" t="str">
        <f t="shared" si="0"/>
        <v>Megfelelt</v>
      </c>
      <c r="H29" s="441" t="str">
        <f t="shared" si="1"/>
        <v>Nem állami támogatás</v>
      </c>
      <c r="I29" s="441" t="str">
        <f t="shared" si="2"/>
        <v>Nem állami támogatás</v>
      </c>
      <c r="J29" s="106"/>
    </row>
    <row r="30" spans="1:10" ht="13.8">
      <c r="A30" s="520" t="s">
        <v>211</v>
      </c>
      <c r="B30" s="517" t="s">
        <v>122</v>
      </c>
      <c r="C30" s="517" t="s">
        <v>113</v>
      </c>
      <c r="D30" s="287">
        <f>3000000*D79</f>
        <v>1200000000</v>
      </c>
      <c r="E30" s="521">
        <v>1</v>
      </c>
      <c r="F30" s="52" t="str">
        <f t="shared" si="0"/>
        <v>Megfelelt</v>
      </c>
      <c r="H30" s="441" t="str">
        <f t="shared" si="1"/>
        <v>Csekély összegű támogatás</v>
      </c>
      <c r="I30" s="441" t="str">
        <f t="shared" si="2"/>
        <v>Csekély összegű támogatás</v>
      </c>
      <c r="J30" s="106"/>
    </row>
    <row r="31" spans="1:10" ht="69">
      <c r="A31" s="520" t="s">
        <v>212</v>
      </c>
      <c r="B31" s="517" t="s">
        <v>128</v>
      </c>
      <c r="C31" s="517" t="s">
        <v>141</v>
      </c>
      <c r="D31" s="287">
        <v>19675211000</v>
      </c>
      <c r="E31" s="521">
        <v>0.7</v>
      </c>
      <c r="F31" s="52" t="str">
        <f t="shared" si="0"/>
        <v>Megfelelt</v>
      </c>
      <c r="H31" s="441" t="str">
        <f t="shared" si="1"/>
        <v>Környezeti károk helyreállítása - az éghajlatváltozáshoz való alkalmazkodásra és annak mérséklésére szolgáló természetalapú megoldások megvalósításához nyújtott támogatás esetén</v>
      </c>
      <c r="I31" s="441" t="str">
        <f t="shared" si="2"/>
        <v>Környezeti károk helyreállítása - az éghajlatváltozáshoz való alkalmazkodásra és annak mérséklésére szolgáló természetalapú megoldások megvalósításához nyújtott támogatás esetén</v>
      </c>
      <c r="J31" s="106"/>
    </row>
    <row r="32" spans="1:10" ht="82.8">
      <c r="A32" s="520" t="s">
        <v>213</v>
      </c>
      <c r="B32" s="517" t="s">
        <v>128</v>
      </c>
      <c r="C32" s="517" t="s">
        <v>140</v>
      </c>
      <c r="D32" s="287">
        <v>19675211000</v>
      </c>
      <c r="E32" s="521">
        <v>0.7</v>
      </c>
      <c r="F32" s="52" t="str">
        <f t="shared" si="0"/>
        <v>Megfelelt</v>
      </c>
      <c r="H32" s="441" t="str">
        <f t="shared" si="1"/>
        <v>Környezeti károk helyreállítása - a biológiai sokféleség vagy ökoszisztémák védelméhez vagy helyreállításához az ökoszisztémák jó állapotának eléréséhez való hozzájárulás vagy a már jó állapotban lévő ökoszisztémák védelme érdekében nyújtott támogatás esetén</v>
      </c>
      <c r="I32" s="441" t="str">
        <f t="shared" si="2"/>
        <v>Környezeti károk helyreállítása - a biológiai sokféleség vagy ökoszisztémák védelméhez vagy helyreállításához az ökoszisztémák jó állapotának eléréséhez való hozzájárulás vagy a már jó állapotban lévő</v>
      </c>
      <c r="J32" s="106"/>
    </row>
    <row r="33" spans="1:10" ht="13.8">
      <c r="A33" s="520" t="s">
        <v>214</v>
      </c>
      <c r="B33" s="517" t="s">
        <v>132</v>
      </c>
      <c r="C33" s="517" t="s">
        <v>113</v>
      </c>
      <c r="D33" s="287">
        <v>19675211000</v>
      </c>
      <c r="E33" s="521">
        <v>0.5</v>
      </c>
      <c r="F33" s="52" t="str">
        <f t="shared" si="0"/>
        <v>Megfelelt</v>
      </c>
      <c r="H33" s="441" t="str">
        <f t="shared" si="1"/>
        <v>Regionális beruházási támogatás</v>
      </c>
      <c r="I33" s="441" t="str">
        <f t="shared" si="2"/>
        <v>Regionális beruházási támogatás</v>
      </c>
      <c r="J33" s="106"/>
    </row>
    <row r="34" spans="1:10" ht="124.2">
      <c r="A34" s="520" t="s">
        <v>215</v>
      </c>
      <c r="B34" s="517" t="s">
        <v>131</v>
      </c>
      <c r="C34" s="517" t="s">
        <v>135</v>
      </c>
      <c r="D34" s="287">
        <v>19675211000</v>
      </c>
      <c r="E34" s="521">
        <v>1</v>
      </c>
      <c r="F34" s="52" t="str">
        <f t="shared" si="0"/>
        <v>Megfelelt</v>
      </c>
      <c r="H34" s="441" t="str">
        <f t="shared" si="1"/>
        <v>Megújuló energia, megújuló hidrogén és nagy hatásfokú kapcsolt energiatermeléshez nyújtott beruházási támogatás - A támogatott beruházás megújulóenergia termelésre - ideértve az (EU) 2018/2001 irányelv VII. mellékletének megfelelő hőszivattyúkat -, megújuló energiaforrásokon alapuló nagy hatásfokú kapcsolt energiatermelésre és megújuló hidrogén termelésre irányul</v>
      </c>
      <c r="I34" s="441" t="str">
        <f t="shared" si="2"/>
        <v>Megújuló energia, megújuló hidrogén és nagy hatásfokú kapcsolt energiatermeléshez nyújtott beruházási támogatás - A támogatott beruházás megújulóenergia termelésre - ideértve az (EU) 2018/2001 irányel</v>
      </c>
      <c r="J34" s="106"/>
    </row>
    <row r="35" spans="1:10" ht="41.4">
      <c r="A35" s="520" t="s">
        <v>216</v>
      </c>
      <c r="B35" s="517" t="s">
        <v>130</v>
      </c>
      <c r="C35" s="517" t="s">
        <v>113</v>
      </c>
      <c r="D35" s="287">
        <v>19675211000</v>
      </c>
      <c r="E35" s="521">
        <v>1</v>
      </c>
      <c r="F35" s="52" t="s">
        <v>217</v>
      </c>
      <c r="H35" s="441" t="str">
        <f t="shared" si="1"/>
        <v>Elektromos- vagy hidrogéntöltő infrastruktúrához nyújtott beruházási támogatás, csekély összegű támogatás</v>
      </c>
      <c r="I35" s="441" t="str">
        <f t="shared" si="2"/>
        <v>Elektromos- vagy hidrogéntöltő infrastruktúrához nyújtott beruházási támogatás, csekély összegű támogatás</v>
      </c>
      <c r="J35" s="106"/>
    </row>
    <row r="36" spans="1:10" ht="13.8">
      <c r="A36" s="520" t="s">
        <v>218</v>
      </c>
      <c r="B36" s="517" t="s">
        <v>122</v>
      </c>
      <c r="C36" s="517" t="s">
        <v>113</v>
      </c>
      <c r="D36" s="287">
        <f>3000000*D79</f>
        <v>1200000000</v>
      </c>
      <c r="E36" s="521">
        <v>1</v>
      </c>
      <c r="F36" s="52" t="s">
        <v>217</v>
      </c>
      <c r="H36" s="441" t="str">
        <f t="shared" si="1"/>
        <v>Csekély összegű támogatás</v>
      </c>
      <c r="I36" s="441" t="str">
        <f t="shared" si="2"/>
        <v>Csekély összegű támogatás</v>
      </c>
      <c r="J36" s="106"/>
    </row>
    <row r="37" spans="1:10" ht="13.8">
      <c r="A37" s="520" t="s">
        <v>219</v>
      </c>
      <c r="B37" s="517" t="s">
        <v>125</v>
      </c>
      <c r="C37" s="517" t="s">
        <v>113</v>
      </c>
      <c r="D37" s="287">
        <v>19675211000</v>
      </c>
      <c r="E37" s="521">
        <v>1</v>
      </c>
      <c r="F37" s="52" t="s">
        <v>217</v>
      </c>
      <c r="H37" s="441" t="str">
        <f t="shared" si="1"/>
        <v>Közszolgáltatásért járó ellentételezés</v>
      </c>
      <c r="I37" s="441" t="str">
        <f t="shared" si="2"/>
        <v>Közszolgáltatásért járó ellentételezés</v>
      </c>
      <c r="J37" s="106"/>
    </row>
    <row r="38" spans="1:10" ht="13.8">
      <c r="A38" s="520"/>
      <c r="B38" s="517"/>
      <c r="C38" s="517"/>
      <c r="D38" s="287"/>
      <c r="E38" s="521"/>
      <c r="F38" s="52" t="str">
        <f t="shared" ref="F38:F54" si="3">IF(OR(D38="",E38=""),"",_xlfn.LET(_xlpm.ell,IF(C38=nem_rel,B38,C38),_xlpm.ell_tartomany,IF(C38=nem_rel,$B$28:$B$54,$C$28:$C$54),_xlpm.darab1,COUNTIF(_xlpm.ell_tartomany,_xlpm.ell),_xlpm.darab2,COUNTIFS(_xlpm.ell_tartomany,_xlpm.ell,$D$28:$D$54,D38,$E$28:$E$54,E38),IF(_xlpm.darab1=_xlpm.darab2,"Megfelelt","Hiba!!!")))</f>
        <v/>
      </c>
      <c r="H38" s="441" t="str">
        <f t="shared" si="1"/>
        <v/>
      </c>
      <c r="I38" s="441" t="str">
        <f t="shared" si="2"/>
        <v/>
      </c>
      <c r="J38" s="106"/>
    </row>
    <row r="39" spans="1:10" ht="13.8">
      <c r="A39" s="520"/>
      <c r="B39" s="517"/>
      <c r="C39" s="517"/>
      <c r="D39" s="287"/>
      <c r="E39" s="521"/>
      <c r="F39" s="52" t="str">
        <f t="shared" si="3"/>
        <v/>
      </c>
      <c r="H39" s="441" t="str">
        <f t="shared" si="1"/>
        <v/>
      </c>
      <c r="I39" s="441" t="str">
        <f t="shared" si="2"/>
        <v/>
      </c>
      <c r="J39" s="106"/>
    </row>
    <row r="40" spans="1:10" ht="13.8">
      <c r="A40" s="520"/>
      <c r="B40" s="517"/>
      <c r="C40" s="517"/>
      <c r="D40" s="287"/>
      <c r="E40" s="521"/>
      <c r="F40" s="52" t="str">
        <f t="shared" si="3"/>
        <v/>
      </c>
      <c r="H40" s="441" t="str">
        <f t="shared" si="1"/>
        <v/>
      </c>
      <c r="I40" s="441" t="str">
        <f t="shared" si="2"/>
        <v/>
      </c>
      <c r="J40" s="106"/>
    </row>
    <row r="41" spans="1:10" ht="13.8">
      <c r="A41" s="520"/>
      <c r="B41" s="522"/>
      <c r="C41" s="517"/>
      <c r="D41" s="501"/>
      <c r="E41" s="523"/>
      <c r="F41" s="52" t="str">
        <f t="shared" si="3"/>
        <v/>
      </c>
      <c r="H41" s="441" t="str">
        <f t="shared" si="1"/>
        <v/>
      </c>
      <c r="I41" s="441" t="str">
        <f t="shared" si="2"/>
        <v/>
      </c>
      <c r="J41" s="106"/>
    </row>
    <row r="42" spans="1:10" ht="13.8">
      <c r="A42" s="520"/>
      <c r="B42" s="522"/>
      <c r="C42" s="517"/>
      <c r="D42" s="501"/>
      <c r="E42" s="523"/>
      <c r="F42" s="52" t="str">
        <f t="shared" si="3"/>
        <v/>
      </c>
      <c r="H42" s="441" t="str">
        <f t="shared" si="1"/>
        <v/>
      </c>
      <c r="I42" s="441" t="str">
        <f t="shared" si="2"/>
        <v/>
      </c>
      <c r="J42" s="106"/>
    </row>
    <row r="43" spans="1:10" ht="13.8">
      <c r="A43" s="520"/>
      <c r="B43" s="522"/>
      <c r="C43" s="517"/>
      <c r="D43" s="501"/>
      <c r="E43" s="523"/>
      <c r="F43" s="52" t="str">
        <f t="shared" si="3"/>
        <v/>
      </c>
      <c r="H43" s="441" t="str">
        <f t="shared" si="1"/>
        <v/>
      </c>
      <c r="I43" s="441" t="str">
        <f t="shared" si="2"/>
        <v/>
      </c>
      <c r="J43" s="106"/>
    </row>
    <row r="44" spans="1:10" ht="13.8">
      <c r="A44" s="520"/>
      <c r="B44" s="517"/>
      <c r="C44" s="517"/>
      <c r="D44" s="287"/>
      <c r="E44" s="521"/>
      <c r="F44" s="52" t="str">
        <f t="shared" si="3"/>
        <v/>
      </c>
      <c r="H44" s="441" t="str">
        <f t="shared" si="1"/>
        <v/>
      </c>
      <c r="I44" s="441" t="str">
        <f t="shared" si="2"/>
        <v/>
      </c>
      <c r="J44" s="106"/>
    </row>
    <row r="45" spans="1:10" ht="13.8">
      <c r="A45" s="520"/>
      <c r="B45" s="522"/>
      <c r="C45" s="517"/>
      <c r="D45" s="501"/>
      <c r="E45" s="523"/>
      <c r="F45" s="52" t="str">
        <f t="shared" si="3"/>
        <v/>
      </c>
      <c r="H45" s="441" t="str">
        <f t="shared" si="1"/>
        <v/>
      </c>
      <c r="I45" s="441" t="str">
        <f t="shared" si="2"/>
        <v/>
      </c>
      <c r="J45" s="106"/>
    </row>
    <row r="46" spans="1:10" ht="13.8">
      <c r="A46" s="520"/>
      <c r="B46" s="522"/>
      <c r="C46" s="517"/>
      <c r="D46" s="501"/>
      <c r="E46" s="523"/>
      <c r="F46" s="52" t="str">
        <f t="shared" si="3"/>
        <v/>
      </c>
      <c r="H46" s="441" t="str">
        <f t="shared" si="1"/>
        <v/>
      </c>
      <c r="I46" s="441" t="str">
        <f t="shared" si="2"/>
        <v/>
      </c>
      <c r="J46" s="106"/>
    </row>
    <row r="47" spans="1:10" ht="13.8">
      <c r="A47" s="520"/>
      <c r="B47" s="522"/>
      <c r="C47" s="517"/>
      <c r="D47" s="501"/>
      <c r="E47" s="523"/>
      <c r="F47" s="52" t="str">
        <f t="shared" si="3"/>
        <v/>
      </c>
      <c r="H47" s="441" t="str">
        <f t="shared" si="1"/>
        <v/>
      </c>
      <c r="I47" s="441" t="str">
        <f t="shared" si="2"/>
        <v/>
      </c>
      <c r="J47" s="106"/>
    </row>
    <row r="48" spans="1:10" ht="13.8">
      <c r="A48" s="520"/>
      <c r="B48" s="522"/>
      <c r="C48" s="517"/>
      <c r="D48" s="501"/>
      <c r="E48" s="523"/>
      <c r="F48" s="52" t="str">
        <f t="shared" si="3"/>
        <v/>
      </c>
      <c r="H48" s="441" t="str">
        <f t="shared" si="1"/>
        <v/>
      </c>
      <c r="I48" s="441" t="str">
        <f t="shared" si="2"/>
        <v/>
      </c>
      <c r="J48" s="106"/>
    </row>
    <row r="49" spans="1:10" ht="13.8">
      <c r="A49" s="520"/>
      <c r="B49" s="522"/>
      <c r="C49" s="517"/>
      <c r="D49" s="501"/>
      <c r="E49" s="523"/>
      <c r="F49" s="52" t="str">
        <f t="shared" si="3"/>
        <v/>
      </c>
      <c r="H49" s="441" t="str">
        <f t="shared" si="1"/>
        <v/>
      </c>
      <c r="I49" s="441" t="str">
        <f t="shared" si="2"/>
        <v/>
      </c>
      <c r="J49" s="106"/>
    </row>
    <row r="50" spans="1:10" ht="13.8">
      <c r="A50" s="520"/>
      <c r="B50" s="522"/>
      <c r="C50" s="517"/>
      <c r="D50" s="501"/>
      <c r="E50" s="523"/>
      <c r="F50" s="52" t="str">
        <f t="shared" si="3"/>
        <v/>
      </c>
      <c r="H50" s="441" t="str">
        <f t="shared" si="1"/>
        <v/>
      </c>
      <c r="I50" s="441" t="str">
        <f t="shared" si="2"/>
        <v/>
      </c>
      <c r="J50" s="106"/>
    </row>
    <row r="51" spans="1:10" ht="13.8">
      <c r="A51" s="520"/>
      <c r="B51" s="522"/>
      <c r="C51" s="517"/>
      <c r="D51" s="501"/>
      <c r="E51" s="523"/>
      <c r="F51" s="52" t="str">
        <f t="shared" si="3"/>
        <v/>
      </c>
      <c r="H51" s="441" t="str">
        <f t="shared" si="1"/>
        <v/>
      </c>
      <c r="I51" s="441" t="str">
        <f t="shared" si="2"/>
        <v/>
      </c>
      <c r="J51" s="106"/>
    </row>
    <row r="52" spans="1:10" ht="13.8">
      <c r="A52" s="520"/>
      <c r="B52" s="522"/>
      <c r="C52" s="517"/>
      <c r="D52" s="501"/>
      <c r="E52" s="523"/>
      <c r="F52" s="52" t="str">
        <f t="shared" si="3"/>
        <v/>
      </c>
      <c r="H52" s="441" t="str">
        <f t="shared" si="1"/>
        <v/>
      </c>
      <c r="I52" s="441" t="str">
        <f t="shared" si="2"/>
        <v/>
      </c>
      <c r="J52" s="106"/>
    </row>
    <row r="53" spans="1:10" ht="13.8">
      <c r="A53" s="520"/>
      <c r="B53" s="522"/>
      <c r="C53" s="517"/>
      <c r="D53" s="501"/>
      <c r="E53" s="523"/>
      <c r="F53" s="52" t="str">
        <f t="shared" si="3"/>
        <v/>
      </c>
      <c r="H53" s="441" t="str">
        <f t="shared" si="1"/>
        <v/>
      </c>
      <c r="I53" s="441" t="str">
        <f t="shared" si="2"/>
        <v/>
      </c>
      <c r="J53" s="106"/>
    </row>
    <row r="54" spans="1:10" ht="14.4" thickBot="1">
      <c r="A54" s="524"/>
      <c r="B54" s="525"/>
      <c r="C54" s="526"/>
      <c r="D54" s="526"/>
      <c r="E54" s="527"/>
      <c r="F54" s="54" t="str">
        <f t="shared" si="3"/>
        <v/>
      </c>
      <c r="H54" s="441" t="str">
        <f t="shared" si="1"/>
        <v/>
      </c>
      <c r="I54" s="441" t="str">
        <f t="shared" si="2"/>
        <v/>
      </c>
      <c r="J54" s="106"/>
    </row>
    <row r="55" spans="1:10" ht="13.8">
      <c r="B55" s="49"/>
      <c r="C55" s="49"/>
    </row>
    <row r="56" spans="1:10" ht="13.8">
      <c r="B56" s="49"/>
      <c r="C56" s="49"/>
    </row>
    <row r="57" spans="1:10" ht="14.4" thickBot="1">
      <c r="C57" s="49"/>
      <c r="D57" s="49"/>
    </row>
    <row r="58" spans="1:10" ht="42" thickBot="1">
      <c r="C58" s="185" t="s">
        <v>204</v>
      </c>
      <c r="D58" s="186" t="s">
        <v>220</v>
      </c>
      <c r="E58" s="187" t="s">
        <v>221</v>
      </c>
    </row>
    <row r="59" spans="1:10" ht="13.8">
      <c r="C59" s="55" t="str" cm="1">
        <f t="array" ref="C59:C67">_xlfn.UNIQUE(H28:H54)</f>
        <v>Nem állami támogatás</v>
      </c>
      <c r="D59" s="56">
        <f t="shared" ref="D59:D76" si="4">IFERROR(IF(C59="","",INDEX($D$27:$D$54,MATCH(LEFT($C59,200),$I$27:$I$54,0))),"")</f>
        <v>19675211000</v>
      </c>
      <c r="E59" s="57">
        <f t="shared" ref="E59:E76" si="5">IFERROR(IF(C59="","",INDEX($E$27:$E$54,MATCH(LEFT($C59,200),$I$27:$I$54,0))),"")</f>
        <v>1</v>
      </c>
    </row>
    <row r="60" spans="1:10" ht="13.8">
      <c r="C60" s="58" t="str">
        <v>Csekély összegű támogatás</v>
      </c>
      <c r="D60" s="59">
        <f t="shared" si="4"/>
        <v>1200000000</v>
      </c>
      <c r="E60" s="60">
        <f t="shared" si="5"/>
        <v>1</v>
      </c>
    </row>
    <row r="61" spans="1:10" ht="13.8">
      <c r="C61" s="58" t="str">
        <v>Környezeti károk helyreállítása - az éghajlatváltozáshoz való alkalmazkodásra és annak mérséklésére szolgáló természetalapú megoldások megvalósításához nyújtott támogatás esetén</v>
      </c>
      <c r="D61" s="59">
        <f t="shared" si="4"/>
        <v>19675211000</v>
      </c>
      <c r="E61" s="60">
        <f t="shared" si="5"/>
        <v>0.7</v>
      </c>
    </row>
    <row r="62" spans="1:10" ht="27.6">
      <c r="C62" s="58" t="str">
        <v>Környezeti károk helyreállítása - a biológiai sokféleség vagy ökoszisztémák védelméhez vagy helyreállításához az ökoszisztémák jó állapotának eléréséhez való hozzájárulás vagy a már jó állapotban lévő ökoszisztémák védelme érdekében nyújtott támogatás esetén</v>
      </c>
      <c r="D62" s="59">
        <f t="shared" si="4"/>
        <v>19675211000</v>
      </c>
      <c r="E62" s="60">
        <f t="shared" si="5"/>
        <v>0.7</v>
      </c>
    </row>
    <row r="63" spans="1:10" ht="13.8">
      <c r="C63" s="58" t="str">
        <v>Regionális beruházási támogatás</v>
      </c>
      <c r="D63" s="59">
        <f t="shared" si="4"/>
        <v>19675211000</v>
      </c>
      <c r="E63" s="60">
        <f t="shared" si="5"/>
        <v>0.5</v>
      </c>
    </row>
    <row r="64" spans="1:10" ht="27.6">
      <c r="C64" s="58" t="str">
        <v>Megújuló energia, megújuló hidrogén és nagy hatásfokú kapcsolt energiatermeléshez nyújtott beruházási támogatás - A támogatott beruházás megújulóenergia termelésre - ideértve az (EU) 2018/2001 irányelv VII. mellékletének megfelelő hőszivattyúkat -, megújuló energiaforrásokon alapuló nagy hatásfokú kapcsolt energiatermelésre és megújuló hidrogén termelésre irányul</v>
      </c>
      <c r="D64" s="59">
        <f t="shared" si="4"/>
        <v>19675211000</v>
      </c>
      <c r="E64" s="60">
        <f t="shared" si="5"/>
        <v>1</v>
      </c>
    </row>
    <row r="65" spans="3:5" ht="13.8">
      <c r="C65" s="58" t="str">
        <v>Elektromos- vagy hidrogéntöltő infrastruktúrához nyújtott beruházási támogatás, csekély összegű támogatás</v>
      </c>
      <c r="D65" s="59">
        <f t="shared" si="4"/>
        <v>19675211000</v>
      </c>
      <c r="E65" s="60">
        <f t="shared" si="5"/>
        <v>1</v>
      </c>
    </row>
    <row r="66" spans="3:5" ht="13.8">
      <c r="C66" s="58" t="str">
        <v>Közszolgáltatásért járó ellentételezés</v>
      </c>
      <c r="D66" s="59">
        <f t="shared" si="4"/>
        <v>19675211000</v>
      </c>
      <c r="E66" s="60">
        <f t="shared" si="5"/>
        <v>1</v>
      </c>
    </row>
    <row r="67" spans="3:5" ht="13.8">
      <c r="C67" s="58" t="str">
        <v/>
      </c>
      <c r="D67" s="59" t="str">
        <f t="shared" si="4"/>
        <v/>
      </c>
      <c r="E67" s="60" t="str">
        <f t="shared" si="5"/>
        <v/>
      </c>
    </row>
    <row r="68" spans="3:5" ht="13.8">
      <c r="C68" s="58"/>
      <c r="D68" s="59" t="str">
        <f t="shared" si="4"/>
        <v/>
      </c>
      <c r="E68" s="60" t="str">
        <f t="shared" si="5"/>
        <v/>
      </c>
    </row>
    <row r="69" spans="3:5" ht="13.8">
      <c r="C69" s="58"/>
      <c r="D69" s="59" t="str">
        <f t="shared" si="4"/>
        <v/>
      </c>
      <c r="E69" s="60" t="str">
        <f t="shared" si="5"/>
        <v/>
      </c>
    </row>
    <row r="70" spans="3:5" ht="13.8">
      <c r="C70" s="58"/>
      <c r="D70" s="59" t="str">
        <f t="shared" si="4"/>
        <v/>
      </c>
      <c r="E70" s="60" t="str">
        <f t="shared" si="5"/>
        <v/>
      </c>
    </row>
    <row r="71" spans="3:5" ht="13.8">
      <c r="C71" s="58"/>
      <c r="D71" s="59" t="str">
        <f t="shared" si="4"/>
        <v/>
      </c>
      <c r="E71" s="60" t="str">
        <f t="shared" si="5"/>
        <v/>
      </c>
    </row>
    <row r="72" spans="3:5" ht="13.8">
      <c r="C72" s="58"/>
      <c r="D72" s="59" t="str">
        <f t="shared" si="4"/>
        <v/>
      </c>
      <c r="E72" s="60" t="str">
        <f t="shared" si="5"/>
        <v/>
      </c>
    </row>
    <row r="73" spans="3:5" ht="13.8">
      <c r="C73" s="58"/>
      <c r="D73" s="59" t="str">
        <f t="shared" si="4"/>
        <v/>
      </c>
      <c r="E73" s="60" t="str">
        <f t="shared" si="5"/>
        <v/>
      </c>
    </row>
    <row r="74" spans="3:5" ht="13.8">
      <c r="C74" s="58"/>
      <c r="D74" s="59" t="str">
        <f t="shared" si="4"/>
        <v/>
      </c>
      <c r="E74" s="60" t="str">
        <f t="shared" si="5"/>
        <v/>
      </c>
    </row>
    <row r="75" spans="3:5" ht="13.8">
      <c r="C75" s="58"/>
      <c r="D75" s="59" t="str">
        <f t="shared" si="4"/>
        <v/>
      </c>
      <c r="E75" s="60" t="str">
        <f t="shared" si="5"/>
        <v/>
      </c>
    </row>
    <row r="76" spans="3:5" ht="14.4" thickBot="1">
      <c r="C76" s="61"/>
      <c r="D76" s="62" t="str">
        <f t="shared" si="4"/>
        <v/>
      </c>
      <c r="E76" s="63" t="str">
        <f t="shared" si="5"/>
        <v/>
      </c>
    </row>
    <row r="77" spans="3:5" ht="13.8">
      <c r="C77" s="49"/>
    </row>
    <row r="78" spans="3:5" ht="15" customHeight="1" thickBot="1"/>
    <row r="79" spans="3:5" ht="14.4" thickBot="1">
      <c r="C79" s="188" t="s">
        <v>222</v>
      </c>
      <c r="D79" s="171">
        <v>400</v>
      </c>
    </row>
    <row r="80" spans="3:5" ht="15" customHeight="1" thickBot="1"/>
    <row r="81" spans="2:4" ht="15" customHeight="1">
      <c r="C81" s="189" t="s">
        <v>223</v>
      </c>
      <c r="D81" s="190">
        <v>2025</v>
      </c>
    </row>
    <row r="82" spans="2:4" ht="15" customHeight="1">
      <c r="C82" s="191" t="s">
        <v>224</v>
      </c>
      <c r="D82" s="192">
        <v>1</v>
      </c>
    </row>
    <row r="83" spans="2:4" ht="15" customHeight="1" thickBot="1">
      <c r="C83" s="193" t="s">
        <v>225</v>
      </c>
      <c r="D83" s="65">
        <f>start_year+D82</f>
        <v>2026</v>
      </c>
    </row>
    <row r="84" spans="2:4" ht="15" customHeight="1" thickBot="1"/>
    <row r="85" spans="2:4" ht="15" customHeight="1">
      <c r="C85" s="189" t="s">
        <v>226</v>
      </c>
      <c r="D85" s="194">
        <v>20</v>
      </c>
    </row>
    <row r="86" spans="2:4" ht="15" customHeight="1" thickBot="1">
      <c r="C86" s="193" t="s">
        <v>227</v>
      </c>
      <c r="D86" s="65">
        <f>start_year+D85-1</f>
        <v>2044</v>
      </c>
    </row>
    <row r="87" spans="2:4" ht="15" customHeight="1" thickBot="1"/>
    <row r="88" spans="2:4" ht="15" customHeight="1">
      <c r="C88" s="189" t="s">
        <v>228</v>
      </c>
      <c r="D88" s="195">
        <v>7.46E-2</v>
      </c>
    </row>
    <row r="89" spans="2:4" ht="15" customHeight="1">
      <c r="C89" s="196" t="s">
        <v>229</v>
      </c>
      <c r="D89" s="197">
        <v>7.46E-2</v>
      </c>
    </row>
    <row r="90" spans="2:4" ht="15" customHeight="1" thickBot="1">
      <c r="C90" s="193" t="s">
        <v>230</v>
      </c>
      <c r="D90" s="198">
        <v>0.03</v>
      </c>
    </row>
    <row r="92" spans="2:4" ht="15" customHeight="1">
      <c r="D92" s="64"/>
    </row>
    <row r="93" spans="2:4" s="103" customFormat="1" ht="15" customHeight="1">
      <c r="B93" s="104" t="s">
        <v>231</v>
      </c>
    </row>
    <row r="94" spans="2:4" ht="15" customHeight="1" thickBot="1"/>
    <row r="95" spans="2:4" ht="45.45" customHeight="1" thickBot="1">
      <c r="C95" s="199" t="s">
        <v>232</v>
      </c>
    </row>
    <row r="97" spans="3:6" ht="13.8">
      <c r="C97" s="91" t="str">
        <f>'Pénzügyi elemzés'!B156</f>
        <v>Megnevezés</v>
      </c>
      <c r="D97" s="91" t="str">
        <f>'Pénzügyi elemzés'!C156</f>
        <v>nem állami támogatás</v>
      </c>
      <c r="E97" s="91" t="str">
        <f>'Pénzügyi elemzés'!D156</f>
        <v>állami támogatás</v>
      </c>
      <c r="F97" s="91" t="str">
        <f>'Pénzügyi elemzés'!E156</f>
        <v>Összesen</v>
      </c>
    </row>
    <row r="98" spans="3:6" ht="13.8">
      <c r="C98" s="92" t="str">
        <f>'Pénzügyi elemzés'!B157</f>
        <v>Teljes beruházási költség, Ft</v>
      </c>
      <c r="D98" s="293">
        <v>78835000</v>
      </c>
      <c r="E98" s="293">
        <v>404669769</v>
      </c>
      <c r="F98" s="293">
        <v>483504769</v>
      </c>
    </row>
    <row r="99" spans="3:6" ht="13.8">
      <c r="C99" s="92" t="str">
        <f>'Pénzügyi elemzés'!B158</f>
        <v>Elszámolható költségek (EC), Ft</v>
      </c>
      <c r="D99" s="293">
        <v>78835000</v>
      </c>
      <c r="E99" s="293">
        <v>404669769</v>
      </c>
      <c r="F99" s="293">
        <v>483504769</v>
      </c>
    </row>
    <row r="100" spans="3:6" ht="13.8">
      <c r="C100" s="92" t="str">
        <f>'Pénzügyi elemzés'!B159</f>
        <v>Nem elszámolható költségek (EC), Ft</v>
      </c>
      <c r="D100" s="293">
        <v>0</v>
      </c>
      <c r="E100" s="293">
        <v>0</v>
      </c>
      <c r="F100" s="293">
        <v>0</v>
      </c>
    </row>
    <row r="101" spans="3:6" ht="13.8">
      <c r="C101" s="92" t="str">
        <f>'Pénzügyi elemzés'!B160</f>
        <v>Elszámolható költségekre vonatkozó támogatási arány %</v>
      </c>
      <c r="D101" s="294">
        <v>1</v>
      </c>
      <c r="E101" s="294">
        <v>0.80482693866470378</v>
      </c>
      <c r="F101" s="294">
        <v>0.83664972362335244</v>
      </c>
    </row>
    <row r="102" spans="3:6" ht="13.8">
      <c r="C102" s="92" t="str">
        <f>'Pénzügyi elemzés'!B161</f>
        <v>Támogatási összeg, Ft</v>
      </c>
      <c r="D102" s="293">
        <v>78835000</v>
      </c>
      <c r="E102" s="293">
        <v>325689131.35442287</v>
      </c>
      <c r="F102" s="293">
        <v>404524131.35442287</v>
      </c>
    </row>
    <row r="103" spans="3:6" ht="13.8">
      <c r="C103" s="92" t="str">
        <f>'Pénzügyi elemzés'!B162</f>
        <v>Európai Uniós forrás, Ft</v>
      </c>
      <c r="D103" s="293">
        <v>65433050</v>
      </c>
      <c r="E103" s="293">
        <v>270321979.02417099</v>
      </c>
      <c r="F103" s="293">
        <v>335755029.02417099</v>
      </c>
    </row>
    <row r="104" spans="3:6" ht="13.8">
      <c r="C104" s="92" t="str">
        <f>'Pénzügyi elemzés'!B163</f>
        <v>Hazai társfinanszírozás összege, Ft</v>
      </c>
      <c r="D104" s="293">
        <v>13401950</v>
      </c>
      <c r="E104" s="293">
        <v>55367152.330251873</v>
      </c>
      <c r="F104" s="293">
        <v>68769102.330251873</v>
      </c>
    </row>
    <row r="105" spans="3:6" ht="13.8">
      <c r="C105" s="92" t="str">
        <f>'Pénzügyi elemzés'!B164</f>
        <v>Kedvezményezett hozzájárulása, Ft</v>
      </c>
      <c r="D105" s="293">
        <v>0</v>
      </c>
      <c r="E105" s="293">
        <v>78980637.645577133</v>
      </c>
      <c r="F105" s="293">
        <v>78980637.645577133</v>
      </c>
    </row>
    <row r="106" spans="3:6" ht="13.8">
      <c r="C106" s="92" t="str">
        <f>'Pénzügyi elemzés'!B165</f>
        <v>Nemzeti hozzájárulás összesen, Ft</v>
      </c>
      <c r="D106" s="293">
        <v>13401950</v>
      </c>
      <c r="E106" s="293">
        <v>134347789.97582901</v>
      </c>
      <c r="F106" s="293">
        <v>147749739.97582901</v>
      </c>
    </row>
  </sheetData>
  <sheetProtection algorithmName="SHA-512" hashValue="1tSEPqt0PQM/qsepQ0dvauDWW2Hcsi7inis9k4kpeI2UvP5DjMKWJlGIzJeYBqRezrfuxk6pEUc19ZdcXgX28g==" saltValue="wphA2qQwGsg2Zz68srBtYw==" spinCount="100000" sheet="1" objects="1" scenarios="1"/>
  <dataValidations count="8">
    <dataValidation type="list" allowBlank="1" showInputMessage="1" showErrorMessage="1" sqref="C8" xr:uid="{6B117308-A1EC-4542-AB16-B5E041D202E7}">
      <formula1>Szerv_form</formula1>
    </dataValidation>
    <dataValidation type="list" allowBlank="1" showInputMessage="1" showErrorMessage="1" sqref="C9" xr:uid="{897DADE6-C667-4FF2-9F2B-AAEE10F6962E}">
      <formula1>Varmegye</formula1>
    </dataValidation>
    <dataValidation type="list" allowBlank="1" showInputMessage="1" showErrorMessage="1" sqref="C11" xr:uid="{46FBED85-EDE2-4D55-8DB0-1ED778E00EDF}">
      <formula1>felh_valaszt</formula1>
    </dataValidation>
    <dataValidation type="list" allowBlank="1" showInputMessage="1" showErrorMessage="1" sqref="C13" xr:uid="{C88331E7-2342-49AF-AB22-9424DB5082C4}">
      <formula1>felh_valaszt_list</formula1>
    </dataValidation>
    <dataValidation type="list" allowBlank="1" showInputMessage="1" showErrorMessage="1" sqref="E20 E22 E24 C15" xr:uid="{CBEE99A2-0FF5-4D25-BF25-06BDC6FFB1E0}">
      <formula1>i_n_list</formula1>
    </dataValidation>
    <dataValidation type="list" allowBlank="1" showInputMessage="1" showErrorMessage="1" sqref="B28:B54" xr:uid="{0F2C65E3-203F-4C67-BBEC-50F0386A94D2}">
      <formula1>Tam_jogcim</formula1>
    </dataValidation>
    <dataValidation type="whole" operator="greaterThanOrEqual" allowBlank="1" showInputMessage="1" showErrorMessage="1" sqref="D28:D54" xr:uid="{A250B136-587D-424D-B7B4-D22C1AAAC0C8}">
      <formula1>0</formula1>
    </dataValidation>
    <dataValidation type="decimal" allowBlank="1" showInputMessage="1" showErrorMessage="1" sqref="E28:E54" xr:uid="{70280E10-93CE-430A-B246-07962DD00045}">
      <formula1>0</formula1>
      <formula2>1</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50CF52F-0ADD-4C8C-A5D3-15AA7498D93B}">
          <x14:formula1>
            <xm:f>IF(B28=Háttér_listák!$B$176,korny_kar_list,IF(AND(B28=Háttér_listák!$B$170,$C$8&lt;&gt;Háttér_listák!$B$13),megujulo_energia,nem_rel))</xm:f>
          </x14:formula1>
          <xm:sqref>C28:C54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C7034-638D-47C8-8F2E-F566BEBC7E95}">
  <sheetPr codeName="Munka15">
    <tabColor theme="9" tint="0.79998168889431442"/>
  </sheetPr>
  <dimension ref="B1:AZ110"/>
  <sheetViews>
    <sheetView topLeftCell="H3" zoomScale="40" zoomScaleNormal="40" workbookViewId="0">
      <selection activeCell="R21" sqref="R21"/>
    </sheetView>
  </sheetViews>
  <sheetFormatPr defaultColWidth="9.19921875" defaultRowHeight="13.8"/>
  <cols>
    <col min="1" max="1" width="9.19921875" style="47"/>
    <col min="2" max="2" width="12.5" style="47" customWidth="1"/>
    <col min="3" max="4" width="9.19921875" style="47" hidden="1" customWidth="1"/>
    <col min="5" max="5" width="115.5" style="47" customWidth="1"/>
    <col min="6" max="6" width="11.19921875" style="47" customWidth="1"/>
    <col min="7" max="7" width="40.19921875" style="47" customWidth="1"/>
    <col min="8" max="8" width="15.19921875" style="47" customWidth="1"/>
    <col min="9" max="9" width="12" style="47" customWidth="1"/>
    <col min="10" max="12" width="21.19921875" style="47" customWidth="1"/>
    <col min="13" max="13" width="8" style="47" customWidth="1"/>
    <col min="14" max="16" width="21.19921875" style="47" customWidth="1"/>
    <col min="17" max="19" width="40.69921875" style="47" customWidth="1"/>
    <col min="20" max="31" width="19.5" style="47" customWidth="1"/>
    <col min="32" max="36" width="6.19921875" style="47" customWidth="1"/>
    <col min="37" max="37" width="42.69921875" style="47" customWidth="1"/>
    <col min="38" max="52" width="19.69921875" style="47" customWidth="1"/>
    <col min="53" max="53" width="40.69921875" style="47" customWidth="1"/>
    <col min="54" max="54" width="31.69921875" style="47" customWidth="1"/>
    <col min="55" max="16384" width="9.19921875" style="47"/>
  </cols>
  <sheetData>
    <row r="1" spans="2:52" ht="14.4" thickBot="1"/>
    <row r="2" spans="2:52" ht="14.4" thickBot="1">
      <c r="E2" s="235" t="s">
        <v>233</v>
      </c>
    </row>
    <row r="3" spans="2:52" ht="304.2" thickBot="1">
      <c r="E3" s="236" t="s">
        <v>234</v>
      </c>
    </row>
    <row r="5" spans="2:52">
      <c r="U5" s="66"/>
      <c r="W5" s="66"/>
      <c r="X5" s="66"/>
    </row>
    <row r="6" spans="2:52" ht="14.4" thickBot="1">
      <c r="T6" s="66"/>
      <c r="V6" s="66"/>
    </row>
    <row r="7" spans="2:52" ht="96.6">
      <c r="B7" s="237" t="s">
        <v>235</v>
      </c>
      <c r="C7" s="238"/>
      <c r="D7" s="238"/>
      <c r="E7" s="239" t="s">
        <v>236</v>
      </c>
      <c r="F7" s="239" t="s">
        <v>237</v>
      </c>
      <c r="G7" s="239" t="s">
        <v>204</v>
      </c>
      <c r="H7" s="239" t="s">
        <v>238</v>
      </c>
      <c r="I7" s="239" t="s">
        <v>239</v>
      </c>
      <c r="J7" s="243" t="s">
        <v>240</v>
      </c>
      <c r="K7" s="573" t="s">
        <v>241</v>
      </c>
      <c r="L7" s="565" t="s">
        <v>242</v>
      </c>
      <c r="M7" s="569" t="s">
        <v>243</v>
      </c>
      <c r="N7" s="565" t="s">
        <v>244</v>
      </c>
      <c r="O7" s="564" t="s">
        <v>245</v>
      </c>
      <c r="P7" s="240" t="s">
        <v>246</v>
      </c>
      <c r="Q7" s="237" t="s">
        <v>247</v>
      </c>
      <c r="R7" s="239" t="s">
        <v>248</v>
      </c>
      <c r="S7" s="239" t="s">
        <v>249</v>
      </c>
      <c r="T7" s="237" t="s">
        <v>250</v>
      </c>
      <c r="U7" s="239" t="s">
        <v>251</v>
      </c>
      <c r="V7" s="239" t="s">
        <v>252</v>
      </c>
      <c r="W7" s="239" t="s">
        <v>253</v>
      </c>
      <c r="X7" s="239" t="s">
        <v>254</v>
      </c>
      <c r="Y7" s="239" t="s">
        <v>255</v>
      </c>
      <c r="Z7" s="239" t="s">
        <v>256</v>
      </c>
      <c r="AA7" s="239" t="s">
        <v>257</v>
      </c>
      <c r="AB7" s="239" t="s">
        <v>258</v>
      </c>
      <c r="AC7" s="239" t="s">
        <v>259</v>
      </c>
      <c r="AD7" s="239" t="s">
        <v>260</v>
      </c>
      <c r="AE7" s="240" t="s">
        <v>261</v>
      </c>
      <c r="AF7" s="241">
        <f>start_year</f>
        <v>2025</v>
      </c>
      <c r="AG7" s="239">
        <f>AF7+1</f>
        <v>2026</v>
      </c>
      <c r="AH7" s="239">
        <f>AG7+1</f>
        <v>2027</v>
      </c>
      <c r="AI7" s="239">
        <f>AH7+1</f>
        <v>2028</v>
      </c>
      <c r="AJ7" s="239">
        <f>AI7+1</f>
        <v>2029</v>
      </c>
      <c r="AK7" s="242" t="s">
        <v>262</v>
      </c>
      <c r="AL7" s="237" t="str">
        <f>"elszámolható költségek "&amp;AF7</f>
        <v>elszámolható költségek 2025</v>
      </c>
      <c r="AM7" s="239" t="str">
        <f>"elszámolható költségek "&amp;AG7</f>
        <v>elszámolható költségek 2026</v>
      </c>
      <c r="AN7" s="239" t="str">
        <f>"elszámolható költségek "&amp;AH7</f>
        <v>elszámolható költségek 2027</v>
      </c>
      <c r="AO7" s="239" t="str">
        <f>"elszámolható költségek "&amp;AI7</f>
        <v>elszámolható költségek 2028</v>
      </c>
      <c r="AP7" s="240" t="str">
        <f>"elszámolható költségek "&amp;AJ7</f>
        <v>elszámolható költségek 2029</v>
      </c>
      <c r="AQ7" s="237" t="str">
        <f>"nem elszámolható költségek "&amp;AF7</f>
        <v>nem elszámolható költségek 2025</v>
      </c>
      <c r="AR7" s="239" t="str">
        <f>"nem elszámolható költségek "&amp;AG7</f>
        <v>nem elszámolható költségek 2026</v>
      </c>
      <c r="AS7" s="239" t="str">
        <f>"nem elszámolható költségek "&amp;AH7</f>
        <v>nem elszámolható költségek 2027</v>
      </c>
      <c r="AT7" s="239" t="str">
        <f>"nem elszámolható költségek "&amp;AI7</f>
        <v>nem elszámolható költségek 2028</v>
      </c>
      <c r="AU7" s="243" t="str">
        <f>"nem elszámolható költségek "&amp;AJ7</f>
        <v>nem elszámolható költségek 2029</v>
      </c>
      <c r="AV7" s="237" t="str">
        <f>"áfa nélküli költség "&amp;AF7</f>
        <v>áfa nélküli költség 2025</v>
      </c>
      <c r="AW7" s="239" t="str">
        <f>"áfa nélküli költség "&amp;AG7</f>
        <v>áfa nélküli költség 2026</v>
      </c>
      <c r="AX7" s="239" t="str">
        <f>"áfa nélküli költség "&amp;AH7</f>
        <v>áfa nélküli költség 2027</v>
      </c>
      <c r="AY7" s="239" t="str">
        <f>"áfa nélküli költség "&amp;AI7</f>
        <v>áfa nélküli költség 2028</v>
      </c>
      <c r="AZ7" s="240" t="str">
        <f>"áfa nélküli költség "&amp;AJ7</f>
        <v>áfa nélküli költség 2029</v>
      </c>
    </row>
    <row r="8" spans="2:52">
      <c r="B8" s="245" t="s">
        <v>101</v>
      </c>
      <c r="C8" s="246">
        <f>IF(B8=Háttér_listák!$B$121,1,0)</f>
        <v>1</v>
      </c>
      <c r="D8" s="246">
        <f t="shared" ref="D8:D29" si="0">IF(C8=C7,D7,D7+1)</f>
        <v>1</v>
      </c>
      <c r="E8" s="247" t="s">
        <v>263</v>
      </c>
      <c r="F8" s="248"/>
      <c r="G8" s="247" t="s">
        <v>113</v>
      </c>
      <c r="H8" s="248"/>
      <c r="I8" s="249"/>
      <c r="J8" s="561"/>
      <c r="K8" s="574" t="str">
        <f>IF(B8=Háttér_listák!$B$121,"",Beruházási_ktg_input!I8*Beruházási_ktg_input!J8)</f>
        <v/>
      </c>
      <c r="L8" s="576">
        <f>IF(B8=Háttér_listák!$B$121,SUMIF(Beruházási_ktg_input!D8:$D$107,Beruházási_ktg_input!D8+1,Beruházási_ktg_input!L8:$L$107),Beruházási_ktg_input!$K8)</f>
        <v>41500000</v>
      </c>
      <c r="M8" s="570"/>
      <c r="N8" s="566"/>
      <c r="O8" s="559">
        <f>IF(B8=Háttér_listák!$B$121,SUMIF(Beruházási_ktg_input!$D9:D$107,Beruházási_ktg_input!D8+1,$O9:O$107),L8+N8)</f>
        <v>52705000</v>
      </c>
      <c r="P8" s="249"/>
      <c r="Q8" s="251"/>
      <c r="R8" s="248"/>
      <c r="S8" s="248"/>
      <c r="T8" s="69">
        <f>IF($B8=Háttér_listák!$B$121,SUMIF($D9:D$107,D8+1,$T9:T$107),IF(Q8=Háttér_listák!$B$125,Beruházási_ktg_input!L8,0))</f>
        <v>41500000</v>
      </c>
      <c r="U8" s="51">
        <f>IF($B8=Háttér_listák!$B$121,SUMIF($D9:D$107,D8+1,$U9:U$107),IF(AND(Q8=Háttér_listák!$B$125,Beruházási_ktg_input!S8=Háttér_listák!$B$130,Főoldal!$C$15="Igen"),Beruházási_ktg_input!N8,0))</f>
        <v>11205000</v>
      </c>
      <c r="V8" s="51">
        <f t="shared" ref="V8:V30" si="1">SUM(T8:U8)</f>
        <v>52705000</v>
      </c>
      <c r="W8" s="51">
        <f>IF($B8=Háttér_listák!$B$121,SUMIF($D9:D$107,D8+1,$W9:W$107),IF(AND(Q8=Háttér_listák!$B$125,Beruházási_ktg_input!S8=Háttér_listák!$B$130,Főoldal!$C$15="Nem"),Beruházási_ktg_input!N8,0))</f>
        <v>0</v>
      </c>
      <c r="X8" s="51">
        <f>IF($B8=Háttér_listák!$B$121,SUMIF($D9:D$107,D8+1,$X9:X$107),IF(AND(Q8=Háttér_listák!$B$125,Beruházási_ktg_input!S8=Háttér_listák!$B$129),Beruházási_ktg_input!N8,0))</f>
        <v>0</v>
      </c>
      <c r="Y8" s="51">
        <f>IF($B8=Háttér_listák!$B$121,SUMIF($D9:D$107,D8+1,$Y9:Y$107),IF(Q8=Háttér_listák!$B$126,Beruházási_ktg_input!L8,0))</f>
        <v>0</v>
      </c>
      <c r="Z8" s="51">
        <f>IF($B8=Háttér_listák!$B$121,SUMIF($D9:D$107,D8+1,$Z9:Z$107),IF(AND(Q8=Háttér_listák!$B$126,Beruházási_ktg_input!S8=Háttér_listák!$B$129),Beruházási_ktg_input!N8,0))</f>
        <v>0</v>
      </c>
      <c r="AA8" s="51">
        <f>IF($B8=Háttér_listák!$B$121,SUMIF($D9:D$107,D8+1,$AA9:AA$107),IF(AND(Q8=Háttér_listák!$B$126,Beruházási_ktg_input!S8=Háttér_listák!$B$130),Beruházási_ktg_input!N8,0))</f>
        <v>0</v>
      </c>
      <c r="AB8" s="51">
        <f t="shared" ref="AB8:AB30" si="2">Y8+AA8</f>
        <v>0</v>
      </c>
      <c r="AC8" s="51">
        <f t="shared" ref="AC8:AC30" si="3">V8+AB8</f>
        <v>52705000</v>
      </c>
      <c r="AD8" s="51">
        <f t="shared" ref="AD8:AD30" si="4">SUM(W8:AA8)</f>
        <v>0</v>
      </c>
      <c r="AE8" s="68">
        <f t="shared" ref="AE8:AE30" si="5">V8+AD8</f>
        <v>52705000</v>
      </c>
      <c r="AF8" s="258"/>
      <c r="AG8" s="259"/>
      <c r="AH8" s="259"/>
      <c r="AI8" s="259"/>
      <c r="AJ8" s="260"/>
      <c r="AK8" s="70" t="str">
        <f>IF(SUM(AF8:AJ8)=0,"",IF(SUM(AF8:AJ8)=1,Háttér_listák!$B$133,Háttér_listák!$B$134))</f>
        <v/>
      </c>
      <c r="AL8" s="67" t="str">
        <f>IF($AE8=0,0,IF($B8=Háttér_listák!$B$122,Beruházási_ktg_input!$V8*Beruházási_ktg_input!AF8,""))</f>
        <v/>
      </c>
      <c r="AM8" s="51" t="str">
        <f>IF($AE8=0,0,IF($B8=Háttér_listák!$B$122,Beruházási_ktg_input!$V8*Beruházási_ktg_input!AG8,""))</f>
        <v/>
      </c>
      <c r="AN8" s="51" t="str">
        <f>IF($AE8=0,0,IF($B8=Háttér_listák!$B$122,Beruházási_ktg_input!$V8*Beruházási_ktg_input!AH8,""))</f>
        <v/>
      </c>
      <c r="AO8" s="51" t="str">
        <f>IF($AE8=0,0,IF($B8=Háttér_listák!$B$122,Beruházási_ktg_input!$V8*Beruházási_ktg_input!AI8,""))</f>
        <v/>
      </c>
      <c r="AP8" s="68" t="str">
        <f>IF($AE8=0,0,IF($B8=Háttér_listák!$B$122,Beruházási_ktg_input!$V8*Beruházási_ktg_input!AJ8,""))</f>
        <v/>
      </c>
      <c r="AQ8" s="67" t="str">
        <f>IF($AE8=0,0,IF($B8=Háttér_listák!$B$122,Beruházási_ktg_input!$AD8*Beruházási_ktg_input!AF8,""))</f>
        <v/>
      </c>
      <c r="AR8" s="51" t="str">
        <f>IF($AE8=0,0,IF($B8=Háttér_listák!$B$122,Beruházási_ktg_input!$AD8*Beruházási_ktg_input!AG8,""))</f>
        <v/>
      </c>
      <c r="AS8" s="51" t="str">
        <f>IF($AE8=0,0,IF($B8=Háttér_listák!$B$122,Beruházási_ktg_input!$AD8*Beruházási_ktg_input!AH8,""))</f>
        <v/>
      </c>
      <c r="AT8" s="51" t="str">
        <f>IF($AE8=0,0,IF($B8=Háttér_listák!$B$122,Beruházási_ktg_input!$AD8*Beruházási_ktg_input!AI8,""))</f>
        <v/>
      </c>
      <c r="AU8" s="71" t="str">
        <f>IF($AE8=0,0,IF($B8=Háttér_listák!$B$122,Beruházási_ktg_input!$AD8*Beruházási_ktg_input!AJ8,""))</f>
        <v/>
      </c>
      <c r="AV8" s="67" t="str">
        <f>IF($AE8=0,0,IF($B8=Háttér_listák!$B$122,($T8+$Y8)*AF8,""))</f>
        <v/>
      </c>
      <c r="AW8" s="51" t="str">
        <f>IF($AE8=0,0,IF($B8=Háttér_listák!$B$122,($T8+$Y8)*AG8,""))</f>
        <v/>
      </c>
      <c r="AX8" s="51" t="str">
        <f>IF($AE8=0,0,IF($B8=Háttér_listák!$B$122,($T8+$Y8)*AH8,""))</f>
        <v/>
      </c>
      <c r="AY8" s="51" t="str">
        <f>IF($AE8=0,0,IF($B8=Háttér_listák!$B$122,($T8+$Y8)*AI8,""))</f>
        <v/>
      </c>
      <c r="AZ8" s="68" t="str">
        <f>IF($AE8=0,0,IF($B8=Háttér_listák!$B$122,($T8+$Y8)*AJ8,""))</f>
        <v/>
      </c>
    </row>
    <row r="9" spans="2:52">
      <c r="B9" s="245" t="s">
        <v>102</v>
      </c>
      <c r="C9" s="246">
        <f>IF(B9=Háttér_listák!$B$121,1,0)</f>
        <v>0</v>
      </c>
      <c r="D9" s="246">
        <f t="shared" si="0"/>
        <v>2</v>
      </c>
      <c r="E9" s="247" t="s">
        <v>264</v>
      </c>
      <c r="F9" s="248">
        <v>0</v>
      </c>
      <c r="G9" s="247" t="s">
        <v>121</v>
      </c>
      <c r="H9" s="248"/>
      <c r="I9" s="250">
        <v>1</v>
      </c>
      <c r="J9" s="562">
        <v>8000000</v>
      </c>
      <c r="K9" s="574">
        <f>IF(B9=Háttér_listák!$B$121,"",Beruházási_ktg_input!I9*Beruházási_ktg_input!J9)</f>
        <v>8000000</v>
      </c>
      <c r="L9" s="576">
        <f>IF(B9=Háttér_listák!$B$121,SUMIF(Beruházási_ktg_input!D9:$D$107,Beruházási_ktg_input!D9+1,Beruházási_ktg_input!L9:$L$107),Beruházási_ktg_input!$K9)</f>
        <v>8000000</v>
      </c>
      <c r="M9" s="571">
        <v>0.27</v>
      </c>
      <c r="N9" s="567">
        <v>2160000</v>
      </c>
      <c r="O9" s="559">
        <f>IF(B9=Háttér_listák!$B$121,SUMIF(Beruházási_ktg_input!$D10:D$107,Beruházási_ktg_input!D9+1,$O10:O$107),L9+N9)</f>
        <v>10160000</v>
      </c>
      <c r="P9" s="249">
        <v>0</v>
      </c>
      <c r="Q9" s="245" t="s">
        <v>104</v>
      </c>
      <c r="R9" s="247" t="s">
        <v>265</v>
      </c>
      <c r="S9" s="247" t="s">
        <v>108</v>
      </c>
      <c r="T9" s="67">
        <f>IF($B9=Háttér_listák!$B$121,SUMIF($D10:D$107,D9+1,$T10:T$107),IF(Q9=Háttér_listák!$B$125,Beruházási_ktg_input!L9,0))</f>
        <v>8000000</v>
      </c>
      <c r="U9" s="51">
        <f>IF($B9=Háttér_listák!$B$121,SUMIF($D10:D$107,D9+1,$U10:U$107),IF(AND(Q9=Háttér_listák!$B$125,Beruházási_ktg_input!S9=Háttér_listák!$B$130,Főoldal!$C$15="Igen"),Beruházási_ktg_input!N9,0))</f>
        <v>2160000</v>
      </c>
      <c r="V9" s="51">
        <f t="shared" si="1"/>
        <v>10160000</v>
      </c>
      <c r="W9" s="51">
        <f>IF($B9=Háttér_listák!$B$121,SUMIF($D10:D$107,D9+1,$W10:W$107),IF(AND(Q9=Háttér_listák!$B$125,Beruházási_ktg_input!S9=Háttér_listák!$B$130,Főoldal!$C$15="Nem"),Beruházási_ktg_input!N9,0))</f>
        <v>0</v>
      </c>
      <c r="X9" s="51">
        <f>IF($B9=Háttér_listák!$B$121,SUMIF($D10:D$107,D9+1,$X10:X$107),IF(AND(Q9=Háttér_listák!$B$125,Beruházási_ktg_input!S9=Háttér_listák!$B$129),Beruházási_ktg_input!N9,0))</f>
        <v>0</v>
      </c>
      <c r="Y9" s="51">
        <f>IF($B9=Háttér_listák!$B$121,SUMIF($D10:D$107,D9+1,$Y10:Y$107),IF(Q9=Háttér_listák!$B$126,Beruházási_ktg_input!L9,0))</f>
        <v>0</v>
      </c>
      <c r="Z9" s="51">
        <f>IF($B9=Háttér_listák!$B$121,SUMIF($D10:D$107,D9+1,$Z10:Z$107),IF(AND(Q9=Háttér_listák!$B$126,Beruházási_ktg_input!S9=Háttér_listák!$B$129),Beruházási_ktg_input!N9,0))</f>
        <v>0</v>
      </c>
      <c r="AA9" s="51">
        <f>IF($B9=Háttér_listák!$B$121,SUMIF($D10:D$107,D9+1,$AA10:AA$107),IF(AND(Q9=Háttér_listák!$B$126,Beruházási_ktg_input!S9=Háttér_listák!$B$130),Beruházási_ktg_input!N9,0))</f>
        <v>0</v>
      </c>
      <c r="AB9" s="51">
        <f t="shared" si="2"/>
        <v>0</v>
      </c>
      <c r="AC9" s="51">
        <f t="shared" si="3"/>
        <v>10160000</v>
      </c>
      <c r="AD9" s="51">
        <f t="shared" si="4"/>
        <v>0</v>
      </c>
      <c r="AE9" s="68">
        <f t="shared" si="5"/>
        <v>10160000</v>
      </c>
      <c r="AF9" s="258">
        <v>1</v>
      </c>
      <c r="AG9" s="259"/>
      <c r="AH9" s="259"/>
      <c r="AI9" s="259"/>
      <c r="AJ9" s="260"/>
      <c r="AK9" s="70" t="str">
        <f>IF(SUM(AF9:AJ9)=0,"",IF(SUM(AF9:AJ9)=1,Háttér_listák!$B$133,Háttér_listák!$B$134))</f>
        <v>Az ütemezés megfelelő!</v>
      </c>
      <c r="AL9" s="67">
        <f>IF($AE9=0,0,IF($B9=Háttér_listák!$B$122,Beruházási_ktg_input!$V9*Beruházási_ktg_input!AF9,""))</f>
        <v>10160000</v>
      </c>
      <c r="AM9" s="51">
        <f>IF($AE9=0,0,IF($B9=Háttér_listák!$B$122,Beruházási_ktg_input!$V9*Beruházási_ktg_input!AG9,""))</f>
        <v>0</v>
      </c>
      <c r="AN9" s="51">
        <f>IF($AE9=0,0,IF($B9=Háttér_listák!$B$122,Beruházási_ktg_input!$V9*Beruházási_ktg_input!AH9,""))</f>
        <v>0</v>
      </c>
      <c r="AO9" s="51">
        <f>IF($AE9=0,0,IF($B9=Háttér_listák!$B$122,Beruházási_ktg_input!$V9*Beruházási_ktg_input!AI9,""))</f>
        <v>0</v>
      </c>
      <c r="AP9" s="68">
        <f>IF($AE9=0,0,IF($B9=Háttér_listák!$B$122,Beruházási_ktg_input!$V9*Beruházási_ktg_input!AJ9,""))</f>
        <v>0</v>
      </c>
      <c r="AQ9" s="67">
        <f>IF($AE9=0,0,IF($B9=Háttér_listák!$B$122,Beruházási_ktg_input!$AD9*Beruházási_ktg_input!AF9,""))</f>
        <v>0</v>
      </c>
      <c r="AR9" s="51">
        <f>IF($AE9=0,0,IF($B9=Háttér_listák!$B$122,Beruházási_ktg_input!$AD9*Beruházási_ktg_input!AG9,""))</f>
        <v>0</v>
      </c>
      <c r="AS9" s="51">
        <f>IF($AE9=0,0,IF($B9=Háttér_listák!$B$122,Beruházási_ktg_input!$AD9*Beruházási_ktg_input!AH9,""))</f>
        <v>0</v>
      </c>
      <c r="AT9" s="51">
        <f>IF($AE9=0,0,IF($B9=Háttér_listák!$B$122,Beruházási_ktg_input!$AD9*Beruházási_ktg_input!AI9,""))</f>
        <v>0</v>
      </c>
      <c r="AU9" s="71">
        <f>IF($AE9=0,0,IF($B9=Háttér_listák!$B$122,Beruházási_ktg_input!$AD9*Beruházási_ktg_input!AJ9,""))</f>
        <v>0</v>
      </c>
      <c r="AV9" s="67">
        <f>IF($AE9=0,0,IF($B9=Háttér_listák!$B$122,($T9+$Y9)*AF9,""))</f>
        <v>8000000</v>
      </c>
      <c r="AW9" s="51">
        <f>IF($AE9=0,0,IF($B9=Háttér_listák!$B$122,($T9+$Y9)*AG9,""))</f>
        <v>0</v>
      </c>
      <c r="AX9" s="51">
        <f>IF($AE9=0,0,IF($B9=Háttér_listák!$B$122,($T9+$Y9)*AH9,""))</f>
        <v>0</v>
      </c>
      <c r="AY9" s="51">
        <f>IF($AE9=0,0,IF($B9=Háttér_listák!$B$122,($T9+$Y9)*AI9,""))</f>
        <v>0</v>
      </c>
      <c r="AZ9" s="68">
        <f>IF($AE9=0,0,IF($B9=Háttér_listák!$B$122,($T9+$Y9)*AJ9,""))</f>
        <v>0</v>
      </c>
    </row>
    <row r="10" spans="2:52">
      <c r="B10" s="245" t="s">
        <v>102</v>
      </c>
      <c r="C10" s="246">
        <f>IF(B10=Háttér_listák!$B$121,1,0)</f>
        <v>0</v>
      </c>
      <c r="D10" s="246">
        <f t="shared" si="0"/>
        <v>2</v>
      </c>
      <c r="E10" s="247" t="s">
        <v>264</v>
      </c>
      <c r="F10" s="248">
        <v>0</v>
      </c>
      <c r="G10" s="247" t="s">
        <v>121</v>
      </c>
      <c r="H10" s="248"/>
      <c r="I10" s="250">
        <v>1</v>
      </c>
      <c r="J10" s="562">
        <v>13500000</v>
      </c>
      <c r="K10" s="574">
        <f>IF(B10=Háttér_listák!$B$121,"",Beruházási_ktg_input!I10*Beruházási_ktg_input!J10)</f>
        <v>13500000</v>
      </c>
      <c r="L10" s="576">
        <f>IF(B10=Háttér_listák!$B$121,SUMIF(Beruházási_ktg_input!D10:$D$107,Beruházási_ktg_input!D10+1,Beruházási_ktg_input!L10:$L$107),Beruházási_ktg_input!$K10)</f>
        <v>13500000</v>
      </c>
      <c r="M10" s="571">
        <v>0.27</v>
      </c>
      <c r="N10" s="567">
        <v>3645000</v>
      </c>
      <c r="O10" s="559">
        <f>IF(B10=Háttér_listák!$B$121,SUMIF(Beruházási_ktg_input!$D11:D$107,Beruházási_ktg_input!D10+1,$O11:O$107),L10+N10)</f>
        <v>17145000</v>
      </c>
      <c r="P10" s="249">
        <v>0</v>
      </c>
      <c r="Q10" s="245" t="s">
        <v>104</v>
      </c>
      <c r="R10" s="247" t="s">
        <v>265</v>
      </c>
      <c r="S10" s="247" t="s">
        <v>108</v>
      </c>
      <c r="T10" s="67">
        <f>IF($B10=Háttér_listák!$B$121,SUMIF($D11:D$107,D10+1,$T11:T$107),IF(Q10=Háttér_listák!$B$125,Beruházási_ktg_input!L10,0))</f>
        <v>13500000</v>
      </c>
      <c r="U10" s="51">
        <f>IF($B10=Háttér_listák!$B$121,SUMIF($D11:D$107,D10+1,$U11:U$107),IF(AND(Q10=Háttér_listák!$B$125,Beruházási_ktg_input!S10=Háttér_listák!$B$130,Főoldal!$C$15="Igen"),Beruházási_ktg_input!N10,0))</f>
        <v>3645000</v>
      </c>
      <c r="V10" s="51">
        <f t="shared" si="1"/>
        <v>17145000</v>
      </c>
      <c r="W10" s="51">
        <f>IF($B10=Háttér_listák!$B$121,SUMIF($D11:D$107,D10+1,$W11:W$107),IF(AND(Q10=Háttér_listák!$B$125,Beruházási_ktg_input!S10=Háttér_listák!$B$130,Főoldal!$C$15="Nem"),Beruházási_ktg_input!N10,0))</f>
        <v>0</v>
      </c>
      <c r="X10" s="51">
        <f>IF($B10=Háttér_listák!$B$121,SUMIF($D11:D$107,D10+1,$X11:X$107),IF(AND(Q10=Háttér_listák!$B$125,Beruházási_ktg_input!S10=Háttér_listák!$B$129),Beruházási_ktg_input!N10,0))</f>
        <v>0</v>
      </c>
      <c r="Y10" s="51">
        <f>IF($B10=Háttér_listák!$B$121,SUMIF($D11:D$107,D10+1,$Y11:Y$107),IF(Q10=Háttér_listák!$B$126,Beruházási_ktg_input!L10,0))</f>
        <v>0</v>
      </c>
      <c r="Z10" s="51">
        <f>IF($B10=Háttér_listák!$B$121,SUMIF($D11:D$107,D10+1,$Z11:Z$107),IF(AND(Q10=Háttér_listák!$B$126,Beruházási_ktg_input!S10=Háttér_listák!$B$129),Beruházási_ktg_input!N10,0))</f>
        <v>0</v>
      </c>
      <c r="AA10" s="51">
        <f>IF($B10=Háttér_listák!$B$121,SUMIF($D11:D$107,D10+1,$AA11:AA$107),IF(AND(Q10=Háttér_listák!$B$126,Beruházási_ktg_input!S10=Háttér_listák!$B$130),Beruházási_ktg_input!N10,0))</f>
        <v>0</v>
      </c>
      <c r="AB10" s="51">
        <f t="shared" si="2"/>
        <v>0</v>
      </c>
      <c r="AC10" s="51">
        <f t="shared" si="3"/>
        <v>17145000</v>
      </c>
      <c r="AD10" s="51">
        <f t="shared" si="4"/>
        <v>0</v>
      </c>
      <c r="AE10" s="68">
        <f t="shared" si="5"/>
        <v>17145000</v>
      </c>
      <c r="AF10" s="258">
        <v>1</v>
      </c>
      <c r="AG10" s="259"/>
      <c r="AH10" s="259"/>
      <c r="AI10" s="259"/>
      <c r="AJ10" s="260"/>
      <c r="AK10" s="70" t="str">
        <f>IF(SUM(AF10:AJ10)=0,"",IF(SUM(AF10:AJ10)=1,Háttér_listák!$B$133,Háttér_listák!$B$134))</f>
        <v>Az ütemezés megfelelő!</v>
      </c>
      <c r="AL10" s="67">
        <f>IF($AE10=0,0,IF($B10=Háttér_listák!$B$122,Beruházási_ktg_input!$V10*Beruházási_ktg_input!AF10,""))</f>
        <v>17145000</v>
      </c>
      <c r="AM10" s="51">
        <f>IF($AE10=0,0,IF($B10=Háttér_listák!$B$122,Beruházási_ktg_input!$V10*Beruházási_ktg_input!AG10,""))</f>
        <v>0</v>
      </c>
      <c r="AN10" s="51">
        <f>IF($AE10=0,0,IF($B10=Háttér_listák!$B$122,Beruházási_ktg_input!$V10*Beruházási_ktg_input!AH10,""))</f>
        <v>0</v>
      </c>
      <c r="AO10" s="51">
        <f>IF($AE10=0,0,IF($B10=Háttér_listák!$B$122,Beruházási_ktg_input!$V10*Beruházási_ktg_input!AI10,""))</f>
        <v>0</v>
      </c>
      <c r="AP10" s="68">
        <f>IF($AE10=0,0,IF($B10=Háttér_listák!$B$122,Beruházási_ktg_input!$V10*Beruházási_ktg_input!AJ10,""))</f>
        <v>0</v>
      </c>
      <c r="AQ10" s="67">
        <f>IF($AE10=0,0,IF($B10=Háttér_listák!$B$122,Beruházási_ktg_input!$AD10*Beruházási_ktg_input!AF10,""))</f>
        <v>0</v>
      </c>
      <c r="AR10" s="51">
        <f>IF($AE10=0,0,IF($B10=Háttér_listák!$B$122,Beruházási_ktg_input!$AD10*Beruházási_ktg_input!AG10,""))</f>
        <v>0</v>
      </c>
      <c r="AS10" s="51">
        <f>IF($AE10=0,0,IF($B10=Háttér_listák!$B$122,Beruházási_ktg_input!$AD10*Beruházási_ktg_input!AH10,""))</f>
        <v>0</v>
      </c>
      <c r="AT10" s="51">
        <f>IF($AE10=0,0,IF($B10=Háttér_listák!$B$122,Beruházási_ktg_input!$AD10*Beruházási_ktg_input!AI10,""))</f>
        <v>0</v>
      </c>
      <c r="AU10" s="71">
        <f>IF($AE10=0,0,IF($B10=Háttér_listák!$B$122,Beruházási_ktg_input!$AD10*Beruházási_ktg_input!AJ10,""))</f>
        <v>0</v>
      </c>
      <c r="AV10" s="67">
        <f>IF($AE10=0,0,IF($B10=Háttér_listák!$B$122,($T10+$Y10)*AF10,""))</f>
        <v>13500000</v>
      </c>
      <c r="AW10" s="51">
        <f>IF($AE10=0,0,IF($B10=Háttér_listák!$B$122,($T10+$Y10)*AG10,""))</f>
        <v>0</v>
      </c>
      <c r="AX10" s="51">
        <f>IF($AE10=0,0,IF($B10=Háttér_listák!$B$122,($T10+$Y10)*AH10,""))</f>
        <v>0</v>
      </c>
      <c r="AY10" s="51">
        <f>IF($AE10=0,0,IF($B10=Háttér_listák!$B$122,($T10+$Y10)*AI10,""))</f>
        <v>0</v>
      </c>
      <c r="AZ10" s="68">
        <f>IF($AE10=0,0,IF($B10=Háttér_listák!$B$122,($T10+$Y10)*AJ10,""))</f>
        <v>0</v>
      </c>
    </row>
    <row r="11" spans="2:52">
      <c r="B11" s="245" t="s">
        <v>102</v>
      </c>
      <c r="C11" s="246">
        <f>IF(B11=Háttér_listák!$B$121,1,0)</f>
        <v>0</v>
      </c>
      <c r="D11" s="246">
        <f t="shared" si="0"/>
        <v>2</v>
      </c>
      <c r="E11" s="247" t="s">
        <v>266</v>
      </c>
      <c r="F11" s="248">
        <v>0</v>
      </c>
      <c r="G11" s="247" t="s">
        <v>121</v>
      </c>
      <c r="H11" s="248"/>
      <c r="I11" s="250">
        <v>1</v>
      </c>
      <c r="J11" s="562">
        <v>19000000</v>
      </c>
      <c r="K11" s="574">
        <f>IF(B11=Háttér_listák!$B$121,"",Beruházási_ktg_input!I11*Beruházási_ktg_input!J11)</f>
        <v>19000000</v>
      </c>
      <c r="L11" s="576">
        <f>IF(B11=Háttér_listák!$B$121,SUMIF(Beruházási_ktg_input!D11:$D$107,Beruházási_ktg_input!D11+1,Beruházási_ktg_input!L11:$L$107),Beruházási_ktg_input!$K11)</f>
        <v>19000000</v>
      </c>
      <c r="M11" s="571">
        <v>0.27</v>
      </c>
      <c r="N11" s="567">
        <v>5130000</v>
      </c>
      <c r="O11" s="559">
        <f>IF(B11=Háttér_listák!$B$121,SUMIF(Beruházási_ktg_input!$D12:D$107,Beruházási_ktg_input!D11+1,$O12:O$107),L11+N11)</f>
        <v>24130000</v>
      </c>
      <c r="P11" s="249">
        <v>0</v>
      </c>
      <c r="Q11" s="245" t="s">
        <v>104</v>
      </c>
      <c r="R11" s="247" t="s">
        <v>265</v>
      </c>
      <c r="S11" s="247" t="s">
        <v>108</v>
      </c>
      <c r="T11" s="67">
        <f>IF($B11=Háttér_listák!$B$121,SUMIF($D12:D$107,D11+1,$T12:T$107),IF(Q11=Háttér_listák!$B$125,Beruházási_ktg_input!L11,0))</f>
        <v>19000000</v>
      </c>
      <c r="U11" s="51">
        <f>IF($B11=Háttér_listák!$B$121,SUMIF($D12:D$107,D11+1,$U12:U$107),IF(AND(Q11=Háttér_listák!$B$125,Beruházási_ktg_input!S11=Háttér_listák!$B$130,Főoldal!$C$15="Igen"),Beruházási_ktg_input!N11,0))</f>
        <v>5130000</v>
      </c>
      <c r="V11" s="51">
        <f t="shared" si="1"/>
        <v>24130000</v>
      </c>
      <c r="W11" s="51">
        <f>IF($B11=Háttér_listák!$B$121,SUMIF($D12:D$107,D11+1,$W12:W$107),IF(AND(Q11=Háttér_listák!$B$125,Beruházási_ktg_input!S11=Háttér_listák!$B$130,Főoldal!$C$15="Nem"),Beruházási_ktg_input!N11,0))</f>
        <v>0</v>
      </c>
      <c r="X11" s="51">
        <f>IF($B11=Háttér_listák!$B$121,SUMIF($D12:D$107,D11+1,$X12:X$107),IF(AND(Q11=Háttér_listák!$B$125,Beruházási_ktg_input!S11=Háttér_listák!$B$129),Beruházási_ktg_input!N11,0))</f>
        <v>0</v>
      </c>
      <c r="Y11" s="51">
        <f>IF($B11=Háttér_listák!$B$121,SUMIF($D12:D$107,D11+1,$Y12:Y$107),IF(Q11=Háttér_listák!$B$126,Beruházási_ktg_input!L11,0))</f>
        <v>0</v>
      </c>
      <c r="Z11" s="51">
        <f>IF($B11=Háttér_listák!$B$121,SUMIF($D12:D$107,D11+1,$Z12:Z$107),IF(AND(Q11=Háttér_listák!$B$126,Beruházási_ktg_input!S11=Háttér_listák!$B$129),Beruházási_ktg_input!N11,0))</f>
        <v>0</v>
      </c>
      <c r="AA11" s="51">
        <f>IF($B11=Háttér_listák!$B$121,SUMIF($D12:D$107,D11+1,$AA12:AA$107),IF(AND(Q11=Háttér_listák!$B$126,Beruházási_ktg_input!S11=Háttér_listák!$B$130),Beruházási_ktg_input!N11,0))</f>
        <v>0</v>
      </c>
      <c r="AB11" s="51">
        <f t="shared" si="2"/>
        <v>0</v>
      </c>
      <c r="AC11" s="51">
        <f t="shared" si="3"/>
        <v>24130000</v>
      </c>
      <c r="AD11" s="51">
        <f t="shared" si="4"/>
        <v>0</v>
      </c>
      <c r="AE11" s="68">
        <f t="shared" si="5"/>
        <v>24130000</v>
      </c>
      <c r="AF11" s="258">
        <v>1</v>
      </c>
      <c r="AG11" s="259"/>
      <c r="AH11" s="259"/>
      <c r="AI11" s="259"/>
      <c r="AJ11" s="260"/>
      <c r="AK11" s="70" t="str">
        <f>IF(SUM(AF11:AJ11)=0,"",IF(SUM(AF11:AJ11)=1,Háttér_listák!$B$133,Háttér_listák!$B$134))</f>
        <v>Az ütemezés megfelelő!</v>
      </c>
      <c r="AL11" s="67">
        <f>IF($AE11=0,0,IF($B11=Háttér_listák!$B$122,Beruházási_ktg_input!$V11*Beruházási_ktg_input!AF11,""))</f>
        <v>24130000</v>
      </c>
      <c r="AM11" s="51">
        <f>IF($AE11=0,0,IF($B11=Háttér_listák!$B$122,Beruházási_ktg_input!$V11*Beruházási_ktg_input!AG11,""))</f>
        <v>0</v>
      </c>
      <c r="AN11" s="51">
        <f>IF($AE11=0,0,IF($B11=Háttér_listák!$B$122,Beruházási_ktg_input!$V11*Beruházási_ktg_input!AH11,""))</f>
        <v>0</v>
      </c>
      <c r="AO11" s="51">
        <f>IF($AE11=0,0,IF($B11=Háttér_listák!$B$122,Beruházási_ktg_input!$V11*Beruházási_ktg_input!AI11,""))</f>
        <v>0</v>
      </c>
      <c r="AP11" s="68">
        <f>IF($AE11=0,0,IF($B11=Háttér_listák!$B$122,Beruházási_ktg_input!$V11*Beruházási_ktg_input!AJ11,""))</f>
        <v>0</v>
      </c>
      <c r="AQ11" s="67">
        <f>IF($AE11=0,0,IF($B11=Háttér_listák!$B$122,Beruházási_ktg_input!$AD11*Beruházási_ktg_input!AF11,""))</f>
        <v>0</v>
      </c>
      <c r="AR11" s="51">
        <f>IF($AE11=0,0,IF($B11=Háttér_listák!$B$122,Beruházási_ktg_input!$AD11*Beruházási_ktg_input!AG11,""))</f>
        <v>0</v>
      </c>
      <c r="AS11" s="51">
        <f>IF($AE11=0,0,IF($B11=Háttér_listák!$B$122,Beruházási_ktg_input!$AD11*Beruházási_ktg_input!AH11,""))</f>
        <v>0</v>
      </c>
      <c r="AT11" s="51">
        <f>IF($AE11=0,0,IF($B11=Háttér_listák!$B$122,Beruházási_ktg_input!$AD11*Beruházási_ktg_input!AI11,""))</f>
        <v>0</v>
      </c>
      <c r="AU11" s="71">
        <f>IF($AE11=0,0,IF($B11=Háttér_listák!$B$122,Beruházási_ktg_input!$AD11*Beruházási_ktg_input!AJ11,""))</f>
        <v>0</v>
      </c>
      <c r="AV11" s="67">
        <f>IF($AE11=0,0,IF($B11=Háttér_listák!$B$122,($T11+$Y11)*AF11,""))</f>
        <v>19000000</v>
      </c>
      <c r="AW11" s="51">
        <f>IF($AE11=0,0,IF($B11=Háttér_listák!$B$122,($T11+$Y11)*AG11,""))</f>
        <v>0</v>
      </c>
      <c r="AX11" s="51">
        <f>IF($AE11=0,0,IF($B11=Háttér_listák!$B$122,($T11+$Y11)*AH11,""))</f>
        <v>0</v>
      </c>
      <c r="AY11" s="51">
        <f>IF($AE11=0,0,IF($B11=Háttér_listák!$B$122,($T11+$Y11)*AI11,""))</f>
        <v>0</v>
      </c>
      <c r="AZ11" s="68">
        <f>IF($AE11=0,0,IF($B11=Háttér_listák!$B$122,($T11+$Y11)*AJ11,""))</f>
        <v>0</v>
      </c>
    </row>
    <row r="12" spans="2:52">
      <c r="B12" s="245" t="s">
        <v>102</v>
      </c>
      <c r="C12" s="246">
        <f>IF(B12=Háttér_listák!$B$121,1,0)</f>
        <v>0</v>
      </c>
      <c r="D12" s="246">
        <f t="shared" si="0"/>
        <v>2</v>
      </c>
      <c r="E12" s="247" t="s">
        <v>267</v>
      </c>
      <c r="F12" s="248">
        <v>0</v>
      </c>
      <c r="G12" s="247" t="s">
        <v>121</v>
      </c>
      <c r="H12" s="248"/>
      <c r="I12" s="249">
        <v>1</v>
      </c>
      <c r="J12" s="561">
        <v>500000</v>
      </c>
      <c r="K12" s="574">
        <f>IF(B12=Háttér_listák!$B$121,"",Beruházási_ktg_input!I12*Beruházási_ktg_input!J12)</f>
        <v>500000</v>
      </c>
      <c r="L12" s="576">
        <f>IF(B12=Háttér_listák!$B$121,SUMIF(Beruházási_ktg_input!D12:$D$107,Beruházási_ktg_input!D12+1,Beruházási_ktg_input!L12:$L$107),Beruházási_ktg_input!$K12)</f>
        <v>500000</v>
      </c>
      <c r="M12" s="571">
        <v>0.27</v>
      </c>
      <c r="N12" s="566">
        <v>135000</v>
      </c>
      <c r="O12" s="559">
        <f>IF(B12=Háttér_listák!$B$121,SUMIF(Beruházási_ktg_input!$D13:D$107,Beruházási_ktg_input!D12+1,$O13:O$107),L12+N12)</f>
        <v>635000</v>
      </c>
      <c r="P12" s="249">
        <v>0</v>
      </c>
      <c r="Q12" s="251" t="s">
        <v>104</v>
      </c>
      <c r="R12" s="248" t="s">
        <v>265</v>
      </c>
      <c r="S12" s="248" t="s">
        <v>108</v>
      </c>
      <c r="T12" s="67">
        <f>IF($B12=Háttér_listák!$B$121,SUMIF($D13:D$107,D12+1,$T13:T$107),IF(Q12=Háttér_listák!$B$125,Beruházási_ktg_input!L12,0))</f>
        <v>500000</v>
      </c>
      <c r="U12" s="51">
        <f>IF($B12=Háttér_listák!$B$121,SUMIF($D13:D$107,D12+1,$U13:U$107),IF(AND(Q12=Háttér_listák!$B$125,Beruházási_ktg_input!S12=Háttér_listák!$B$130,Főoldal!$C$15="Igen"),Beruházási_ktg_input!N12,0))</f>
        <v>135000</v>
      </c>
      <c r="V12" s="51">
        <f t="shared" si="1"/>
        <v>635000</v>
      </c>
      <c r="W12" s="51">
        <f>IF($B12=Háttér_listák!$B$121,SUMIF($D13:D$107,D12+1,$W13:W$107),IF(AND(Q12=Háttér_listák!$B$125,Beruházási_ktg_input!S12=Háttér_listák!$B$130,Főoldal!$C$15="Nem"),Beruházási_ktg_input!N12,0))</f>
        <v>0</v>
      </c>
      <c r="X12" s="51">
        <f>IF($B12=Háttér_listák!$B$121,SUMIF($D13:D$107,D12+1,$X13:X$107),IF(AND(Q12=Háttér_listák!$B$125,Beruházási_ktg_input!S12=Háttér_listák!$B$129),Beruházási_ktg_input!N12,0))</f>
        <v>0</v>
      </c>
      <c r="Y12" s="51">
        <f>IF($B12=Háttér_listák!$B$121,SUMIF($D13:D$107,D12+1,$Y13:Y$107),IF(Q12=Háttér_listák!$B$126,Beruházási_ktg_input!L12,0))</f>
        <v>0</v>
      </c>
      <c r="Z12" s="51">
        <f>IF($B12=Háttér_listák!$B$121,SUMIF($D13:D$107,D12+1,$Z13:Z$107),IF(AND(Q12=Háttér_listák!$B$126,Beruházási_ktg_input!S12=Háttér_listák!$B$129),Beruházási_ktg_input!N12,0))</f>
        <v>0</v>
      </c>
      <c r="AA12" s="51">
        <f>IF($B12=Háttér_listák!$B$121,SUMIF($D13:D$107,D12+1,$AA13:AA$107),IF(AND(Q12=Háttér_listák!$B$126,Beruházási_ktg_input!S12=Háttér_listák!$B$130),Beruházási_ktg_input!N12,0))</f>
        <v>0</v>
      </c>
      <c r="AB12" s="51">
        <f t="shared" si="2"/>
        <v>0</v>
      </c>
      <c r="AC12" s="51">
        <f t="shared" si="3"/>
        <v>635000</v>
      </c>
      <c r="AD12" s="51">
        <f t="shared" si="4"/>
        <v>0</v>
      </c>
      <c r="AE12" s="68">
        <f t="shared" si="5"/>
        <v>635000</v>
      </c>
      <c r="AF12" s="258">
        <v>1</v>
      </c>
      <c r="AG12" s="259"/>
      <c r="AH12" s="259"/>
      <c r="AI12" s="259"/>
      <c r="AJ12" s="260"/>
      <c r="AK12" s="70" t="str">
        <f>IF(SUM(AF12:AJ12)=0,"",IF(SUM(AF12:AJ12)=1,Háttér_listák!$B$133,Háttér_listák!$B$134))</f>
        <v>Az ütemezés megfelelő!</v>
      </c>
      <c r="AL12" s="67">
        <f>IF($AE12=0,0,IF($B12=Háttér_listák!$B$122,Beruházási_ktg_input!$V12*Beruházási_ktg_input!AF12,""))</f>
        <v>635000</v>
      </c>
      <c r="AM12" s="51">
        <f>IF($AE12=0,0,IF($B12=Háttér_listák!$B$122,Beruházási_ktg_input!$V12*Beruházási_ktg_input!AG12,""))</f>
        <v>0</v>
      </c>
      <c r="AN12" s="51">
        <f>IF($AE12=0,0,IF($B12=Háttér_listák!$B$122,Beruházási_ktg_input!$V12*Beruházási_ktg_input!AH12,""))</f>
        <v>0</v>
      </c>
      <c r="AO12" s="51">
        <f>IF($AE12=0,0,IF($B12=Háttér_listák!$B$122,Beruházási_ktg_input!$V12*Beruházási_ktg_input!AI12,""))</f>
        <v>0</v>
      </c>
      <c r="AP12" s="68">
        <f>IF($AE12=0,0,IF($B12=Háttér_listák!$B$122,Beruházási_ktg_input!$V12*Beruházási_ktg_input!AJ12,""))</f>
        <v>0</v>
      </c>
      <c r="AQ12" s="67">
        <f>IF($AE12=0,0,IF($B12=Háttér_listák!$B$122,Beruházási_ktg_input!$AD12*Beruházási_ktg_input!AF12,""))</f>
        <v>0</v>
      </c>
      <c r="AR12" s="51">
        <f>IF($AE12=0,0,IF($B12=Háttér_listák!$B$122,Beruházási_ktg_input!$AD12*Beruházási_ktg_input!AG12,""))</f>
        <v>0</v>
      </c>
      <c r="AS12" s="51">
        <f>IF($AE12=0,0,IF($B12=Háttér_listák!$B$122,Beruházási_ktg_input!$AD12*Beruházási_ktg_input!AH12,""))</f>
        <v>0</v>
      </c>
      <c r="AT12" s="51">
        <f>IF($AE12=0,0,IF($B12=Háttér_listák!$B$122,Beruházási_ktg_input!$AD12*Beruházási_ktg_input!AI12,""))</f>
        <v>0</v>
      </c>
      <c r="AU12" s="71">
        <f>IF($AE12=0,0,IF($B12=Háttér_listák!$B$122,Beruházási_ktg_input!$AD12*Beruházási_ktg_input!AJ12,""))</f>
        <v>0</v>
      </c>
      <c r="AV12" s="67">
        <f>IF($AE12=0,0,IF($B12=Háttér_listák!$B$122,($T12+$Y12)*AF12,""))</f>
        <v>500000</v>
      </c>
      <c r="AW12" s="51">
        <f>IF($AE12=0,0,IF($B12=Háttér_listák!$B$122,($T12+$Y12)*AG12,""))</f>
        <v>0</v>
      </c>
      <c r="AX12" s="51">
        <f>IF($AE12=0,0,IF($B12=Háttér_listák!$B$122,($T12+$Y12)*AH12,""))</f>
        <v>0</v>
      </c>
      <c r="AY12" s="51">
        <f>IF($AE12=0,0,IF($B12=Háttér_listák!$B$122,($T12+$Y12)*AI12,""))</f>
        <v>0</v>
      </c>
      <c r="AZ12" s="68">
        <f>IF($AE12=0,0,IF($B12=Háttér_listák!$B$122,($T12+$Y12)*AJ12,""))</f>
        <v>0</v>
      </c>
    </row>
    <row r="13" spans="2:52">
      <c r="B13" s="245" t="s">
        <v>102</v>
      </c>
      <c r="C13" s="246">
        <f>IF(B13=Háttér_listák!$B$121,1,0)</f>
        <v>0</v>
      </c>
      <c r="D13" s="246">
        <f t="shared" si="0"/>
        <v>2</v>
      </c>
      <c r="E13" s="247" t="s">
        <v>268</v>
      </c>
      <c r="F13" s="248">
        <v>0</v>
      </c>
      <c r="G13" s="247" t="s">
        <v>121</v>
      </c>
      <c r="H13" s="248"/>
      <c r="I13" s="250">
        <v>1</v>
      </c>
      <c r="J13" s="562">
        <v>500000</v>
      </c>
      <c r="K13" s="574">
        <f>IF(B13=Háttér_listák!$B$121,"",Beruházási_ktg_input!I13*Beruházási_ktg_input!J13)</f>
        <v>500000</v>
      </c>
      <c r="L13" s="576">
        <f>IF(B13=Háttér_listák!$B$121,SUMIF(Beruházási_ktg_input!D13:$D$107,Beruházási_ktg_input!D13+1,Beruházási_ktg_input!L13:$L$107),Beruházási_ktg_input!$K13)</f>
        <v>500000</v>
      </c>
      <c r="M13" s="571">
        <v>0.27</v>
      </c>
      <c r="N13" s="567">
        <v>135000</v>
      </c>
      <c r="O13" s="559">
        <f>IF(B13=Háttér_listák!$B$121,SUMIF(Beruházási_ktg_input!$D14:D$107,Beruházási_ktg_input!D13+1,$O14:O$107),L13+N13)</f>
        <v>635000</v>
      </c>
      <c r="P13" s="249">
        <v>0</v>
      </c>
      <c r="Q13" s="245" t="s">
        <v>104</v>
      </c>
      <c r="R13" s="247" t="s">
        <v>265</v>
      </c>
      <c r="S13" s="247" t="s">
        <v>108</v>
      </c>
      <c r="T13" s="67">
        <f>IF($B13=Háttér_listák!$B$121,SUMIF($D14:D$107,D13+1,$T14:T$107),IF(Q13=Háttér_listák!$B$125,Beruházási_ktg_input!L13,0))</f>
        <v>500000</v>
      </c>
      <c r="U13" s="51">
        <f>IF($B13=Háttér_listák!$B$121,SUMIF($D14:D$107,D13+1,$U14:U$107),IF(AND(Q13=Háttér_listák!$B$125,Beruházási_ktg_input!S13=Háttér_listák!$B$130,Főoldal!$C$15="Igen"),Beruházási_ktg_input!N13,0))</f>
        <v>135000</v>
      </c>
      <c r="V13" s="51">
        <f t="shared" si="1"/>
        <v>635000</v>
      </c>
      <c r="W13" s="51">
        <f>IF($B13=Háttér_listák!$B$121,SUMIF($D14:D$107,D13+1,$W14:W$107),IF(AND(Q13=Háttér_listák!$B$125,Beruházási_ktg_input!S13=Háttér_listák!$B$130,Főoldal!$C$15="Nem"),Beruházási_ktg_input!N13,0))</f>
        <v>0</v>
      </c>
      <c r="X13" s="51">
        <f>IF($B13=Háttér_listák!$B$121,SUMIF($D14:D$107,D13+1,$X14:X$107),IF(AND(Q13=Háttér_listák!$B$125,Beruházási_ktg_input!S13=Háttér_listák!$B$129),Beruházási_ktg_input!N13,0))</f>
        <v>0</v>
      </c>
      <c r="Y13" s="51">
        <f>IF($B13=Háttér_listák!$B$121,SUMIF($D14:D$107,D13+1,$Y14:Y$107),IF(Q13=Háttér_listák!$B$126,Beruházási_ktg_input!L13,0))</f>
        <v>0</v>
      </c>
      <c r="Z13" s="51">
        <f>IF($B13=Háttér_listák!$B$121,SUMIF($D14:D$107,D13+1,$Z14:Z$107),IF(AND(Q13=Háttér_listák!$B$126,Beruházási_ktg_input!S13=Háttér_listák!$B$129),Beruházási_ktg_input!N13,0))</f>
        <v>0</v>
      </c>
      <c r="AA13" s="51">
        <f>IF($B13=Háttér_listák!$B$121,SUMIF($D14:D$107,D13+1,$AA14:AA$107),IF(AND(Q13=Háttér_listák!$B$126,Beruházási_ktg_input!S13=Háttér_listák!$B$130),Beruházási_ktg_input!N13,0))</f>
        <v>0</v>
      </c>
      <c r="AB13" s="51">
        <f t="shared" si="2"/>
        <v>0</v>
      </c>
      <c r="AC13" s="51">
        <f t="shared" si="3"/>
        <v>635000</v>
      </c>
      <c r="AD13" s="51">
        <f t="shared" si="4"/>
        <v>0</v>
      </c>
      <c r="AE13" s="68">
        <f t="shared" si="5"/>
        <v>635000</v>
      </c>
      <c r="AF13" s="258">
        <v>1</v>
      </c>
      <c r="AG13" s="259"/>
      <c r="AH13" s="259"/>
      <c r="AI13" s="259"/>
      <c r="AJ13" s="260"/>
      <c r="AK13" s="70" t="str">
        <f>IF(SUM(AF13:AJ13)=0,"",IF(SUM(AF13:AJ13)=1,Háttér_listák!$B$133,Háttér_listák!$B$134))</f>
        <v>Az ütemezés megfelelő!</v>
      </c>
      <c r="AL13" s="67">
        <f>IF($AE13=0,0,IF($B13=Háttér_listák!$B$122,Beruházási_ktg_input!$V13*Beruházási_ktg_input!AF13,""))</f>
        <v>635000</v>
      </c>
      <c r="AM13" s="51">
        <f>IF($AE13=0,0,IF($B13=Háttér_listák!$B$122,Beruházási_ktg_input!$V13*Beruházási_ktg_input!AG13,""))</f>
        <v>0</v>
      </c>
      <c r="AN13" s="51">
        <f>IF($AE13=0,0,IF($B13=Háttér_listák!$B$122,Beruházási_ktg_input!$V13*Beruházási_ktg_input!AH13,""))</f>
        <v>0</v>
      </c>
      <c r="AO13" s="51">
        <f>IF($AE13=0,0,IF($B13=Háttér_listák!$B$122,Beruházási_ktg_input!$V13*Beruházási_ktg_input!AI13,""))</f>
        <v>0</v>
      </c>
      <c r="AP13" s="68">
        <f>IF($AE13=0,0,IF($B13=Háttér_listák!$B$122,Beruházási_ktg_input!$V13*Beruházási_ktg_input!AJ13,""))</f>
        <v>0</v>
      </c>
      <c r="AQ13" s="67">
        <f>IF($AE13=0,0,IF($B13=Háttér_listák!$B$122,Beruházási_ktg_input!$AD13*Beruházási_ktg_input!AF13,""))</f>
        <v>0</v>
      </c>
      <c r="AR13" s="51">
        <f>IF($AE13=0,0,IF($B13=Háttér_listák!$B$122,Beruházási_ktg_input!$AD13*Beruházási_ktg_input!AG13,""))</f>
        <v>0</v>
      </c>
      <c r="AS13" s="51">
        <f>IF($AE13=0,0,IF($B13=Háttér_listák!$B$122,Beruházási_ktg_input!$AD13*Beruházási_ktg_input!AH13,""))</f>
        <v>0</v>
      </c>
      <c r="AT13" s="51">
        <f>IF($AE13=0,0,IF($B13=Háttér_listák!$B$122,Beruházási_ktg_input!$AD13*Beruházási_ktg_input!AI13,""))</f>
        <v>0</v>
      </c>
      <c r="AU13" s="71">
        <f>IF($AE13=0,0,IF($B13=Háttér_listák!$B$122,Beruházási_ktg_input!$AD13*Beruházási_ktg_input!AJ13,""))</f>
        <v>0</v>
      </c>
      <c r="AV13" s="67">
        <f>IF($AE13=0,0,IF($B13=Háttér_listák!$B$122,($T13+$Y13)*AF13,""))</f>
        <v>500000</v>
      </c>
      <c r="AW13" s="51">
        <f>IF($AE13=0,0,IF($B13=Háttér_listák!$B$122,($T13+$Y13)*AG13,""))</f>
        <v>0</v>
      </c>
      <c r="AX13" s="51">
        <f>IF($AE13=0,0,IF($B13=Háttér_listák!$B$122,($T13+$Y13)*AH13,""))</f>
        <v>0</v>
      </c>
      <c r="AY13" s="51">
        <f>IF($AE13=0,0,IF($B13=Háttér_listák!$B$122,($T13+$Y13)*AI13,""))</f>
        <v>0</v>
      </c>
      <c r="AZ13" s="68">
        <f>IF($AE13=0,0,IF($B13=Háttér_listák!$B$122,($T13+$Y13)*AJ13,""))</f>
        <v>0</v>
      </c>
    </row>
    <row r="14" spans="2:52">
      <c r="B14" s="245" t="s">
        <v>101</v>
      </c>
      <c r="C14" s="246">
        <f>IF(B14=Háttér_listák!$B$121,1,0)</f>
        <v>1</v>
      </c>
      <c r="D14" s="246">
        <f t="shared" si="0"/>
        <v>3</v>
      </c>
      <c r="E14" s="247" t="s">
        <v>269</v>
      </c>
      <c r="F14" s="248"/>
      <c r="G14" s="247" t="s">
        <v>113</v>
      </c>
      <c r="H14" s="248"/>
      <c r="I14" s="250"/>
      <c r="J14" s="562"/>
      <c r="K14" s="574" t="str">
        <f>IF(B14=Háttér_listák!$B$121,"",Beruházási_ktg_input!I14*Beruházási_ktg_input!J14)</f>
        <v/>
      </c>
      <c r="L14" s="576">
        <f>IF(B14=Háttér_listák!$B$121,SUMIF(Beruházási_ktg_input!D14:$D$107,Beruházási_ktg_input!D14+1,Beruházási_ktg_input!L14:$L$107),Beruházási_ktg_input!$K14)</f>
        <v>297500000</v>
      </c>
      <c r="M14" s="571"/>
      <c r="N14" s="567"/>
      <c r="O14" s="559">
        <f>IF(B14=Háttér_listák!$B$121,SUMIF(Beruházási_ktg_input!$D15:D$107,Beruházási_ktg_input!D14+1,$O15:O$107),L14+N14)</f>
        <v>377825000</v>
      </c>
      <c r="P14" s="249"/>
      <c r="Q14" s="245"/>
      <c r="R14" s="247"/>
      <c r="S14" s="247"/>
      <c r="T14" s="67">
        <f>IF($B14=Háttér_listák!$B$121,SUMIF($D15:D$107,D14+1,$T15:T$107),IF(Q14=Háttér_listák!$B$125,Beruházási_ktg_input!L14,0))</f>
        <v>297500000</v>
      </c>
      <c r="U14" s="51">
        <f>IF($B14=Háttér_listák!$B$121,SUMIF($D15:D$107,D14+1,$U15:U$107),IF(AND(Q14=Háttér_listák!$B$125,Beruházási_ktg_input!S14=Háttér_listák!$B$130,Főoldal!$C$15="Igen"),Beruházási_ktg_input!N14,0))</f>
        <v>80325000</v>
      </c>
      <c r="V14" s="51">
        <f t="shared" si="1"/>
        <v>377825000</v>
      </c>
      <c r="W14" s="51">
        <f>IF($B14=Háttér_listák!$B$121,SUMIF($D15:D$107,D14+1,$W15:W$107),IF(AND(Q14=Háttér_listák!$B$125,Beruházási_ktg_input!S14=Háttér_listák!$B$130,Főoldal!$C$15="Nem"),Beruházási_ktg_input!N14,0))</f>
        <v>0</v>
      </c>
      <c r="X14" s="51">
        <f>IF($B14=Háttér_listák!$B$121,SUMIF($D15:D$107,D14+1,$X15:X$107),IF(AND(Q14=Háttér_listák!$B$125,Beruházási_ktg_input!S14=Háttér_listák!$B$129),Beruházási_ktg_input!N14,0))</f>
        <v>0</v>
      </c>
      <c r="Y14" s="51">
        <f>IF($B14=Háttér_listák!$B$121,SUMIF($D15:D$107,D14+1,$Y15:Y$107),IF(Q14=Háttér_listák!$B$126,Beruházási_ktg_input!L14,0))</f>
        <v>0</v>
      </c>
      <c r="Z14" s="51">
        <f>IF($B14=Háttér_listák!$B$121,SUMIF($D15:D$107,D14+1,$Z15:Z$107),IF(AND(Q14=Háttér_listák!$B$126,Beruházási_ktg_input!S14=Háttér_listák!$B$129),Beruházási_ktg_input!N14,0))</f>
        <v>0</v>
      </c>
      <c r="AA14" s="51">
        <f>IF($B14=Háttér_listák!$B$121,SUMIF($D15:D$107,D14+1,$AA15:AA$107),IF(AND(Q14=Háttér_listák!$B$126,Beruházási_ktg_input!S14=Háttér_listák!$B$130),Beruházási_ktg_input!N14,0))</f>
        <v>0</v>
      </c>
      <c r="AB14" s="51">
        <f t="shared" si="2"/>
        <v>0</v>
      </c>
      <c r="AC14" s="51">
        <f t="shared" si="3"/>
        <v>377825000</v>
      </c>
      <c r="AD14" s="51">
        <f t="shared" si="4"/>
        <v>0</v>
      </c>
      <c r="AE14" s="68">
        <f t="shared" si="5"/>
        <v>377825000</v>
      </c>
      <c r="AF14" s="258"/>
      <c r="AG14" s="259"/>
      <c r="AH14" s="259"/>
      <c r="AI14" s="259"/>
      <c r="AJ14" s="260"/>
      <c r="AK14" s="70" t="str">
        <f>IF(SUM(AF14:AJ14)=0,"",IF(SUM(AF14:AJ14)=1,Háttér_listák!$B$133,Háttér_listák!$B$134))</f>
        <v/>
      </c>
      <c r="AL14" s="67" t="str">
        <f>IF($AE14=0,0,IF($B14=Háttér_listák!$B$122,Beruházási_ktg_input!$V14*Beruházási_ktg_input!AF14,""))</f>
        <v/>
      </c>
      <c r="AM14" s="51" t="str">
        <f>IF($AE14=0,0,IF($B14=Háttér_listák!$B$122,Beruházási_ktg_input!$V14*Beruházási_ktg_input!AG14,""))</f>
        <v/>
      </c>
      <c r="AN14" s="51" t="str">
        <f>IF($AE14=0,0,IF($B14=Háttér_listák!$B$122,Beruházási_ktg_input!$V14*Beruházási_ktg_input!AH14,""))</f>
        <v/>
      </c>
      <c r="AO14" s="51" t="str">
        <f>IF($AE14=0,0,IF($B14=Háttér_listák!$B$122,Beruházási_ktg_input!$V14*Beruházási_ktg_input!AI14,""))</f>
        <v/>
      </c>
      <c r="AP14" s="68" t="str">
        <f>IF($AE14=0,0,IF($B14=Háttér_listák!$B$122,Beruházási_ktg_input!$V14*Beruházási_ktg_input!AJ14,""))</f>
        <v/>
      </c>
      <c r="AQ14" s="67" t="str">
        <f>IF($AE14=0,0,IF($B14=Háttér_listák!$B$122,Beruházási_ktg_input!$AD14*Beruházási_ktg_input!AF14,""))</f>
        <v/>
      </c>
      <c r="AR14" s="51" t="str">
        <f>IF($AE14=0,0,IF($B14=Háttér_listák!$B$122,Beruházási_ktg_input!$AD14*Beruházási_ktg_input!AG14,""))</f>
        <v/>
      </c>
      <c r="AS14" s="51" t="str">
        <f>IF($AE14=0,0,IF($B14=Háttér_listák!$B$122,Beruházási_ktg_input!$AD14*Beruházási_ktg_input!AH14,""))</f>
        <v/>
      </c>
      <c r="AT14" s="51" t="str">
        <f>IF($AE14=0,0,IF($B14=Háttér_listák!$B$122,Beruházási_ktg_input!$AD14*Beruházási_ktg_input!AI14,""))</f>
        <v/>
      </c>
      <c r="AU14" s="71" t="str">
        <f>IF($AE14=0,0,IF($B14=Háttér_listák!$B$122,Beruházási_ktg_input!$AD14*Beruházási_ktg_input!AJ14,""))</f>
        <v/>
      </c>
      <c r="AV14" s="67" t="str">
        <f>IF($AE14=0,0,IF($B14=Háttér_listák!$B$122,($T14+$Y14)*AF14,""))</f>
        <v/>
      </c>
      <c r="AW14" s="51" t="str">
        <f>IF($AE14=0,0,IF($B14=Háttér_listák!$B$122,($T14+$Y14)*AG14,""))</f>
        <v/>
      </c>
      <c r="AX14" s="51" t="str">
        <f>IF($AE14=0,0,IF($B14=Háttér_listák!$B$122,($T14+$Y14)*AH14,""))</f>
        <v/>
      </c>
      <c r="AY14" s="51" t="str">
        <f>IF($AE14=0,0,IF($B14=Háttér_listák!$B$122,($T14+$Y14)*AI14,""))</f>
        <v/>
      </c>
      <c r="AZ14" s="68" t="str">
        <f>IF($AE14=0,0,IF($B14=Háttér_listák!$B$122,($T14+$Y14)*AJ14,""))</f>
        <v/>
      </c>
    </row>
    <row r="15" spans="2:52" ht="41.4">
      <c r="B15" s="245" t="s">
        <v>102</v>
      </c>
      <c r="C15" s="246">
        <f>IF(B15=Háttér_listák!$B$121,1,0)</f>
        <v>0</v>
      </c>
      <c r="D15" s="246">
        <f t="shared" si="0"/>
        <v>4</v>
      </c>
      <c r="E15" s="247" t="s">
        <v>270</v>
      </c>
      <c r="F15" s="248">
        <v>50</v>
      </c>
      <c r="G15" s="247" t="s">
        <v>130</v>
      </c>
      <c r="H15" s="248"/>
      <c r="I15" s="249">
        <v>1</v>
      </c>
      <c r="J15" s="561">
        <v>142500000</v>
      </c>
      <c r="K15" s="574">
        <f>IF(B15=Háttér_listák!$B$121,"",Beruházási_ktg_input!I15*Beruházási_ktg_input!J15)</f>
        <v>142500000</v>
      </c>
      <c r="L15" s="576">
        <f>IF(B15=Háttér_listák!$B$121,SUMIF(Beruházási_ktg_input!D15:$D$107,Beruházási_ktg_input!D15+1,Beruházási_ktg_input!L15:$L$107),Beruházási_ktg_input!$K15)</f>
        <v>142500000</v>
      </c>
      <c r="M15" s="570">
        <v>0.27</v>
      </c>
      <c r="N15" s="566">
        <v>38475000</v>
      </c>
      <c r="O15" s="559">
        <f>IF(B15=Háttér_listák!$B$121,SUMIF(Beruházási_ktg_input!$D18:D$107,Beruházási_ktg_input!D15+1,$O18:O$107),L15+N15)</f>
        <v>180975000</v>
      </c>
      <c r="P15" s="249">
        <v>62700000</v>
      </c>
      <c r="Q15" s="251" t="s">
        <v>104</v>
      </c>
      <c r="R15" s="248" t="s">
        <v>269</v>
      </c>
      <c r="S15" s="248" t="s">
        <v>108</v>
      </c>
      <c r="T15" s="67">
        <f>IF($B15=Háttér_listák!$B$121,SUMIF($D18:D$107,D15+1,$T18:T$107),IF(Q15=Háttér_listák!$B$125,Beruházási_ktg_input!L15,0))</f>
        <v>142500000</v>
      </c>
      <c r="U15" s="51">
        <f>IF($B15=Háttér_listák!$B$121,SUMIF($D18:D$107,D15+1,$U18:U$107),IF(AND(Q15=Háttér_listák!$B$125,Beruházási_ktg_input!S15=Háttér_listák!$B$130,Főoldal!$C$15="Igen"),Beruházási_ktg_input!N15,0))</f>
        <v>38475000</v>
      </c>
      <c r="V15" s="51">
        <f t="shared" si="1"/>
        <v>180975000</v>
      </c>
      <c r="W15" s="51">
        <f>IF($B15=Háttér_listák!$B$121,SUMIF($D18:D$107,D15+1,$W18:W$107),IF(AND(Q15=Háttér_listák!$B$125,Beruházási_ktg_input!S15=Háttér_listák!$B$130,Főoldal!$C$15="Nem"),Beruházási_ktg_input!N15,0))</f>
        <v>0</v>
      </c>
      <c r="X15" s="51">
        <f>IF($B15=Háttér_listák!$B$121,SUMIF($D18:D$107,D15+1,$X18:X$107),IF(AND(Q15=Háttér_listák!$B$125,Beruházási_ktg_input!S15=Háttér_listák!$B$129),Beruházási_ktg_input!N15,0))</f>
        <v>0</v>
      </c>
      <c r="Y15" s="51">
        <f>IF($B15=Háttér_listák!$B$121,SUMIF($D18:D$107,D15+1,$Y18:Y$107),IF(Q15=Háttér_listák!$B$126,Beruházási_ktg_input!L15,0))</f>
        <v>0</v>
      </c>
      <c r="Z15" s="51">
        <f>IF($B15=Háttér_listák!$B$121,SUMIF($D18:D$107,D15+1,$Z18:Z$107),IF(AND(Q15=Háttér_listák!$B$126,Beruházási_ktg_input!S15=Háttér_listák!$B$129),Beruházási_ktg_input!N15,0))</f>
        <v>0</v>
      </c>
      <c r="AA15" s="51">
        <f>IF($B15=Háttér_listák!$B$121,SUMIF($D18:D$107,D15+1,$AA18:AA$107),IF(AND(Q15=Háttér_listák!$B$126,Beruházási_ktg_input!S15=Háttér_listák!$B$130),Beruházási_ktg_input!N15,0))</f>
        <v>0</v>
      </c>
      <c r="AB15" s="51">
        <f t="shared" si="2"/>
        <v>0</v>
      </c>
      <c r="AC15" s="51">
        <f t="shared" si="3"/>
        <v>180975000</v>
      </c>
      <c r="AD15" s="51">
        <f t="shared" si="4"/>
        <v>0</v>
      </c>
      <c r="AE15" s="68">
        <f t="shared" si="5"/>
        <v>180975000</v>
      </c>
      <c r="AF15" s="258">
        <v>1</v>
      </c>
      <c r="AG15" s="259"/>
      <c r="AH15" s="259"/>
      <c r="AI15" s="259"/>
      <c r="AJ15" s="260"/>
      <c r="AK15" s="70" t="str">
        <f>IF(SUM(AF15:AJ15)=0,"",IF(SUM(AF15:AJ15)=1,Háttér_listák!$B$133,Háttér_listák!$B$134))</f>
        <v>Az ütemezés megfelelő!</v>
      </c>
      <c r="AL15" s="67">
        <f>IF($AE15=0,0,IF($B15=Háttér_listák!$B$122,Beruházási_ktg_input!$V15*Beruházási_ktg_input!AF15,""))</f>
        <v>180975000</v>
      </c>
      <c r="AM15" s="51">
        <f>IF($AE15=0,0,IF($B15=Háttér_listák!$B$122,Beruházási_ktg_input!$V15*Beruházási_ktg_input!AG15,""))</f>
        <v>0</v>
      </c>
      <c r="AN15" s="51">
        <f>IF($AE15=0,0,IF($B15=Háttér_listák!$B$122,Beruházási_ktg_input!$V15*Beruházási_ktg_input!AH15,""))</f>
        <v>0</v>
      </c>
      <c r="AO15" s="51">
        <f>IF($AE15=0,0,IF($B15=Háttér_listák!$B$122,Beruházási_ktg_input!$V15*Beruházási_ktg_input!AI15,""))</f>
        <v>0</v>
      </c>
      <c r="AP15" s="68">
        <f>IF($AE15=0,0,IF($B15=Háttér_listák!$B$122,Beruházási_ktg_input!$V15*Beruházási_ktg_input!AJ15,""))</f>
        <v>0</v>
      </c>
      <c r="AQ15" s="67">
        <f>IF($AE15=0,0,IF($B15=Háttér_listák!$B$122,Beruházási_ktg_input!$AD15*Beruházási_ktg_input!AF15,""))</f>
        <v>0</v>
      </c>
      <c r="AR15" s="51">
        <f>IF($AE15=0,0,IF($B15=Háttér_listák!$B$122,Beruházási_ktg_input!$AD15*Beruházási_ktg_input!AG15,""))</f>
        <v>0</v>
      </c>
      <c r="AS15" s="51">
        <f>IF($AE15=0,0,IF($B15=Háttér_listák!$B$122,Beruházási_ktg_input!$AD15*Beruházási_ktg_input!AH15,""))</f>
        <v>0</v>
      </c>
      <c r="AT15" s="51">
        <f>IF($AE15=0,0,IF($B15=Háttér_listák!$B$122,Beruházási_ktg_input!$AD15*Beruházási_ktg_input!AI15,""))</f>
        <v>0</v>
      </c>
      <c r="AU15" s="71">
        <f>IF($AE15=0,0,IF($B15=Háttér_listák!$B$122,Beruházási_ktg_input!$AD15*Beruházási_ktg_input!AJ15,""))</f>
        <v>0</v>
      </c>
      <c r="AV15" s="67">
        <f>IF($AE15=0,0,IF($B15=Háttér_listák!$B$122,($T15+$Y15)*AF15,""))</f>
        <v>142500000</v>
      </c>
      <c r="AW15" s="51">
        <f>IF($AE15=0,0,IF($B15=Háttér_listák!$B$122,($T15+$Y15)*AG15,""))</f>
        <v>0</v>
      </c>
      <c r="AX15" s="51">
        <f>IF($AE15=0,0,IF($B15=Háttér_listák!$B$122,($T15+$Y15)*AH15,""))</f>
        <v>0</v>
      </c>
      <c r="AY15" s="51">
        <f>IF($AE15=0,0,IF($B15=Háttér_listák!$B$122,($T15+$Y15)*AI15,""))</f>
        <v>0</v>
      </c>
      <c r="AZ15" s="68">
        <f>IF($AE15=0,0,IF($B15=Háttér_listák!$B$122,($T15+$Y15)*AJ15,""))</f>
        <v>0</v>
      </c>
    </row>
    <row r="16" spans="2:52">
      <c r="B16" s="245" t="s">
        <v>102</v>
      </c>
      <c r="C16" s="246">
        <f>IF(B16=Háttér_listák!$B$121,1,0)</f>
        <v>0</v>
      </c>
      <c r="D16" s="246">
        <f>IF(C16=C15,D15,D15+1)</f>
        <v>4</v>
      </c>
      <c r="E16" s="247" t="s">
        <v>271</v>
      </c>
      <c r="F16" s="248">
        <v>50</v>
      </c>
      <c r="G16" s="247" t="s">
        <v>132</v>
      </c>
      <c r="H16" s="248"/>
      <c r="I16" s="249">
        <v>1</v>
      </c>
      <c r="J16" s="561">
        <v>70000000</v>
      </c>
      <c r="K16" s="574">
        <f>IF(B16=Háttér_listák!$B$121,"",Beruházási_ktg_input!I16*Beruházási_ktg_input!J16)</f>
        <v>70000000</v>
      </c>
      <c r="L16" s="576">
        <f>IF(B16=Háttér_listák!$B$121,SUMIF(Beruházási_ktg_input!D16:$D$107,Beruházási_ktg_input!D16+1,Beruházási_ktg_input!L16:$L$107),Beruházási_ktg_input!$K16)</f>
        <v>70000000</v>
      </c>
      <c r="M16" s="570">
        <v>0.27</v>
      </c>
      <c r="N16" s="566">
        <v>18900000</v>
      </c>
      <c r="O16" s="559">
        <f>IF(B16=Háttér_listák!$B$121,SUMIF(Beruházási_ktg_input!$D19:D$107,Beruházási_ktg_input!D16+1,$O19:O$107),L16+N16)</f>
        <v>88900000</v>
      </c>
      <c r="P16" s="249">
        <v>30800000</v>
      </c>
      <c r="Q16" s="251" t="s">
        <v>104</v>
      </c>
      <c r="R16" s="248" t="s">
        <v>269</v>
      </c>
      <c r="S16" s="248" t="s">
        <v>108</v>
      </c>
      <c r="T16" s="67">
        <f>IF($B16=Háttér_listák!$B$121,SUMIF($D19:D$107,D16+1,$T19:T$107),IF(Q16=Háttér_listák!$B$125,Beruházási_ktg_input!L16,0))</f>
        <v>70000000</v>
      </c>
      <c r="U16" s="51">
        <f>IF($B16=Háttér_listák!$B$121,SUMIF($D19:D$107,D16+1,$U19:U$107),IF(AND(Q16=Háttér_listák!$B$125,Beruházási_ktg_input!S16=Háttér_listák!$B$130,Főoldal!$C$15="Igen"),Beruházási_ktg_input!N16,0))</f>
        <v>18900000</v>
      </c>
      <c r="V16" s="51">
        <f>SUM(T16:U16)</f>
        <v>88900000</v>
      </c>
      <c r="W16" s="51">
        <f>IF($B16=Háttér_listák!$B$121,SUMIF($D19:D$107,D16+1,$W19:W$107),IF(AND(Q16=Háttér_listák!$B$125,Beruházási_ktg_input!S16=Háttér_listák!$B$130,Főoldal!$C$15="Nem"),Beruházási_ktg_input!N16,0))</f>
        <v>0</v>
      </c>
      <c r="X16" s="51">
        <f>IF($B16=Háttér_listák!$B$121,SUMIF($D19:D$107,D16+1,$X19:X$107),IF(AND(Q16=Háttér_listák!$B$125,Beruházási_ktg_input!S16=Háttér_listák!$B$129),Beruházási_ktg_input!N16,0))</f>
        <v>0</v>
      </c>
      <c r="Y16" s="51">
        <f>IF($B16=Háttér_listák!$B$121,SUMIF($D19:D$107,D16+1,$Y19:Y$107),IF(Q16=Háttér_listák!$B$126,Beruházási_ktg_input!L16,0))</f>
        <v>0</v>
      </c>
      <c r="Z16" s="51">
        <f>IF($B16=Háttér_listák!$B$121,SUMIF($D19:D$107,D16+1,$Z19:Z$107),IF(AND(Q16=Háttér_listák!$B$126,Beruházási_ktg_input!S16=Háttér_listák!$B$129),Beruházási_ktg_input!N16,0))</f>
        <v>0</v>
      </c>
      <c r="AA16" s="51">
        <f>IF($B16=Háttér_listák!$B$121,SUMIF($D19:D$107,D16+1,$AA19:AA$107),IF(AND(Q16=Háttér_listák!$B$126,Beruházási_ktg_input!S16=Háttér_listák!$B$130),Beruházási_ktg_input!N16,0))</f>
        <v>0</v>
      </c>
      <c r="AB16" s="51">
        <f>Y16+AA16</f>
        <v>0</v>
      </c>
      <c r="AC16" s="51">
        <f>V16+AB16</f>
        <v>88900000</v>
      </c>
      <c r="AD16" s="51">
        <f>SUM(W16:AA16)</f>
        <v>0</v>
      </c>
      <c r="AE16" s="68">
        <f>V16+AD16</f>
        <v>88900000</v>
      </c>
      <c r="AF16" s="258">
        <v>1</v>
      </c>
      <c r="AG16" s="259"/>
      <c r="AH16" s="259"/>
      <c r="AI16" s="259"/>
      <c r="AJ16" s="260"/>
      <c r="AK16" s="70" t="str">
        <f>IF(SUM(AF16:AJ16)=0,"",IF(SUM(AF16:AJ16)=1,Háttér_listák!$B$133,Háttér_listák!$B$134))</f>
        <v>Az ütemezés megfelelő!</v>
      </c>
      <c r="AL16" s="67">
        <f>IF($AE16=0,0,IF($B16=Háttér_listák!$B$122,Beruházási_ktg_input!$V16*Beruházási_ktg_input!AF16,""))</f>
        <v>88900000</v>
      </c>
      <c r="AM16" s="51">
        <f>IF($AE16=0,0,IF($B16=Háttér_listák!$B$122,Beruházási_ktg_input!$V16*Beruházási_ktg_input!AG16,""))</f>
        <v>0</v>
      </c>
      <c r="AN16" s="51">
        <f>IF($AE16=0,0,IF($B16=Háttér_listák!$B$122,Beruházási_ktg_input!$V16*Beruházási_ktg_input!AH16,""))</f>
        <v>0</v>
      </c>
      <c r="AO16" s="51">
        <f>IF($AE16=0,0,IF($B16=Háttér_listák!$B$122,Beruházási_ktg_input!$V16*Beruházási_ktg_input!AI16,""))</f>
        <v>0</v>
      </c>
      <c r="AP16" s="68">
        <f>IF($AE16=0,0,IF($B16=Háttér_listák!$B$122,Beruházási_ktg_input!$V16*Beruházási_ktg_input!AJ16,""))</f>
        <v>0</v>
      </c>
      <c r="AQ16" s="67">
        <f>IF($AE16=0,0,IF($B16=Háttér_listák!$B$122,Beruházási_ktg_input!$AD16*Beruházási_ktg_input!AF16,""))</f>
        <v>0</v>
      </c>
      <c r="AR16" s="51">
        <f>IF($AE16=0,0,IF($B16=Háttér_listák!$B$122,Beruházási_ktg_input!$AD16*Beruházási_ktg_input!AG16,""))</f>
        <v>0</v>
      </c>
      <c r="AS16" s="51">
        <f>IF($AE16=0,0,IF($B16=Háttér_listák!$B$122,Beruházási_ktg_input!$AD16*Beruházási_ktg_input!AH16,""))</f>
        <v>0</v>
      </c>
      <c r="AT16" s="51">
        <f>IF($AE16=0,0,IF($B16=Háttér_listák!$B$122,Beruházási_ktg_input!$AD16*Beruházási_ktg_input!AI16,""))</f>
        <v>0</v>
      </c>
      <c r="AU16" s="71">
        <f>IF($AE16=0,0,IF($B16=Háttér_listák!$B$122,Beruházási_ktg_input!$AD16*Beruházási_ktg_input!AJ16,""))</f>
        <v>0</v>
      </c>
      <c r="AV16" s="67">
        <f>IF($AE16=0,0,IF($B16=Háttér_listák!$B$122,($T16+$Y16)*AF16,""))</f>
        <v>70000000</v>
      </c>
      <c r="AW16" s="51">
        <f>IF($AE16=0,0,IF($B16=Háttér_listák!$B$122,($T16+$Y16)*AG16,""))</f>
        <v>0</v>
      </c>
      <c r="AX16" s="51">
        <f>IF($AE16=0,0,IF($B16=Háttér_listák!$B$122,($T16+$Y16)*AH16,""))</f>
        <v>0</v>
      </c>
      <c r="AY16" s="51">
        <f>IF($AE16=0,0,IF($B16=Háttér_listák!$B$122,($T16+$Y16)*AI16,""))</f>
        <v>0</v>
      </c>
      <c r="AZ16" s="68">
        <f>IF($AE16=0,0,IF($B16=Háttér_listák!$B$122,($T16+$Y16)*AJ16,""))</f>
        <v>0</v>
      </c>
    </row>
    <row r="17" spans="2:52" ht="69">
      <c r="B17" s="245" t="s">
        <v>102</v>
      </c>
      <c r="C17" s="246">
        <f>IF(B17=Háttér_listák!$B$121,1,0)</f>
        <v>0</v>
      </c>
      <c r="D17" s="246">
        <f>IF(C17=C16,D16,D16+1)</f>
        <v>4</v>
      </c>
      <c r="E17" s="247" t="s">
        <v>272</v>
      </c>
      <c r="F17" s="248">
        <v>50</v>
      </c>
      <c r="G17" s="247" t="s">
        <v>273</v>
      </c>
      <c r="H17" s="248"/>
      <c r="I17" s="249">
        <v>1</v>
      </c>
      <c r="J17" s="561">
        <v>85000000</v>
      </c>
      <c r="K17" s="574">
        <f>IF(B17=Háttér_listák!$B$121,"",Beruházási_ktg_input!I17*Beruházási_ktg_input!J17)</f>
        <v>85000000</v>
      </c>
      <c r="L17" s="576">
        <f>IF(B17=Háttér_listák!$B$121,SUMIF(Beruházási_ktg_input!D17:$D$107,Beruházási_ktg_input!D17+1,Beruházási_ktg_input!L17:$L$107),Beruházási_ktg_input!$K17)</f>
        <v>85000000</v>
      </c>
      <c r="M17" s="570">
        <v>0.27</v>
      </c>
      <c r="N17" s="566">
        <v>22950000</v>
      </c>
      <c r="O17" s="559">
        <f>IF(B17=Háttér_listák!$B$121,SUMIF(Beruházási_ktg_input!$D20:D$107,Beruházási_ktg_input!D17+1,$O20:O$107),L17+N17)</f>
        <v>107950000</v>
      </c>
      <c r="P17" s="249">
        <v>37400000</v>
      </c>
      <c r="Q17" s="251" t="s">
        <v>104</v>
      </c>
      <c r="R17" s="248" t="s">
        <v>269</v>
      </c>
      <c r="S17" s="248" t="s">
        <v>108</v>
      </c>
      <c r="T17" s="67">
        <f>IF($B17=Háttér_listák!$B$121,SUMIF($D20:D$107,D17+1,$T20:T$107),IF(Q17=Háttér_listák!$B$125,Beruházási_ktg_input!L17,0))</f>
        <v>85000000</v>
      </c>
      <c r="U17" s="51">
        <f>IF($B17=Háttér_listák!$B$121,SUMIF($D20:D$107,D17+1,$U20:U$107),IF(AND(Q17=Háttér_listák!$B$125,Beruházási_ktg_input!S17=Háttér_listák!$B$130,Főoldal!$C$15="Igen"),Beruházási_ktg_input!N17,0))</f>
        <v>22950000</v>
      </c>
      <c r="V17" s="51">
        <f>SUM(T17:U17)</f>
        <v>107950000</v>
      </c>
      <c r="W17" s="51">
        <f>IF($B17=Háttér_listák!$B$121,SUMIF($D20:D$107,D17+1,$W20:W$107),IF(AND(Q17=Háttér_listák!$B$125,Beruházási_ktg_input!S17=Háttér_listák!$B$130,Főoldal!$C$15="Nem"),Beruházási_ktg_input!N17,0))</f>
        <v>0</v>
      </c>
      <c r="X17" s="51">
        <f>IF($B17=Háttér_listák!$B$121,SUMIF($D20:D$107,D17+1,$X20:X$107),IF(AND(Q17=Háttér_listák!$B$125,Beruházási_ktg_input!S17=Háttér_listák!$B$129),Beruházási_ktg_input!N17,0))</f>
        <v>0</v>
      </c>
      <c r="Y17" s="51">
        <f>IF($B17=Háttér_listák!$B$121,SUMIF($D20:D$107,D17+1,$Y20:Y$107),IF(Q17=Háttér_listák!$B$126,Beruházási_ktg_input!L17,0))</f>
        <v>0</v>
      </c>
      <c r="Z17" s="51">
        <f>IF($B17=Háttér_listák!$B$121,SUMIF($D20:D$107,D17+1,$Z20:Z$107),IF(AND(Q17=Háttér_listák!$B$126,Beruházási_ktg_input!S17=Háttér_listák!$B$129),Beruházási_ktg_input!N17,0))</f>
        <v>0</v>
      </c>
      <c r="AA17" s="51">
        <f>IF($B17=Háttér_listák!$B$121,SUMIF($D20:D$107,D17+1,$AA20:AA$107),IF(AND(Q17=Háttér_listák!$B$126,Beruházási_ktg_input!S17=Háttér_listák!$B$130),Beruházási_ktg_input!N17,0))</f>
        <v>0</v>
      </c>
      <c r="AB17" s="51">
        <f>Y17+AA17</f>
        <v>0</v>
      </c>
      <c r="AC17" s="51">
        <f>V17+AB17</f>
        <v>107950000</v>
      </c>
      <c r="AD17" s="51">
        <f>SUM(W17:AA17)</f>
        <v>0</v>
      </c>
      <c r="AE17" s="68">
        <f>V17+AD17</f>
        <v>107950000</v>
      </c>
      <c r="AF17" s="258">
        <v>1</v>
      </c>
      <c r="AG17" s="259"/>
      <c r="AH17" s="259"/>
      <c r="AI17" s="259"/>
      <c r="AJ17" s="260"/>
      <c r="AK17" s="70" t="str">
        <f>IF(SUM(AF17:AJ17)=0,"",IF(SUM(AF17:AJ17)=1,Háttér_listák!$B$133,Háttér_listák!$B$134))</f>
        <v>Az ütemezés megfelelő!</v>
      </c>
      <c r="AL17" s="67">
        <f>IF($AE17=0,0,IF($B17=Háttér_listák!$B$122,Beruházási_ktg_input!$V17*Beruházási_ktg_input!AF17,""))</f>
        <v>107950000</v>
      </c>
      <c r="AM17" s="51">
        <f>IF($AE17=0,0,IF($B17=Háttér_listák!$B$122,Beruházási_ktg_input!$V17*Beruházási_ktg_input!AG17,""))</f>
        <v>0</v>
      </c>
      <c r="AN17" s="51">
        <f>IF($AE17=0,0,IF($B17=Háttér_listák!$B$122,Beruházási_ktg_input!$V17*Beruházási_ktg_input!AH17,""))</f>
        <v>0</v>
      </c>
      <c r="AO17" s="51">
        <f>IF($AE17=0,0,IF($B17=Háttér_listák!$B$122,Beruházási_ktg_input!$V17*Beruházási_ktg_input!AI17,""))</f>
        <v>0</v>
      </c>
      <c r="AP17" s="68">
        <f>IF($AE17=0,0,IF($B17=Háttér_listák!$B$122,Beruházási_ktg_input!$V17*Beruházási_ktg_input!AJ17,""))</f>
        <v>0</v>
      </c>
      <c r="AQ17" s="67">
        <f>IF($AE17=0,0,IF($B17=Háttér_listák!$B$122,Beruházási_ktg_input!$AD17*Beruházási_ktg_input!AF17,""))</f>
        <v>0</v>
      </c>
      <c r="AR17" s="51">
        <f>IF($AE17=0,0,IF($B17=Háttér_listák!$B$122,Beruházási_ktg_input!$AD17*Beruházási_ktg_input!AG17,""))</f>
        <v>0</v>
      </c>
      <c r="AS17" s="51">
        <f>IF($AE17=0,0,IF($B17=Háttér_listák!$B$122,Beruházási_ktg_input!$AD17*Beruházási_ktg_input!AH17,""))</f>
        <v>0</v>
      </c>
      <c r="AT17" s="51">
        <f>IF($AE17=0,0,IF($B17=Háttér_listák!$B$122,Beruházási_ktg_input!$AD17*Beruházási_ktg_input!AI17,""))</f>
        <v>0</v>
      </c>
      <c r="AU17" s="71">
        <f>IF($AE17=0,0,IF($B17=Háttér_listák!$B$122,Beruházási_ktg_input!$AD17*Beruházási_ktg_input!AJ17,""))</f>
        <v>0</v>
      </c>
      <c r="AV17" s="67">
        <f>IF($AE17=0,0,IF($B17=Háttér_listák!$B$122,($T17+$Y17)*AF17,""))</f>
        <v>85000000</v>
      </c>
      <c r="AW17" s="51">
        <f>IF($AE17=0,0,IF($B17=Háttér_listák!$B$122,($T17+$Y17)*AG17,""))</f>
        <v>0</v>
      </c>
      <c r="AX17" s="51">
        <f>IF($AE17=0,0,IF($B17=Háttér_listák!$B$122,($T17+$Y17)*AH17,""))</f>
        <v>0</v>
      </c>
      <c r="AY17" s="51">
        <f>IF($AE17=0,0,IF($B17=Háttér_listák!$B$122,($T17+$Y17)*AI17,""))</f>
        <v>0</v>
      </c>
      <c r="AZ17" s="68">
        <f>IF($AE17=0,0,IF($B17=Háttér_listák!$B$122,($T17+$Y17)*AJ17,""))</f>
        <v>0</v>
      </c>
    </row>
    <row r="18" spans="2:52">
      <c r="B18" s="245" t="s">
        <v>101</v>
      </c>
      <c r="C18" s="246">
        <f>IF(B18=Háttér_listák!$B$121,1,0)</f>
        <v>1</v>
      </c>
      <c r="D18" s="246">
        <f>IF(C18=C15,D15,D15+1)</f>
        <v>5</v>
      </c>
      <c r="E18" s="247" t="s">
        <v>274</v>
      </c>
      <c r="F18" s="248"/>
      <c r="G18" s="247" t="s">
        <v>113</v>
      </c>
      <c r="H18" s="248"/>
      <c r="I18" s="250"/>
      <c r="J18" s="562"/>
      <c r="K18" s="574" t="str">
        <f>IF(B18=Háttér_listák!$B$121,"",Beruházási_ktg_input!I18*Beruházási_ktg_input!J18)</f>
        <v/>
      </c>
      <c r="L18" s="576">
        <f>IF(B18=Háttér_listák!$B$121,SUMIF(Beruházási_ktg_input!D18:$D$107,Beruházási_ktg_input!D18+1,Beruházási_ktg_input!L18:$L$107),Beruházási_ktg_input!$K18)</f>
        <v>20700000</v>
      </c>
      <c r="M18" s="571"/>
      <c r="N18" s="567"/>
      <c r="O18" s="559">
        <f>IF(B18=Háttér_listák!$B$121,SUMIF(Beruházási_ktg_input!$D19:D$107,Beruházási_ktg_input!D18+1,$O19:O$107),L18+N18)</f>
        <v>26844769</v>
      </c>
      <c r="P18" s="249"/>
      <c r="Q18" s="245"/>
      <c r="R18" s="247"/>
      <c r="S18" s="247"/>
      <c r="T18" s="67">
        <f>IF($B18=Háttér_listák!$B$121,SUMIF($D19:D$107,D18+1,$T19:T$107),IF(Q18=Háttér_listák!$B$125,Beruházási_ktg_input!L18,0))</f>
        <v>20700000</v>
      </c>
      <c r="U18" s="51">
        <f>IF($B18=Háttér_listák!$B$121,SUMIF($D19:D$107,D18+1,$U19:U$107),IF(AND(Q18=Háttér_listák!$B$125,Beruházási_ktg_input!S18=Háttér_listák!$B$130,Főoldal!$C$15="Igen"),Beruházási_ktg_input!N18,0))</f>
        <v>6144769</v>
      </c>
      <c r="V18" s="51">
        <f t="shared" si="1"/>
        <v>26844769</v>
      </c>
      <c r="W18" s="51">
        <f>IF($B18=Háttér_listák!$B$121,SUMIF($D19:D$107,D18+1,$W19:W$107),IF(AND(Q18=Háttér_listák!$B$125,Beruházási_ktg_input!S18=Háttér_listák!$B$130,Főoldal!$C$15="Nem"),Beruházási_ktg_input!N18,0))</f>
        <v>0</v>
      </c>
      <c r="X18" s="51">
        <f>IF($B18=Háttér_listák!$B$121,SUMIF($D19:D$107,D18+1,$X19:X$107),IF(AND(Q18=Háttér_listák!$B$125,Beruházási_ktg_input!S18=Háttér_listák!$B$129),Beruházási_ktg_input!N18,0))</f>
        <v>0</v>
      </c>
      <c r="Y18" s="51">
        <f>IF($B18=Háttér_listák!$B$121,SUMIF($D19:D$107,D18+1,$Y19:Y$107),IF(Q18=Háttér_listák!$B$126,Beruházási_ktg_input!L18,0))</f>
        <v>0</v>
      </c>
      <c r="Z18" s="51">
        <f>IF($B18=Háttér_listák!$B$121,SUMIF($D19:D$107,D18+1,$Z19:Z$107),IF(AND(Q18=Háttér_listák!$B$126,Beruházási_ktg_input!S18=Háttér_listák!$B$129),Beruházási_ktg_input!N18,0))</f>
        <v>0</v>
      </c>
      <c r="AA18" s="51">
        <f>IF($B18=Háttér_listák!$B$121,SUMIF($D19:D$107,D18+1,$AA19:AA$107),IF(AND(Q18=Háttér_listák!$B$126,Beruházási_ktg_input!S18=Háttér_listák!$B$130),Beruházási_ktg_input!N18,0))</f>
        <v>0</v>
      </c>
      <c r="AB18" s="51">
        <f t="shared" si="2"/>
        <v>0</v>
      </c>
      <c r="AC18" s="51">
        <f t="shared" si="3"/>
        <v>26844769</v>
      </c>
      <c r="AD18" s="51">
        <f t="shared" si="4"/>
        <v>0</v>
      </c>
      <c r="AE18" s="68">
        <f t="shared" si="5"/>
        <v>26844769</v>
      </c>
      <c r="AF18" s="258"/>
      <c r="AG18" s="259"/>
      <c r="AH18" s="259"/>
      <c r="AI18" s="259"/>
      <c r="AJ18" s="260"/>
      <c r="AK18" s="70" t="str">
        <f>IF(SUM(AF18:AJ18)=0,"",IF(SUM(AF18:AJ18)=1,Háttér_listák!$B$133,Háttér_listák!$B$134))</f>
        <v/>
      </c>
      <c r="AL18" s="67" t="str">
        <f>IF($AE18=0,0,IF($B18=Háttér_listák!$B$122,Beruházási_ktg_input!$V18*Beruházási_ktg_input!AF18,""))</f>
        <v/>
      </c>
      <c r="AM18" s="51" t="str">
        <f>IF($AE18=0,0,IF($B18=Háttér_listák!$B$122,Beruházási_ktg_input!$V18*Beruházási_ktg_input!AG18,""))</f>
        <v/>
      </c>
      <c r="AN18" s="51" t="str">
        <f>IF($AE18=0,0,IF($B18=Háttér_listák!$B$122,Beruházási_ktg_input!$V18*Beruházási_ktg_input!AH18,""))</f>
        <v/>
      </c>
      <c r="AO18" s="51" t="str">
        <f>IF($AE18=0,0,IF($B18=Háttér_listák!$B$122,Beruházási_ktg_input!$V18*Beruházási_ktg_input!AI18,""))</f>
        <v/>
      </c>
      <c r="AP18" s="68" t="str">
        <f>IF($AE18=0,0,IF($B18=Háttér_listák!$B$122,Beruházási_ktg_input!$V18*Beruházási_ktg_input!AJ18,""))</f>
        <v/>
      </c>
      <c r="AQ18" s="67" t="str">
        <f>IF($AE18=0,0,IF($B18=Háttér_listák!$B$122,Beruházási_ktg_input!$AD18*Beruházási_ktg_input!AF18,""))</f>
        <v/>
      </c>
      <c r="AR18" s="51" t="str">
        <f>IF($AE18=0,0,IF($B18=Háttér_listák!$B$122,Beruházási_ktg_input!$AD18*Beruházási_ktg_input!AG18,""))</f>
        <v/>
      </c>
      <c r="AS18" s="51" t="str">
        <f>IF($AE18=0,0,IF($B18=Háttér_listák!$B$122,Beruházási_ktg_input!$AD18*Beruházási_ktg_input!AH18,""))</f>
        <v/>
      </c>
      <c r="AT18" s="51" t="str">
        <f>IF($AE18=0,0,IF($B18=Háttér_listák!$B$122,Beruházási_ktg_input!$AD18*Beruházási_ktg_input!AI18,""))</f>
        <v/>
      </c>
      <c r="AU18" s="71" t="str">
        <f>IF($AE18=0,0,IF($B18=Háttér_listák!$B$122,Beruházási_ktg_input!$AD18*Beruházási_ktg_input!AJ18,""))</f>
        <v/>
      </c>
      <c r="AV18" s="67" t="str">
        <f>IF($AE18=0,0,IF($B18=Háttér_listák!$B$122,($T18+$Y18)*AF18,""))</f>
        <v/>
      </c>
      <c r="AW18" s="51" t="str">
        <f>IF($AE18=0,0,IF($B18=Háttér_listák!$B$122,($T18+$Y18)*AG18,""))</f>
        <v/>
      </c>
      <c r="AX18" s="51" t="str">
        <f>IF($AE18=0,0,IF($B18=Háttér_listák!$B$122,($T18+$Y18)*AH18,""))</f>
        <v/>
      </c>
      <c r="AY18" s="51" t="str">
        <f>IF($AE18=0,0,IF($B18=Háttér_listák!$B$122,($T18+$Y18)*AI18,""))</f>
        <v/>
      </c>
      <c r="AZ18" s="68" t="str">
        <f>IF($AE18=0,0,IF($B18=Háttér_listák!$B$122,($T18+$Y18)*AJ18,""))</f>
        <v/>
      </c>
    </row>
    <row r="19" spans="2:52" ht="27.6">
      <c r="B19" s="245" t="s">
        <v>102</v>
      </c>
      <c r="C19" s="246">
        <f>IF(B19=Háttér_listák!$B$121,1,0)</f>
        <v>0</v>
      </c>
      <c r="D19" s="246">
        <f t="shared" si="0"/>
        <v>6</v>
      </c>
      <c r="E19" s="247" t="s">
        <v>275</v>
      </c>
      <c r="F19" s="248">
        <v>0</v>
      </c>
      <c r="G19" s="247" t="s">
        <v>122</v>
      </c>
      <c r="H19" s="248"/>
      <c r="I19" s="250">
        <v>1</v>
      </c>
      <c r="J19" s="562">
        <v>1200000</v>
      </c>
      <c r="K19" s="574">
        <f>IF(B19=Háttér_listák!$B$121,"",Beruházási_ktg_input!I19*Beruházási_ktg_input!J19)</f>
        <v>1200000</v>
      </c>
      <c r="L19" s="576">
        <f>IF(B19=Háttér_listák!$B$121,SUMIF(Beruházási_ktg_input!D19:$D$107,Beruházási_ktg_input!D19+1,Beruházási_ktg_input!L19:$L$107),Beruházási_ktg_input!$K19)</f>
        <v>1200000</v>
      </c>
      <c r="M19" s="571">
        <v>0.73314100000000004</v>
      </c>
      <c r="N19" s="567">
        <v>879769</v>
      </c>
      <c r="O19" s="559">
        <f>IF(B19=Háttér_listák!$B$121,SUMIF(Beruházási_ktg_input!$D20:D$107,Beruházási_ktg_input!D19+1,$O20:O$107),L19+N19)</f>
        <v>2079769</v>
      </c>
      <c r="P19" s="249">
        <v>0</v>
      </c>
      <c r="Q19" s="245" t="s">
        <v>104</v>
      </c>
      <c r="R19" s="247" t="s">
        <v>276</v>
      </c>
      <c r="S19" s="247" t="s">
        <v>108</v>
      </c>
      <c r="T19" s="67">
        <f>IF($B19=Háttér_listák!$B$121,SUMIF($D20:D$107,D19+1,$T20:T$107),IF(Q19=Háttér_listák!$B$125,Beruházási_ktg_input!L19,0))</f>
        <v>1200000</v>
      </c>
      <c r="U19" s="51">
        <f>IF($B19=Háttér_listák!$B$121,SUMIF($D20:D$107,D19+1,$U20:U$107),IF(AND(Q19=Háttér_listák!$B$125,Beruházási_ktg_input!S19=Háttér_listák!$B$130,Főoldal!$C$15="Igen"),Beruházási_ktg_input!N19,0))</f>
        <v>879769</v>
      </c>
      <c r="V19" s="51">
        <f t="shared" si="1"/>
        <v>2079769</v>
      </c>
      <c r="W19" s="51">
        <f>IF($B19=Háttér_listák!$B$121,SUMIF($D20:D$107,D19+1,$W20:W$107),IF(AND(Q19=Háttér_listák!$B$125,Beruházási_ktg_input!S19=Háttér_listák!$B$130,Főoldal!$C$15="Nem"),Beruházási_ktg_input!N19,0))</f>
        <v>0</v>
      </c>
      <c r="X19" s="51">
        <f>IF($B19=Háttér_listák!$B$121,SUMIF($D20:D$107,D19+1,$X20:X$107),IF(AND(Q19=Háttér_listák!$B$125,Beruházási_ktg_input!S19=Háttér_listák!$B$129),Beruházási_ktg_input!N19,0))</f>
        <v>0</v>
      </c>
      <c r="Y19" s="51">
        <f>IF($B19=Háttér_listák!$B$121,SUMIF($D20:D$107,D19+1,$Y20:Y$107),IF(Q19=Háttér_listák!$B$126,Beruházási_ktg_input!L19,0))</f>
        <v>0</v>
      </c>
      <c r="Z19" s="51">
        <f>IF($B19=Háttér_listák!$B$121,SUMIF($D20:D$107,D19+1,$Z20:Z$107),IF(AND(Q19=Háttér_listák!$B$126,Beruházási_ktg_input!S19=Háttér_listák!$B$129),Beruházási_ktg_input!N19,0))</f>
        <v>0</v>
      </c>
      <c r="AA19" s="51">
        <f>IF($B19=Háttér_listák!$B$121,SUMIF($D20:D$107,D19+1,$AA20:AA$107),IF(AND(Q19=Háttér_listák!$B$126,Beruházási_ktg_input!S19=Háttér_listák!$B$130),Beruházási_ktg_input!N19,0))</f>
        <v>0</v>
      </c>
      <c r="AB19" s="51">
        <f t="shared" si="2"/>
        <v>0</v>
      </c>
      <c r="AC19" s="51">
        <f t="shared" si="3"/>
        <v>2079769</v>
      </c>
      <c r="AD19" s="51">
        <f t="shared" si="4"/>
        <v>0</v>
      </c>
      <c r="AE19" s="68">
        <f t="shared" si="5"/>
        <v>2079769</v>
      </c>
      <c r="AF19" s="258">
        <v>1</v>
      </c>
      <c r="AG19" s="259"/>
      <c r="AH19" s="259"/>
      <c r="AI19" s="259"/>
      <c r="AJ19" s="260"/>
      <c r="AK19" s="70" t="str">
        <f>IF(SUM(AF19:AJ19)=0,"",IF(SUM(AF19:AJ19)=1,Háttér_listák!$B$133,Háttér_listák!$B$134))</f>
        <v>Az ütemezés megfelelő!</v>
      </c>
      <c r="AL19" s="67">
        <f>IF($AE19=0,0,IF($B19=Háttér_listák!$B$122,Beruházási_ktg_input!$V19*Beruházási_ktg_input!AF19,""))</f>
        <v>2079769</v>
      </c>
      <c r="AM19" s="51">
        <f>IF($AE19=0,0,IF($B19=Háttér_listák!$B$122,Beruházási_ktg_input!$V19*Beruházási_ktg_input!AG19,""))</f>
        <v>0</v>
      </c>
      <c r="AN19" s="51">
        <f>IF($AE19=0,0,IF($B19=Háttér_listák!$B$122,Beruházási_ktg_input!$V19*Beruházási_ktg_input!AH19,""))</f>
        <v>0</v>
      </c>
      <c r="AO19" s="51">
        <f>IF($AE19=0,0,IF($B19=Háttér_listák!$B$122,Beruházási_ktg_input!$V19*Beruházási_ktg_input!AI19,""))</f>
        <v>0</v>
      </c>
      <c r="AP19" s="68">
        <f>IF($AE19=0,0,IF($B19=Háttér_listák!$B$122,Beruházási_ktg_input!$V19*Beruházási_ktg_input!AJ19,""))</f>
        <v>0</v>
      </c>
      <c r="AQ19" s="67">
        <f>IF($AE19=0,0,IF($B19=Háttér_listák!$B$122,Beruházási_ktg_input!$AD19*Beruházási_ktg_input!AF19,""))</f>
        <v>0</v>
      </c>
      <c r="AR19" s="51">
        <f>IF($AE19=0,0,IF($B19=Háttér_listák!$B$122,Beruházási_ktg_input!$AD19*Beruházási_ktg_input!AG19,""))</f>
        <v>0</v>
      </c>
      <c r="AS19" s="51">
        <f>IF($AE19=0,0,IF($B19=Háttér_listák!$B$122,Beruházási_ktg_input!$AD19*Beruházási_ktg_input!AH19,""))</f>
        <v>0</v>
      </c>
      <c r="AT19" s="51">
        <f>IF($AE19=0,0,IF($B19=Háttér_listák!$B$122,Beruházási_ktg_input!$AD19*Beruházási_ktg_input!AI19,""))</f>
        <v>0</v>
      </c>
      <c r="AU19" s="71">
        <f>IF($AE19=0,0,IF($B19=Háttér_listák!$B$122,Beruházási_ktg_input!$AD19*Beruházási_ktg_input!AJ19,""))</f>
        <v>0</v>
      </c>
      <c r="AV19" s="67">
        <f>IF($AE19=0,0,IF($B19=Háttér_listák!$B$122,($T19+$Y19)*AF19,""))</f>
        <v>1200000</v>
      </c>
      <c r="AW19" s="51">
        <f>IF($AE19=0,0,IF($B19=Háttér_listák!$B$122,($T19+$Y19)*AG19,""))</f>
        <v>0</v>
      </c>
      <c r="AX19" s="51">
        <f>IF($AE19=0,0,IF($B19=Háttér_listák!$B$122,($T19+$Y19)*AH19,""))</f>
        <v>0</v>
      </c>
      <c r="AY19" s="51">
        <f>IF($AE19=0,0,IF($B19=Háttér_listák!$B$122,($T19+$Y19)*AI19,""))</f>
        <v>0</v>
      </c>
      <c r="AZ19" s="68">
        <f>IF($AE19=0,0,IF($B19=Háttér_listák!$B$122,($T19+$Y19)*AJ19,""))</f>
        <v>0</v>
      </c>
    </row>
    <row r="20" spans="2:52" ht="27.6">
      <c r="B20" s="245" t="s">
        <v>102</v>
      </c>
      <c r="C20" s="246">
        <f>IF(B20=Háttér_listák!$B$121,1,0)</f>
        <v>0</v>
      </c>
      <c r="D20" s="246">
        <f t="shared" si="0"/>
        <v>6</v>
      </c>
      <c r="E20" s="247" t="s">
        <v>277</v>
      </c>
      <c r="F20" s="248">
        <v>0</v>
      </c>
      <c r="G20" s="247" t="s">
        <v>125</v>
      </c>
      <c r="H20" s="248"/>
      <c r="I20" s="250">
        <v>1</v>
      </c>
      <c r="J20" s="562">
        <v>7500000</v>
      </c>
      <c r="K20" s="574">
        <f>IF(B20=Háttér_listák!$B$121,"",Beruházási_ktg_input!I20*Beruházási_ktg_input!J20)</f>
        <v>7500000</v>
      </c>
      <c r="L20" s="576">
        <f>IF(B20=Háttér_listák!$B$121,SUMIF(Beruházási_ktg_input!D20:$D$107,Beruházási_ktg_input!D20+1,Beruházási_ktg_input!L20:$L$107),Beruházási_ktg_input!$K20)</f>
        <v>7500000</v>
      </c>
      <c r="M20" s="571">
        <v>0.27</v>
      </c>
      <c r="N20" s="567">
        <v>2025000</v>
      </c>
      <c r="O20" s="559">
        <f>IF(B20=Háttér_listák!$B$121,SUMIF(Beruházási_ktg_input!$D21:D$107,Beruházási_ktg_input!D20+1,$O21:O$107),L20+N20)</f>
        <v>9525000</v>
      </c>
      <c r="P20" s="249">
        <v>0</v>
      </c>
      <c r="Q20" s="245" t="s">
        <v>104</v>
      </c>
      <c r="R20" s="247" t="s">
        <v>276</v>
      </c>
      <c r="S20" s="247" t="s">
        <v>108</v>
      </c>
      <c r="T20" s="67">
        <f>IF($B20=Háttér_listák!$B$121,SUMIF($D21:D$107,D20+1,$T21:T$107),IF(Q20=Háttér_listák!$B$125,Beruházási_ktg_input!L20,0))</f>
        <v>7500000</v>
      </c>
      <c r="U20" s="51">
        <f>IF($B20=Háttér_listák!$B$121,SUMIF($D21:D$107,D20+1,$U21:U$107),IF(AND(Q20=Háttér_listák!$B$125,Beruházási_ktg_input!S20=Háttér_listák!$B$130,Főoldal!$C$15="Igen"),Beruházási_ktg_input!N20,0))</f>
        <v>2025000</v>
      </c>
      <c r="V20" s="51">
        <f t="shared" si="1"/>
        <v>9525000</v>
      </c>
      <c r="W20" s="51">
        <f>IF($B20=Háttér_listák!$B$121,SUMIF($D21:D$107,D20+1,$W21:W$107),IF(AND(Q20=Háttér_listák!$B$125,Beruházási_ktg_input!S20=Háttér_listák!$B$130,Főoldal!$C$15="Nem"),Beruházási_ktg_input!N20,0))</f>
        <v>0</v>
      </c>
      <c r="X20" s="51">
        <f>IF($B20=Háttér_listák!$B$121,SUMIF($D21:D$107,D20+1,$X21:X$107),IF(AND(Q20=Háttér_listák!$B$125,Beruházási_ktg_input!S20=Háttér_listák!$B$129),Beruházási_ktg_input!N20,0))</f>
        <v>0</v>
      </c>
      <c r="Y20" s="51">
        <f>IF($B20=Háttér_listák!$B$121,SUMIF($D21:D$107,D20+1,$Y21:Y$107),IF(Q20=Háttér_listák!$B$126,Beruházási_ktg_input!L20,0))</f>
        <v>0</v>
      </c>
      <c r="Z20" s="51">
        <f>IF($B20=Háttér_listák!$B$121,SUMIF($D21:D$107,D20+1,$Z21:Z$107),IF(AND(Q20=Háttér_listák!$B$126,Beruházási_ktg_input!S20=Háttér_listák!$B$129),Beruházási_ktg_input!N20,0))</f>
        <v>0</v>
      </c>
      <c r="AA20" s="51">
        <f>IF($B20=Háttér_listák!$B$121,SUMIF($D21:D$107,D20+1,$AA21:AA$107),IF(AND(Q20=Háttér_listák!$B$126,Beruházási_ktg_input!S20=Háttér_listák!$B$130),Beruházási_ktg_input!N20,0))</f>
        <v>0</v>
      </c>
      <c r="AB20" s="51">
        <f t="shared" si="2"/>
        <v>0</v>
      </c>
      <c r="AC20" s="51">
        <f t="shared" si="3"/>
        <v>9525000</v>
      </c>
      <c r="AD20" s="51">
        <f t="shared" si="4"/>
        <v>0</v>
      </c>
      <c r="AE20" s="68">
        <f t="shared" si="5"/>
        <v>9525000</v>
      </c>
      <c r="AF20" s="258">
        <v>1</v>
      </c>
      <c r="AG20" s="259"/>
      <c r="AH20" s="259"/>
      <c r="AI20" s="259"/>
      <c r="AJ20" s="260"/>
      <c r="AK20" s="70" t="str">
        <f>IF(SUM(AF20:AJ20)=0,"",IF(SUM(AF20:AJ20)=1,Háttér_listák!$B$133,Háttér_listák!$B$134))</f>
        <v>Az ütemezés megfelelő!</v>
      </c>
      <c r="AL20" s="67">
        <f>IF($AE20=0,0,IF($B20=Háttér_listák!$B$122,Beruházási_ktg_input!$V20*Beruházási_ktg_input!AF20,""))</f>
        <v>9525000</v>
      </c>
      <c r="AM20" s="51">
        <f>IF($AE20=0,0,IF($B20=Háttér_listák!$B$122,Beruházási_ktg_input!$V20*Beruházási_ktg_input!AG20,""))</f>
        <v>0</v>
      </c>
      <c r="AN20" s="51">
        <f>IF($AE20=0,0,IF($B20=Háttér_listák!$B$122,Beruházási_ktg_input!$V20*Beruházási_ktg_input!AH20,""))</f>
        <v>0</v>
      </c>
      <c r="AO20" s="51">
        <f>IF($AE20=0,0,IF($B20=Háttér_listák!$B$122,Beruházási_ktg_input!$V20*Beruházási_ktg_input!AI20,""))</f>
        <v>0</v>
      </c>
      <c r="AP20" s="68">
        <f>IF($AE20=0,0,IF($B20=Háttér_listák!$B$122,Beruházási_ktg_input!$V20*Beruházási_ktg_input!AJ20,""))</f>
        <v>0</v>
      </c>
      <c r="AQ20" s="67">
        <f>IF($AE20=0,0,IF($B20=Háttér_listák!$B$122,Beruházási_ktg_input!$AD20*Beruházási_ktg_input!AF20,""))</f>
        <v>0</v>
      </c>
      <c r="AR20" s="51">
        <f>IF($AE20=0,0,IF($B20=Háttér_listák!$B$122,Beruházási_ktg_input!$AD20*Beruházási_ktg_input!AG20,""))</f>
        <v>0</v>
      </c>
      <c r="AS20" s="51">
        <f>IF($AE20=0,0,IF($B20=Háttér_listák!$B$122,Beruházási_ktg_input!$AD20*Beruházási_ktg_input!AH20,""))</f>
        <v>0</v>
      </c>
      <c r="AT20" s="51">
        <f>IF($AE20=0,0,IF($B20=Háttér_listák!$B$122,Beruházási_ktg_input!$AD20*Beruházási_ktg_input!AI20,""))</f>
        <v>0</v>
      </c>
      <c r="AU20" s="71">
        <f>IF($AE20=0,0,IF($B20=Háttér_listák!$B$122,Beruházási_ktg_input!$AD20*Beruházási_ktg_input!AJ20,""))</f>
        <v>0</v>
      </c>
      <c r="AV20" s="67">
        <f>IF($AE20=0,0,IF($B20=Háttér_listák!$B$122,($T20+$Y20)*AF20,""))</f>
        <v>7500000</v>
      </c>
      <c r="AW20" s="51">
        <f>IF($AE20=0,0,IF($B20=Háttér_listák!$B$122,($T20+$Y20)*AG20,""))</f>
        <v>0</v>
      </c>
      <c r="AX20" s="51">
        <f>IF($AE20=0,0,IF($B20=Háttér_listák!$B$122,($T20+$Y20)*AH20,""))</f>
        <v>0</v>
      </c>
      <c r="AY20" s="51">
        <f>IF($AE20=0,0,IF($B20=Háttér_listák!$B$122,($T20+$Y20)*AI20,""))</f>
        <v>0</v>
      </c>
      <c r="AZ20" s="68">
        <f>IF($AE20=0,0,IF($B20=Háttér_listák!$B$122,($T20+$Y20)*AJ20,""))</f>
        <v>0</v>
      </c>
    </row>
    <row r="21" spans="2:52" ht="124.2">
      <c r="B21" s="245" t="s">
        <v>102</v>
      </c>
      <c r="C21" s="246">
        <f>IF(B21=Háttér_listák!$B$121,1,0)</f>
        <v>0</v>
      </c>
      <c r="D21" s="246">
        <f t="shared" si="0"/>
        <v>6</v>
      </c>
      <c r="E21" s="247" t="s">
        <v>278</v>
      </c>
      <c r="F21" s="248">
        <v>0</v>
      </c>
      <c r="G21" s="247" t="s">
        <v>279</v>
      </c>
      <c r="H21" s="248"/>
      <c r="I21" s="249">
        <v>1</v>
      </c>
      <c r="J21" s="561">
        <v>7000000</v>
      </c>
      <c r="K21" s="574">
        <f>IF(B21=Háttér_listák!$B$121,"",Beruházási_ktg_input!I21*Beruházási_ktg_input!J21)</f>
        <v>7000000</v>
      </c>
      <c r="L21" s="576">
        <f>IF(B21=Háttér_listák!$B$121,SUMIF(Beruházási_ktg_input!D21:$D$107,Beruházási_ktg_input!D21+1,Beruházási_ktg_input!L21:$L$107),Beruházási_ktg_input!$K21)</f>
        <v>7000000</v>
      </c>
      <c r="M21" s="570">
        <v>0.27</v>
      </c>
      <c r="N21" s="566">
        <v>1890000</v>
      </c>
      <c r="O21" s="559">
        <f>IF(B21=Háttér_listák!$B$121,SUMIF(Beruházási_ktg_input!$D22:D$107,Beruházási_ktg_input!D21+1,$O22:O$107),L21+N21)</f>
        <v>8890000</v>
      </c>
      <c r="P21" s="249">
        <v>0</v>
      </c>
      <c r="Q21" s="251" t="s">
        <v>104</v>
      </c>
      <c r="R21" s="248" t="s">
        <v>276</v>
      </c>
      <c r="S21" s="248" t="s">
        <v>108</v>
      </c>
      <c r="T21" s="67">
        <f>IF($B21=Háttér_listák!$B$121,SUMIF($D22:D$107,D21+1,$T22:T$107),IF(Q21=Háttér_listák!$B$125,Beruházási_ktg_input!L21,0))</f>
        <v>7000000</v>
      </c>
      <c r="U21" s="51">
        <f>IF($B21=Háttér_listák!$B$121,SUMIF($D22:D$107,D21+1,$U22:U$107),IF(AND(Q21=Háttér_listák!$B$125,Beruházási_ktg_input!S21=Háttér_listák!$B$130,Főoldal!$C$15="Igen"),Beruházási_ktg_input!N21,0))</f>
        <v>1890000</v>
      </c>
      <c r="V21" s="51">
        <f t="shared" si="1"/>
        <v>8890000</v>
      </c>
      <c r="W21" s="51">
        <f>IF($B21=Háttér_listák!$B$121,SUMIF($D22:D$107,D21+1,$W22:W$107),IF(AND(Q21=Háttér_listák!$B$125,Beruházási_ktg_input!S21=Háttér_listák!$B$130,Főoldal!$C$15="Nem"),Beruházási_ktg_input!N21,0))</f>
        <v>0</v>
      </c>
      <c r="X21" s="51">
        <f>IF($B21=Háttér_listák!$B$121,SUMIF($D22:D$107,D21+1,$X22:X$107),IF(AND(Q21=Háttér_listák!$B$125,Beruházási_ktg_input!S21=Háttér_listák!$B$129),Beruházási_ktg_input!N21,0))</f>
        <v>0</v>
      </c>
      <c r="Y21" s="51">
        <f>IF($B21=Háttér_listák!$B$121,SUMIF($D22:D$107,D21+1,$Y22:Y$107),IF(Q21=Háttér_listák!$B$126,Beruházási_ktg_input!L21,0))</f>
        <v>0</v>
      </c>
      <c r="Z21" s="51">
        <f>IF($B21=Háttér_listák!$B$121,SUMIF($D22:D$107,D21+1,$Z22:Z$107),IF(AND(Q21=Háttér_listák!$B$126,Beruházási_ktg_input!S21=Háttér_listák!$B$129),Beruházási_ktg_input!N21,0))</f>
        <v>0</v>
      </c>
      <c r="AA21" s="51">
        <f>IF($B21=Háttér_listák!$B$121,SUMIF($D22:D$107,D21+1,$AA22:AA$107),IF(AND(Q21=Háttér_listák!$B$126,Beruházási_ktg_input!S21=Háttér_listák!$B$130),Beruházási_ktg_input!N21,0))</f>
        <v>0</v>
      </c>
      <c r="AB21" s="51">
        <f t="shared" si="2"/>
        <v>0</v>
      </c>
      <c r="AC21" s="51">
        <f t="shared" si="3"/>
        <v>8890000</v>
      </c>
      <c r="AD21" s="51">
        <f t="shared" si="4"/>
        <v>0</v>
      </c>
      <c r="AE21" s="68">
        <f t="shared" si="5"/>
        <v>8890000</v>
      </c>
      <c r="AF21" s="258">
        <v>1</v>
      </c>
      <c r="AG21" s="259"/>
      <c r="AH21" s="259"/>
      <c r="AI21" s="259"/>
      <c r="AJ21" s="260"/>
      <c r="AK21" s="70" t="str">
        <f>IF(SUM(AF21:AJ21)=0,"",IF(SUM(AF21:AJ21)=1,Háttér_listák!$B$133,Háttér_listák!$B$134))</f>
        <v>Az ütemezés megfelelő!</v>
      </c>
      <c r="AL21" s="67">
        <f>IF($AE21=0,0,IF($B21=Háttér_listák!$B$122,Beruházási_ktg_input!$V21*Beruházási_ktg_input!AF21,""))</f>
        <v>8890000</v>
      </c>
      <c r="AM21" s="51">
        <f>IF($AE21=0,0,IF($B21=Háttér_listák!$B$122,Beruházási_ktg_input!$V21*Beruházási_ktg_input!AG21,""))</f>
        <v>0</v>
      </c>
      <c r="AN21" s="51">
        <f>IF($AE21=0,0,IF($B21=Háttér_listák!$B$122,Beruházási_ktg_input!$V21*Beruházási_ktg_input!AH21,""))</f>
        <v>0</v>
      </c>
      <c r="AO21" s="51">
        <f>IF($AE21=0,0,IF($B21=Háttér_listák!$B$122,Beruházási_ktg_input!$V21*Beruházási_ktg_input!AI21,""))</f>
        <v>0</v>
      </c>
      <c r="AP21" s="68">
        <f>IF($AE21=0,0,IF($B21=Háttér_listák!$B$122,Beruházási_ktg_input!$V21*Beruházási_ktg_input!AJ21,""))</f>
        <v>0</v>
      </c>
      <c r="AQ21" s="67">
        <f>IF($AE21=0,0,IF($B21=Háttér_listák!$B$122,Beruházási_ktg_input!$AD21*Beruházási_ktg_input!AF21,""))</f>
        <v>0</v>
      </c>
      <c r="AR21" s="51">
        <f>IF($AE21=0,0,IF($B21=Háttér_listák!$B$122,Beruházási_ktg_input!$AD21*Beruházási_ktg_input!AG21,""))</f>
        <v>0</v>
      </c>
      <c r="AS21" s="51">
        <f>IF($AE21=0,0,IF($B21=Háttér_listák!$B$122,Beruházási_ktg_input!$AD21*Beruházási_ktg_input!AH21,""))</f>
        <v>0</v>
      </c>
      <c r="AT21" s="51">
        <f>IF($AE21=0,0,IF($B21=Háttér_listák!$B$122,Beruházási_ktg_input!$AD21*Beruházási_ktg_input!AI21,""))</f>
        <v>0</v>
      </c>
      <c r="AU21" s="71">
        <f>IF($AE21=0,0,IF($B21=Háttér_listák!$B$122,Beruházási_ktg_input!$AD21*Beruházási_ktg_input!AJ21,""))</f>
        <v>0</v>
      </c>
      <c r="AV21" s="67">
        <f>IF($AE21=0,0,IF($B21=Háttér_listák!$B$122,($T21+$Y21)*AF21,""))</f>
        <v>7000000</v>
      </c>
      <c r="AW21" s="51">
        <f>IF($AE21=0,0,IF($B21=Háttér_listák!$B$122,($T21+$Y21)*AG21,""))</f>
        <v>0</v>
      </c>
      <c r="AX21" s="51">
        <f>IF($AE21=0,0,IF($B21=Háttér_listák!$B$122,($T21+$Y21)*AH21,""))</f>
        <v>0</v>
      </c>
      <c r="AY21" s="51">
        <f>IF($AE21=0,0,IF($B21=Háttér_listák!$B$122,($T21+$Y21)*AI21,""))</f>
        <v>0</v>
      </c>
      <c r="AZ21" s="68">
        <f>IF($AE21=0,0,IF($B21=Háttér_listák!$B$122,($T21+$Y21)*AJ21,""))</f>
        <v>0</v>
      </c>
    </row>
    <row r="22" spans="2:52" ht="82.8">
      <c r="B22" s="245" t="s">
        <v>102</v>
      </c>
      <c r="C22" s="246">
        <f>IF(B22=Háttér_listák!$B$121,1,0)</f>
        <v>0</v>
      </c>
      <c r="D22" s="246">
        <f t="shared" si="0"/>
        <v>6</v>
      </c>
      <c r="E22" s="247" t="s">
        <v>280</v>
      </c>
      <c r="F22" s="248">
        <v>0</v>
      </c>
      <c r="G22" s="247" t="s">
        <v>281</v>
      </c>
      <c r="H22" s="248"/>
      <c r="I22" s="250">
        <v>1</v>
      </c>
      <c r="J22" s="562">
        <v>5000000</v>
      </c>
      <c r="K22" s="574">
        <f>IF(B22=Háttér_listák!$B$121,"",Beruházási_ktg_input!I22*Beruházási_ktg_input!J22)</f>
        <v>5000000</v>
      </c>
      <c r="L22" s="576">
        <f>IF(B22=Háttér_listák!$B$121,SUMIF(Beruházási_ktg_input!D22:$D$107,Beruházási_ktg_input!D22+1,Beruházási_ktg_input!L22:$L$107),Beruházási_ktg_input!$K22)</f>
        <v>5000000</v>
      </c>
      <c r="M22" s="571">
        <v>0.27</v>
      </c>
      <c r="N22" s="567">
        <v>1350000</v>
      </c>
      <c r="O22" s="559">
        <f>IF(B22=Háttér_listák!$B$121,SUMIF(Beruházási_ktg_input!$D23:D$107,Beruházási_ktg_input!D22+1,$O23:O$107),L22+N22)</f>
        <v>6350000</v>
      </c>
      <c r="P22" s="249">
        <v>0</v>
      </c>
      <c r="Q22" s="245" t="s">
        <v>104</v>
      </c>
      <c r="R22" s="247" t="s">
        <v>276</v>
      </c>
      <c r="S22" s="247" t="s">
        <v>108</v>
      </c>
      <c r="T22" s="67">
        <f>IF($B22=Háttér_listák!$B$121,SUMIF($D23:D$107,D22+1,$T23:T$107),IF(Q22=Háttér_listák!$B$125,Beruházási_ktg_input!L22,0))</f>
        <v>5000000</v>
      </c>
      <c r="U22" s="51">
        <f>IF($B22=Háttér_listák!$B$121,SUMIF($D23:D$107,D22+1,$U23:U$107),IF(AND(Q22=Háttér_listák!$B$125,Beruházási_ktg_input!S22=Háttér_listák!$B$130,Főoldal!$C$15="Igen"),Beruházási_ktg_input!N22,0))</f>
        <v>1350000</v>
      </c>
      <c r="V22" s="51">
        <f t="shared" si="1"/>
        <v>6350000</v>
      </c>
      <c r="W22" s="51">
        <f>IF($B22=Háttér_listák!$B$121,SUMIF($D23:D$107,D22+1,$W23:W$107),IF(AND(Q22=Háttér_listák!$B$125,Beruházási_ktg_input!S22=Háttér_listák!$B$130,Főoldal!$C$15="Nem"),Beruházási_ktg_input!N22,0))</f>
        <v>0</v>
      </c>
      <c r="X22" s="51">
        <f>IF($B22=Háttér_listák!$B$121,SUMIF($D23:D$107,D22+1,$X23:X$107),IF(AND(Q22=Háttér_listák!$B$125,Beruházási_ktg_input!S22=Háttér_listák!$B$129),Beruházási_ktg_input!N22,0))</f>
        <v>0</v>
      </c>
      <c r="Y22" s="51">
        <f>IF($B22=Háttér_listák!$B$121,SUMIF($D23:D$107,D22+1,$Y23:Y$107),IF(Q22=Háttér_listák!$B$126,Beruházási_ktg_input!L22,0))</f>
        <v>0</v>
      </c>
      <c r="Z22" s="51">
        <f>IF($B22=Háttér_listák!$B$121,SUMIF($D23:D$107,D22+1,$Z23:Z$107),IF(AND(Q22=Háttér_listák!$B$126,Beruházási_ktg_input!S22=Háttér_listák!$B$129),Beruházási_ktg_input!N22,0))</f>
        <v>0</v>
      </c>
      <c r="AA22" s="51">
        <f>IF($B22=Háttér_listák!$B$121,SUMIF($D23:D$107,D22+1,$AA23:AA$107),IF(AND(Q22=Háttér_listák!$B$126,Beruházási_ktg_input!S22=Háttér_listák!$B$130),Beruházási_ktg_input!N22,0))</f>
        <v>0</v>
      </c>
      <c r="AB22" s="51">
        <f t="shared" si="2"/>
        <v>0</v>
      </c>
      <c r="AC22" s="51">
        <f t="shared" si="3"/>
        <v>6350000</v>
      </c>
      <c r="AD22" s="51">
        <f t="shared" si="4"/>
        <v>0</v>
      </c>
      <c r="AE22" s="68">
        <f t="shared" si="5"/>
        <v>6350000</v>
      </c>
      <c r="AF22" s="258">
        <v>1</v>
      </c>
      <c r="AG22" s="259"/>
      <c r="AH22" s="259"/>
      <c r="AI22" s="259"/>
      <c r="AJ22" s="260"/>
      <c r="AK22" s="70" t="str">
        <f>IF(SUM(AF22:AJ22)=0,"",IF(SUM(AF22:AJ22)=1,Háttér_listák!$B$133,Háttér_listák!$B$134))</f>
        <v>Az ütemezés megfelelő!</v>
      </c>
      <c r="AL22" s="67">
        <f>IF($AE22=0,0,IF($B22=Háttér_listák!$B$122,Beruházási_ktg_input!$V22*Beruházási_ktg_input!AF22,""))</f>
        <v>6350000</v>
      </c>
      <c r="AM22" s="51">
        <f>IF($AE22=0,0,IF($B22=Háttér_listák!$B$122,Beruházási_ktg_input!$V22*Beruházási_ktg_input!AG22,""))</f>
        <v>0</v>
      </c>
      <c r="AN22" s="51">
        <f>IF($AE22=0,0,IF($B22=Háttér_listák!$B$122,Beruházási_ktg_input!$V22*Beruházási_ktg_input!AH22,""))</f>
        <v>0</v>
      </c>
      <c r="AO22" s="51">
        <f>IF($AE22=0,0,IF($B22=Háttér_listák!$B$122,Beruházási_ktg_input!$V22*Beruházási_ktg_input!AI22,""))</f>
        <v>0</v>
      </c>
      <c r="AP22" s="68">
        <f>IF($AE22=0,0,IF($B22=Háttér_listák!$B$122,Beruházási_ktg_input!$V22*Beruházási_ktg_input!AJ22,""))</f>
        <v>0</v>
      </c>
      <c r="AQ22" s="67">
        <f>IF($AE22=0,0,IF($B22=Háttér_listák!$B$122,Beruházási_ktg_input!$AD22*Beruházási_ktg_input!AF22,""))</f>
        <v>0</v>
      </c>
      <c r="AR22" s="51">
        <f>IF($AE22=0,0,IF($B22=Háttér_listák!$B$122,Beruházási_ktg_input!$AD22*Beruházási_ktg_input!AG22,""))</f>
        <v>0</v>
      </c>
      <c r="AS22" s="51">
        <f>IF($AE22=0,0,IF($B22=Háttér_listák!$B$122,Beruházási_ktg_input!$AD22*Beruházási_ktg_input!AH22,""))</f>
        <v>0</v>
      </c>
      <c r="AT22" s="51">
        <f>IF($AE22=0,0,IF($B22=Háttér_listák!$B$122,Beruházási_ktg_input!$AD22*Beruházási_ktg_input!AI22,""))</f>
        <v>0</v>
      </c>
      <c r="AU22" s="71">
        <f>IF($AE22=0,0,IF($B22=Háttér_listák!$B$122,Beruházási_ktg_input!$AD22*Beruházási_ktg_input!AJ22,""))</f>
        <v>0</v>
      </c>
      <c r="AV22" s="67">
        <f>IF($AE22=0,0,IF($B22=Háttér_listák!$B$122,($T22+$Y22)*AF22,""))</f>
        <v>5000000</v>
      </c>
      <c r="AW22" s="51">
        <f>IF($AE22=0,0,IF($B22=Háttér_listák!$B$122,($T22+$Y22)*AG22,""))</f>
        <v>0</v>
      </c>
      <c r="AX22" s="51">
        <f>IF($AE22=0,0,IF($B22=Háttér_listák!$B$122,($T22+$Y22)*AH22,""))</f>
        <v>0</v>
      </c>
      <c r="AY22" s="51">
        <f>IF($AE22=0,0,IF($B22=Háttér_listák!$B$122,($T22+$Y22)*AI22,""))</f>
        <v>0</v>
      </c>
      <c r="AZ22" s="68">
        <f>IF($AE22=0,0,IF($B22=Háttér_listák!$B$122,($T22+$Y22)*AJ22,""))</f>
        <v>0</v>
      </c>
    </row>
    <row r="23" spans="2:52">
      <c r="B23" s="245" t="s">
        <v>101</v>
      </c>
      <c r="C23" s="246">
        <f>IF(B23=Háttér_listák!$B$121,1,0)</f>
        <v>1</v>
      </c>
      <c r="D23" s="246">
        <f t="shared" si="0"/>
        <v>7</v>
      </c>
      <c r="E23" s="247" t="s">
        <v>282</v>
      </c>
      <c r="F23" s="248"/>
      <c r="G23" s="247" t="s">
        <v>113</v>
      </c>
      <c r="H23" s="248"/>
      <c r="I23" s="250"/>
      <c r="J23" s="562"/>
      <c r="K23" s="574" t="str">
        <f>IF(B23=Háttér_listák!$B$121,"",Beruházási_ktg_input!I23*Beruházási_ktg_input!J23)</f>
        <v/>
      </c>
      <c r="L23" s="576">
        <f>IF(B23=Háttér_listák!$B$121,SUMIF(Beruházási_ktg_input!D23:$D$107,Beruházási_ktg_input!D23+1,Beruházási_ktg_input!L23:$L$107),Beruházási_ktg_input!$K23)</f>
        <v>2000000</v>
      </c>
      <c r="M23" s="571"/>
      <c r="N23" s="567"/>
      <c r="O23" s="559">
        <f>IF(B23=Háttér_listák!$B$121,SUMIF(Beruházási_ktg_input!$D24:D$107,Beruházási_ktg_input!D23+1,$O24:O$107),L23+N23)</f>
        <v>2000000</v>
      </c>
      <c r="P23" s="249"/>
      <c r="Q23" s="245"/>
      <c r="R23" s="247"/>
      <c r="S23" s="247"/>
      <c r="T23" s="67">
        <f>IF($B23=Háttér_listák!$B$121,SUMIF($D24:D$107,D23+1,$T24:T$107),IF(Q23=Háttér_listák!$B$125,Beruházási_ktg_input!L23,0))</f>
        <v>2000000</v>
      </c>
      <c r="U23" s="51">
        <f>IF($B23=Háttér_listák!$B$121,SUMIF($D24:D$107,D23+1,$U24:U$107),IF(AND(Q23=Háttér_listák!$B$125,Beruházási_ktg_input!S23=Háttér_listák!$B$130,Főoldal!$C$15="Igen"),Beruházási_ktg_input!N23,0))</f>
        <v>0</v>
      </c>
      <c r="V23" s="51">
        <f t="shared" si="1"/>
        <v>2000000</v>
      </c>
      <c r="W23" s="51">
        <f>IF($B23=Háttér_listák!$B$121,SUMIF($D24:D$107,D23+1,$W24:W$107),IF(AND(Q23=Háttér_listák!$B$125,Beruházási_ktg_input!S23=Háttér_listák!$B$130,Főoldal!$C$15="Nem"),Beruházási_ktg_input!N23,0))</f>
        <v>0</v>
      </c>
      <c r="X23" s="51">
        <f>IF($B23=Háttér_listák!$B$121,SUMIF($D24:D$107,D23+1,$X24:X$107),IF(AND(Q23=Háttér_listák!$B$125,Beruházási_ktg_input!S23=Háttér_listák!$B$129),Beruházási_ktg_input!N23,0))</f>
        <v>0</v>
      </c>
      <c r="Y23" s="51">
        <f>IF($B23=Háttér_listák!$B$121,SUMIF($D24:D$107,D23+1,$Y24:Y$107),IF(Q23=Háttér_listák!$B$126,Beruházási_ktg_input!L23,0))</f>
        <v>0</v>
      </c>
      <c r="Z23" s="51">
        <f>IF($B23=Háttér_listák!$B$121,SUMIF($D24:D$107,D23+1,$Z24:Z$107),IF(AND(Q23=Háttér_listák!$B$126,Beruházási_ktg_input!S23=Háttér_listák!$B$129),Beruházási_ktg_input!N23,0))</f>
        <v>0</v>
      </c>
      <c r="AA23" s="51">
        <f>IF($B23=Háttér_listák!$B$121,SUMIF($D24:D$107,D23+1,$AA24:AA$107),IF(AND(Q23=Háttér_listák!$B$126,Beruházási_ktg_input!S23=Háttér_listák!$B$130),Beruházási_ktg_input!N23,0))</f>
        <v>0</v>
      </c>
      <c r="AB23" s="51">
        <f t="shared" si="2"/>
        <v>0</v>
      </c>
      <c r="AC23" s="51">
        <f t="shared" si="3"/>
        <v>2000000</v>
      </c>
      <c r="AD23" s="51">
        <f t="shared" si="4"/>
        <v>0</v>
      </c>
      <c r="AE23" s="68">
        <f t="shared" si="5"/>
        <v>2000000</v>
      </c>
      <c r="AF23" s="258"/>
      <c r="AG23" s="259"/>
      <c r="AH23" s="259"/>
      <c r="AI23" s="259"/>
      <c r="AJ23" s="260"/>
      <c r="AK23" s="70" t="str">
        <f>IF(SUM(AF23:AJ23)=0,"",IF(SUM(AF23:AJ23)=1,Háttér_listák!$B$133,Háttér_listák!$B$134))</f>
        <v/>
      </c>
      <c r="AL23" s="67" t="str">
        <f>IF($AE23=0,0,IF($B23=Háttér_listák!$B$122,Beruházási_ktg_input!$V23*Beruházási_ktg_input!AF23,""))</f>
        <v/>
      </c>
      <c r="AM23" s="51" t="str">
        <f>IF($AE23=0,0,IF($B23=Háttér_listák!$B$122,Beruházási_ktg_input!$V23*Beruházási_ktg_input!AG23,""))</f>
        <v/>
      </c>
      <c r="AN23" s="51" t="str">
        <f>IF($AE23=0,0,IF($B23=Háttér_listák!$B$122,Beruházási_ktg_input!$V23*Beruházási_ktg_input!AH23,""))</f>
        <v/>
      </c>
      <c r="AO23" s="51" t="str">
        <f>IF($AE23=0,0,IF($B23=Háttér_listák!$B$122,Beruházási_ktg_input!$V23*Beruházási_ktg_input!AI23,""))</f>
        <v/>
      </c>
      <c r="AP23" s="68" t="str">
        <f>IF($AE23=0,0,IF($B23=Háttér_listák!$B$122,Beruházási_ktg_input!$V23*Beruházási_ktg_input!AJ23,""))</f>
        <v/>
      </c>
      <c r="AQ23" s="67" t="str">
        <f>IF($AE23=0,0,IF($B23=Háttér_listák!$B$122,Beruházási_ktg_input!$AD23*Beruházási_ktg_input!AF23,""))</f>
        <v/>
      </c>
      <c r="AR23" s="51" t="str">
        <f>IF($AE23=0,0,IF($B23=Háttér_listák!$B$122,Beruházási_ktg_input!$AD23*Beruházási_ktg_input!AG23,""))</f>
        <v/>
      </c>
      <c r="AS23" s="51" t="str">
        <f>IF($AE23=0,0,IF($B23=Háttér_listák!$B$122,Beruházási_ktg_input!$AD23*Beruházási_ktg_input!AH23,""))</f>
        <v/>
      </c>
      <c r="AT23" s="51" t="str">
        <f>IF($AE23=0,0,IF($B23=Háttér_listák!$B$122,Beruházási_ktg_input!$AD23*Beruházási_ktg_input!AI23,""))</f>
        <v/>
      </c>
      <c r="AU23" s="71" t="str">
        <f>IF($AE23=0,0,IF($B23=Háttér_listák!$B$122,Beruházási_ktg_input!$AD23*Beruházási_ktg_input!AJ23,""))</f>
        <v/>
      </c>
      <c r="AV23" s="67" t="str">
        <f>IF($AE23=0,0,IF($B23=Háttér_listák!$B$122,($T23+$Y23)*AF23,""))</f>
        <v/>
      </c>
      <c r="AW23" s="51" t="str">
        <f>IF($AE23=0,0,IF($B23=Háttér_listák!$B$122,($T23+$Y23)*AG23,""))</f>
        <v/>
      </c>
      <c r="AX23" s="51" t="str">
        <f>IF($AE23=0,0,IF($B23=Háttér_listák!$B$122,($T23+$Y23)*AH23,""))</f>
        <v/>
      </c>
      <c r="AY23" s="51" t="str">
        <f>IF($AE23=0,0,IF($B23=Háttér_listák!$B$122,($T23+$Y23)*AI23,""))</f>
        <v/>
      </c>
      <c r="AZ23" s="68" t="str">
        <f>IF($AE23=0,0,IF($B23=Háttér_listák!$B$122,($T23+$Y23)*AJ23,""))</f>
        <v/>
      </c>
    </row>
    <row r="24" spans="2:52">
      <c r="B24" s="251" t="s">
        <v>102</v>
      </c>
      <c r="C24" s="246">
        <f>IF(B24=Háttér_listák!$B$121,1,0)</f>
        <v>0</v>
      </c>
      <c r="D24" s="246">
        <f t="shared" si="0"/>
        <v>8</v>
      </c>
      <c r="E24" s="247" t="s">
        <v>283</v>
      </c>
      <c r="F24" s="248">
        <v>0</v>
      </c>
      <c r="G24" s="247" t="s">
        <v>121</v>
      </c>
      <c r="H24" s="248"/>
      <c r="I24" s="249">
        <v>1</v>
      </c>
      <c r="J24" s="561">
        <v>0</v>
      </c>
      <c r="K24" s="574">
        <f>IF(B24=Háttér_listák!$B$121,"",Beruházási_ktg_input!I24*Beruházási_ktg_input!J24)</f>
        <v>0</v>
      </c>
      <c r="L24" s="576">
        <f>IF(B24=Háttér_listák!$B$121,SUMIF(Beruházási_ktg_input!D24:$D$107,Beruházási_ktg_input!D24+1,Beruházási_ktg_input!L24:$L$107),Beruházási_ktg_input!$K24)</f>
        <v>0</v>
      </c>
      <c r="M24" s="570">
        <v>0</v>
      </c>
      <c r="N24" s="566">
        <v>0</v>
      </c>
      <c r="O24" s="559">
        <f>IF(B24=Háttér_listák!$B$121,SUMIF(Beruházási_ktg_input!$D25:D$107,Beruházási_ktg_input!D24+1,$O25:O$107),L24+N24)</f>
        <v>0</v>
      </c>
      <c r="P24" s="249">
        <v>0</v>
      </c>
      <c r="Q24" s="251" t="s">
        <v>104</v>
      </c>
      <c r="R24" s="248" t="s">
        <v>282</v>
      </c>
      <c r="S24" s="248" t="s">
        <v>108</v>
      </c>
      <c r="T24" s="67">
        <f>IF($B24=Háttér_listák!$B$121,SUMIF($D25:D$107,D24+1,$T25:T$107),IF(Q24=Háttér_listák!$B$125,Beruházási_ktg_input!L24,0))</f>
        <v>0</v>
      </c>
      <c r="U24" s="51">
        <f>IF($B24=Háttér_listák!$B$121,SUMIF($D25:D$107,D24+1,$U25:U$107),IF(AND(Q24=Háttér_listák!$B$125,Beruházási_ktg_input!S24=Háttér_listák!$B$130,Főoldal!$C$15="Igen"),Beruházási_ktg_input!N24,0))</f>
        <v>0</v>
      </c>
      <c r="V24" s="51">
        <f t="shared" si="1"/>
        <v>0</v>
      </c>
      <c r="W24" s="51">
        <f>IF($B24=Háttér_listák!$B$121,SUMIF($D25:D$107,D24+1,$W25:W$107),IF(AND(Q24=Háttér_listák!$B$125,Beruházási_ktg_input!S24=Háttér_listák!$B$130,Főoldal!$C$15="Nem"),Beruházási_ktg_input!N24,0))</f>
        <v>0</v>
      </c>
      <c r="X24" s="51">
        <f>IF($B24=Háttér_listák!$B$121,SUMIF($D25:D$107,D24+1,$X25:X$107),IF(AND(Q24=Háttér_listák!$B$125,Beruházási_ktg_input!S24=Háttér_listák!$B$129),Beruházási_ktg_input!N24,0))</f>
        <v>0</v>
      </c>
      <c r="Y24" s="51">
        <f>IF($B24=Háttér_listák!$B$121,SUMIF($D25:D$107,D24+1,$Y25:Y$107),IF(Q24=Háttér_listák!$B$126,Beruházási_ktg_input!L24,0))</f>
        <v>0</v>
      </c>
      <c r="Z24" s="51">
        <f>IF($B24=Háttér_listák!$B$121,SUMIF($D25:D$107,D24+1,$Z25:Z$107),IF(AND(Q24=Háttér_listák!$B$126,Beruházási_ktg_input!S24=Háttér_listák!$B$129),Beruházási_ktg_input!N24,0))</f>
        <v>0</v>
      </c>
      <c r="AA24" s="51">
        <f>IF($B24=Háttér_listák!$B$121,SUMIF($D25:D$107,D24+1,$AA25:AA$107),IF(AND(Q24=Háttér_listák!$B$126,Beruházási_ktg_input!S24=Háttér_listák!$B$130),Beruházási_ktg_input!N24,0))</f>
        <v>0</v>
      </c>
      <c r="AB24" s="51">
        <f t="shared" si="2"/>
        <v>0</v>
      </c>
      <c r="AC24" s="51">
        <f t="shared" si="3"/>
        <v>0</v>
      </c>
      <c r="AD24" s="51">
        <f t="shared" si="4"/>
        <v>0</v>
      </c>
      <c r="AE24" s="68">
        <f t="shared" si="5"/>
        <v>0</v>
      </c>
      <c r="AF24" s="258">
        <v>1</v>
      </c>
      <c r="AG24" s="259"/>
      <c r="AH24" s="259"/>
      <c r="AI24" s="259"/>
      <c r="AJ24" s="260"/>
      <c r="AK24" s="70" t="str">
        <f>IF(SUM(AF24:AJ24)=0,"",IF(SUM(AF24:AJ24)=1,Háttér_listák!$B$133,Háttér_listák!$B$134))</f>
        <v>Az ütemezés megfelelő!</v>
      </c>
      <c r="AL24" s="67">
        <f>IF($AE24=0,0,IF($B24=Háttér_listák!$B$122,Beruházási_ktg_input!$V24*Beruházási_ktg_input!AF24,""))</f>
        <v>0</v>
      </c>
      <c r="AM24" s="51">
        <f>IF($AE24=0,0,IF($B24=Háttér_listák!$B$122,Beruházási_ktg_input!$V24*Beruházási_ktg_input!AG24,""))</f>
        <v>0</v>
      </c>
      <c r="AN24" s="51">
        <f>IF($AE24=0,0,IF($B24=Háttér_listák!$B$122,Beruházási_ktg_input!$V24*Beruházási_ktg_input!AH24,""))</f>
        <v>0</v>
      </c>
      <c r="AO24" s="51">
        <f>IF($AE24=0,0,IF($B24=Háttér_listák!$B$122,Beruházási_ktg_input!$V24*Beruházási_ktg_input!AI24,""))</f>
        <v>0</v>
      </c>
      <c r="AP24" s="68">
        <f>IF($AE24=0,0,IF($B24=Háttér_listák!$B$122,Beruházási_ktg_input!$V24*Beruházási_ktg_input!AJ24,""))</f>
        <v>0</v>
      </c>
      <c r="AQ24" s="67">
        <f>IF($AE24=0,0,IF($B24=Háttér_listák!$B$122,Beruházási_ktg_input!$AD24*Beruházási_ktg_input!AF24,""))</f>
        <v>0</v>
      </c>
      <c r="AR24" s="51">
        <f>IF($AE24=0,0,IF($B24=Háttér_listák!$B$122,Beruházási_ktg_input!$AD24*Beruházási_ktg_input!AG24,""))</f>
        <v>0</v>
      </c>
      <c r="AS24" s="51">
        <f>IF($AE24=0,0,IF($B24=Háttér_listák!$B$122,Beruházási_ktg_input!$AD24*Beruházási_ktg_input!AH24,""))</f>
        <v>0</v>
      </c>
      <c r="AT24" s="51">
        <f>IF($AE24=0,0,IF($B24=Háttér_listák!$B$122,Beruházási_ktg_input!$AD24*Beruházási_ktg_input!AI24,""))</f>
        <v>0</v>
      </c>
      <c r="AU24" s="71">
        <f>IF($AE24=0,0,IF($B24=Háttér_listák!$B$122,Beruházási_ktg_input!$AD24*Beruházási_ktg_input!AJ24,""))</f>
        <v>0</v>
      </c>
      <c r="AV24" s="67">
        <f>IF($AE24=0,0,IF($B24=Háttér_listák!$B$122,($T24+$Y24)*AF24,""))</f>
        <v>0</v>
      </c>
      <c r="AW24" s="51">
        <f>IF($AE24=0,0,IF($B24=Háttér_listák!$B$122,($T24+$Y24)*AG24,""))</f>
        <v>0</v>
      </c>
      <c r="AX24" s="51">
        <f>IF($AE24=0,0,IF($B24=Háttér_listák!$B$122,($T24+$Y24)*AH24,""))</f>
        <v>0</v>
      </c>
      <c r="AY24" s="51">
        <f>IF($AE24=0,0,IF($B24=Háttér_listák!$B$122,($T24+$Y24)*AI24,""))</f>
        <v>0</v>
      </c>
      <c r="AZ24" s="68">
        <f>IF($AE24=0,0,IF($B24=Háttér_listák!$B$122,($T24+$Y24)*AJ24,""))</f>
        <v>0</v>
      </c>
    </row>
    <row r="25" spans="2:52">
      <c r="B25" s="251" t="s">
        <v>102</v>
      </c>
      <c r="C25" s="246">
        <f>IF(B25=Háttér_listák!$B$121,1,0)</f>
        <v>0</v>
      </c>
      <c r="D25" s="246">
        <f t="shared" si="0"/>
        <v>8</v>
      </c>
      <c r="E25" s="247" t="s">
        <v>284</v>
      </c>
      <c r="F25" s="248">
        <v>0</v>
      </c>
      <c r="G25" s="247" t="s">
        <v>121</v>
      </c>
      <c r="H25" s="248"/>
      <c r="I25" s="249">
        <v>1</v>
      </c>
      <c r="J25" s="561">
        <v>2000000</v>
      </c>
      <c r="K25" s="574">
        <f>IF(B25=Háttér_listák!$B$121,"",Beruházási_ktg_input!I25*Beruházási_ktg_input!J25)</f>
        <v>2000000</v>
      </c>
      <c r="L25" s="576">
        <f>IF(B25=Háttér_listák!$B$121,SUMIF(Beruházási_ktg_input!D25:$D$107,Beruházási_ktg_input!D25+1,Beruházási_ktg_input!L25:$L$107),Beruházási_ktg_input!$K25)</f>
        <v>2000000</v>
      </c>
      <c r="M25" s="570">
        <v>0</v>
      </c>
      <c r="N25" s="566">
        <v>0</v>
      </c>
      <c r="O25" s="559">
        <f>IF(B25=Háttér_listák!$B$121,SUMIF(Beruházási_ktg_input!$D26:D$107,Beruházási_ktg_input!D25+1,$O26:O$107),L25+N25)</f>
        <v>2000000</v>
      </c>
      <c r="P25" s="249">
        <v>0</v>
      </c>
      <c r="Q25" s="251" t="s">
        <v>104</v>
      </c>
      <c r="R25" s="248" t="s">
        <v>282</v>
      </c>
      <c r="S25" s="248" t="s">
        <v>108</v>
      </c>
      <c r="T25" s="67">
        <f>IF($B25=Háttér_listák!$B$121,SUMIF($D26:D$107,D25+1,$T26:T$107),IF(Q25=Háttér_listák!$B$125,Beruházási_ktg_input!L25,0))</f>
        <v>2000000</v>
      </c>
      <c r="U25" s="51">
        <f>IF($B25=Háttér_listák!$B$121,SUMIF($D26:D$107,D25+1,$U26:U$107),IF(AND(Q25=Háttér_listák!$B$125,Beruházási_ktg_input!S25=Háttér_listák!$B$130,Főoldal!$C$15="Igen"),Beruházási_ktg_input!N25,0))</f>
        <v>0</v>
      </c>
      <c r="V25" s="51">
        <f t="shared" si="1"/>
        <v>2000000</v>
      </c>
      <c r="W25" s="51">
        <f>IF($B25=Háttér_listák!$B$121,SUMIF($D26:D$107,D25+1,$W26:W$107),IF(AND(Q25=Háttér_listák!$B$125,Beruházási_ktg_input!S25=Háttér_listák!$B$130,Főoldal!$C$15="Nem"),Beruházási_ktg_input!N25,0))</f>
        <v>0</v>
      </c>
      <c r="X25" s="51">
        <f>IF($B25=Háttér_listák!$B$121,SUMIF($D26:D$107,D25+1,$X26:X$107),IF(AND(Q25=Háttér_listák!$B$125,Beruházási_ktg_input!S25=Háttér_listák!$B$129),Beruházási_ktg_input!N25,0))</f>
        <v>0</v>
      </c>
      <c r="Y25" s="51">
        <f>IF($B25=Háttér_listák!$B$121,SUMIF($D26:D$107,D25+1,$Y26:Y$107),IF(Q25=Háttér_listák!$B$126,Beruházási_ktg_input!L25,0))</f>
        <v>0</v>
      </c>
      <c r="Z25" s="51">
        <f>IF($B25=Háttér_listák!$B$121,SUMIF($D26:D$107,D25+1,$Z26:Z$107),IF(AND(Q25=Háttér_listák!$B$126,Beruházási_ktg_input!S25=Háttér_listák!$B$129),Beruházási_ktg_input!N25,0))</f>
        <v>0</v>
      </c>
      <c r="AA25" s="51">
        <f>IF($B25=Háttér_listák!$B$121,SUMIF($D26:D$107,D25+1,$AA26:AA$107),IF(AND(Q25=Háttér_listák!$B$126,Beruházási_ktg_input!S25=Háttér_listák!$B$130),Beruházási_ktg_input!N25,0))</f>
        <v>0</v>
      </c>
      <c r="AB25" s="51">
        <f t="shared" si="2"/>
        <v>0</v>
      </c>
      <c r="AC25" s="51">
        <f t="shared" si="3"/>
        <v>2000000</v>
      </c>
      <c r="AD25" s="51">
        <f t="shared" si="4"/>
        <v>0</v>
      </c>
      <c r="AE25" s="68">
        <f t="shared" si="5"/>
        <v>2000000</v>
      </c>
      <c r="AF25" s="258">
        <v>1</v>
      </c>
      <c r="AG25" s="259"/>
      <c r="AH25" s="259"/>
      <c r="AI25" s="259"/>
      <c r="AJ25" s="260"/>
      <c r="AK25" s="70" t="str">
        <f>IF(SUM(AF25:AJ25)=0,"",IF(SUM(AF25:AJ25)=1,Háttér_listák!$B$133,Háttér_listák!$B$134))</f>
        <v>Az ütemezés megfelelő!</v>
      </c>
      <c r="AL25" s="67">
        <f>IF($AE25=0,0,IF($B25=Háttér_listák!$B$122,Beruházási_ktg_input!$V25*Beruházási_ktg_input!AF25,""))</f>
        <v>2000000</v>
      </c>
      <c r="AM25" s="51">
        <f>IF($AE25=0,0,IF($B25=Háttér_listák!$B$122,Beruházási_ktg_input!$V25*Beruházási_ktg_input!AG25,""))</f>
        <v>0</v>
      </c>
      <c r="AN25" s="51">
        <f>IF($AE25=0,0,IF($B25=Háttér_listák!$B$122,Beruházási_ktg_input!$V25*Beruházási_ktg_input!AH25,""))</f>
        <v>0</v>
      </c>
      <c r="AO25" s="51">
        <f>IF($AE25=0,0,IF($B25=Háttér_listák!$B$122,Beruházási_ktg_input!$V25*Beruházási_ktg_input!AI25,""))</f>
        <v>0</v>
      </c>
      <c r="AP25" s="68">
        <f>IF($AE25=0,0,IF($B25=Háttér_listák!$B$122,Beruházási_ktg_input!$V25*Beruházási_ktg_input!AJ25,""))</f>
        <v>0</v>
      </c>
      <c r="AQ25" s="67">
        <f>IF($AE25=0,0,IF($B25=Háttér_listák!$B$122,Beruházási_ktg_input!$AD25*Beruházási_ktg_input!AF25,""))</f>
        <v>0</v>
      </c>
      <c r="AR25" s="51">
        <f>IF($AE25=0,0,IF($B25=Háttér_listák!$B$122,Beruházási_ktg_input!$AD25*Beruházási_ktg_input!AG25,""))</f>
        <v>0</v>
      </c>
      <c r="AS25" s="51">
        <f>IF($AE25=0,0,IF($B25=Háttér_listák!$B$122,Beruházási_ktg_input!$AD25*Beruházási_ktg_input!AH25,""))</f>
        <v>0</v>
      </c>
      <c r="AT25" s="51">
        <f>IF($AE25=0,0,IF($B25=Háttér_listák!$B$122,Beruházási_ktg_input!$AD25*Beruházási_ktg_input!AI25,""))</f>
        <v>0</v>
      </c>
      <c r="AU25" s="71">
        <f>IF($AE25=0,0,IF($B25=Háttér_listák!$B$122,Beruházási_ktg_input!$AD25*Beruházási_ktg_input!AJ25,""))</f>
        <v>0</v>
      </c>
      <c r="AV25" s="67">
        <f>IF($AE25=0,0,IF($B25=Háttér_listák!$B$122,($T25+$Y25)*AF25,""))</f>
        <v>2000000</v>
      </c>
      <c r="AW25" s="51">
        <f>IF($AE25=0,0,IF($B25=Háttér_listák!$B$122,($T25+$Y25)*AG25,""))</f>
        <v>0</v>
      </c>
      <c r="AX25" s="51">
        <f>IF($AE25=0,0,IF($B25=Háttér_listák!$B$122,($T25+$Y25)*AH25,""))</f>
        <v>0</v>
      </c>
      <c r="AY25" s="51">
        <f>IF($AE25=0,0,IF($B25=Háttér_listák!$B$122,($T25+$Y25)*AI25,""))</f>
        <v>0</v>
      </c>
      <c r="AZ25" s="68">
        <f>IF($AE25=0,0,IF($B25=Háttér_listák!$B$122,($T25+$Y25)*AJ25,""))</f>
        <v>0</v>
      </c>
    </row>
    <row r="26" spans="2:52">
      <c r="B26" s="251" t="s">
        <v>101</v>
      </c>
      <c r="C26" s="246">
        <f>IF(B26=Háttér_listák!$B$121,1,0)</f>
        <v>1</v>
      </c>
      <c r="D26" s="246">
        <f t="shared" si="0"/>
        <v>9</v>
      </c>
      <c r="E26" s="247" t="s">
        <v>285</v>
      </c>
      <c r="F26" s="248"/>
      <c r="G26" s="247" t="s">
        <v>113</v>
      </c>
      <c r="H26" s="248"/>
      <c r="I26" s="249"/>
      <c r="J26" s="561"/>
      <c r="K26" s="574" t="str">
        <f>IF(B26=Háttér_listák!$B$121,"",Beruházási_ktg_input!I26*Beruházási_ktg_input!J26)</f>
        <v/>
      </c>
      <c r="L26" s="576">
        <f>IF(B26=Háttér_listák!$B$121,SUMIF(Beruházási_ktg_input!D26:$D$107,Beruházási_ktg_input!D26+1,Beruházási_ktg_input!L26:$L$107),Beruházási_ktg_input!$K26)</f>
        <v>0</v>
      </c>
      <c r="M26" s="570"/>
      <c r="N26" s="566"/>
      <c r="O26" s="559">
        <f>IF(B26=Háttér_listák!$B$121,SUMIF(Beruházási_ktg_input!$D27:D$107,Beruházási_ktg_input!D26+1,$O27:O$107),L26+N26)</f>
        <v>0</v>
      </c>
      <c r="P26" s="249"/>
      <c r="Q26" s="251"/>
      <c r="R26" s="248"/>
      <c r="S26" s="248"/>
      <c r="T26" s="67">
        <f>IF($B26=Háttér_listák!$B$121,SUMIF($D27:D$107,D26+1,$T27:T$107),IF(Q26=Háttér_listák!$B$125,Beruházási_ktg_input!L26,0))</f>
        <v>0</v>
      </c>
      <c r="U26" s="51">
        <f>IF($B26=Háttér_listák!$B$121,SUMIF($D27:D$107,D26+1,$U27:U$107),IF(AND(Q26=Háttér_listák!$B$125,Beruházási_ktg_input!S26=Háttér_listák!$B$130,Főoldal!$C$15="Igen"),Beruházási_ktg_input!N26,0))</f>
        <v>0</v>
      </c>
      <c r="V26" s="51">
        <f t="shared" si="1"/>
        <v>0</v>
      </c>
      <c r="W26" s="51">
        <f>IF($B26=Háttér_listák!$B$121,SUMIF($D27:D$107,D26+1,$W27:W$107),IF(AND(Q26=Háttér_listák!$B$125,Beruházási_ktg_input!S26=Háttér_listák!$B$130,Főoldal!$C$15="Nem"),Beruházási_ktg_input!N26,0))</f>
        <v>0</v>
      </c>
      <c r="X26" s="51">
        <f>IF($B26=Háttér_listák!$B$121,SUMIF($D27:D$107,D26+1,$X27:X$107),IF(AND(Q26=Háttér_listák!$B$125,Beruházási_ktg_input!S26=Háttér_listák!$B$129),Beruházási_ktg_input!N26,0))</f>
        <v>0</v>
      </c>
      <c r="Y26" s="51">
        <f>IF($B26=Háttér_listák!$B$121,SUMIF($D27:D$107,D26+1,$Y27:Y$107),IF(Q26=Háttér_listák!$B$126,Beruházási_ktg_input!L26,0))</f>
        <v>0</v>
      </c>
      <c r="Z26" s="51">
        <f>IF($B26=Háttér_listák!$B$121,SUMIF($D27:D$107,D26+1,$Z27:Z$107),IF(AND(Q26=Háttér_listák!$B$126,Beruházási_ktg_input!S26=Háttér_listák!$B$129),Beruházási_ktg_input!N26,0))</f>
        <v>0</v>
      </c>
      <c r="AA26" s="51">
        <f>IF($B26=Háttér_listák!$B$121,SUMIF($D27:D$107,D26+1,$AA27:AA$107),IF(AND(Q26=Háttér_listák!$B$126,Beruházási_ktg_input!S26=Háttér_listák!$B$130),Beruházási_ktg_input!N26,0))</f>
        <v>0</v>
      </c>
      <c r="AB26" s="51">
        <f t="shared" si="2"/>
        <v>0</v>
      </c>
      <c r="AC26" s="51">
        <f t="shared" si="3"/>
        <v>0</v>
      </c>
      <c r="AD26" s="51">
        <f t="shared" si="4"/>
        <v>0</v>
      </c>
      <c r="AE26" s="68">
        <f t="shared" si="5"/>
        <v>0</v>
      </c>
      <c r="AF26" s="258"/>
      <c r="AG26" s="259"/>
      <c r="AH26" s="259"/>
      <c r="AI26" s="259"/>
      <c r="AJ26" s="260"/>
      <c r="AK26" s="70" t="str">
        <f>IF(SUM(AF26:AJ26)=0,"",IF(SUM(AF26:AJ26)=1,Háttér_listák!$B$133,Háttér_listák!$B$134))</f>
        <v/>
      </c>
      <c r="AL26" s="67">
        <f>IF($AE26=0,0,IF($B26=Háttér_listák!$B$122,Beruházási_ktg_input!$V26*Beruházási_ktg_input!AF26,""))</f>
        <v>0</v>
      </c>
      <c r="AM26" s="51">
        <f>IF($AE26=0,0,IF($B26=Háttér_listák!$B$122,Beruházási_ktg_input!$V26*Beruházási_ktg_input!AG26,""))</f>
        <v>0</v>
      </c>
      <c r="AN26" s="51">
        <f>IF($AE26=0,0,IF($B26=Háttér_listák!$B$122,Beruházási_ktg_input!$V26*Beruházási_ktg_input!AH26,""))</f>
        <v>0</v>
      </c>
      <c r="AO26" s="51">
        <f>IF($AE26=0,0,IF($B26=Háttér_listák!$B$122,Beruházási_ktg_input!$V26*Beruházási_ktg_input!AI26,""))</f>
        <v>0</v>
      </c>
      <c r="AP26" s="68">
        <f>IF($AE26=0,0,IF($B26=Háttér_listák!$B$122,Beruházási_ktg_input!$V26*Beruházási_ktg_input!AJ26,""))</f>
        <v>0</v>
      </c>
      <c r="AQ26" s="67">
        <f>IF($AE26=0,0,IF($B26=Háttér_listák!$B$122,Beruházási_ktg_input!$AD26*Beruházási_ktg_input!AF26,""))</f>
        <v>0</v>
      </c>
      <c r="AR26" s="51">
        <f>IF($AE26=0,0,IF($B26=Háttér_listák!$B$122,Beruházási_ktg_input!$AD26*Beruházási_ktg_input!AG26,""))</f>
        <v>0</v>
      </c>
      <c r="AS26" s="51">
        <f>IF($AE26=0,0,IF($B26=Háttér_listák!$B$122,Beruházási_ktg_input!$AD26*Beruházási_ktg_input!AH26,""))</f>
        <v>0</v>
      </c>
      <c r="AT26" s="51">
        <f>IF($AE26=0,0,IF($B26=Háttér_listák!$B$122,Beruházási_ktg_input!$AD26*Beruházási_ktg_input!AI26,""))</f>
        <v>0</v>
      </c>
      <c r="AU26" s="71">
        <f>IF($AE26=0,0,IF($B26=Háttér_listák!$B$122,Beruházási_ktg_input!$AD26*Beruházási_ktg_input!AJ26,""))</f>
        <v>0</v>
      </c>
      <c r="AV26" s="67">
        <f>IF($AE26=0,0,IF($B26=Háttér_listák!$B$122,($T26+$Y26)*AF26,""))</f>
        <v>0</v>
      </c>
      <c r="AW26" s="51">
        <f>IF($AE26=0,0,IF($B26=Háttér_listák!$B$122,($T26+$Y26)*AG26,""))</f>
        <v>0</v>
      </c>
      <c r="AX26" s="51">
        <f>IF($AE26=0,0,IF($B26=Háttér_listák!$B$122,($T26+$Y26)*AH26,""))</f>
        <v>0</v>
      </c>
      <c r="AY26" s="51">
        <f>IF($AE26=0,0,IF($B26=Háttér_listák!$B$122,($T26+$Y26)*AI26,""))</f>
        <v>0</v>
      </c>
      <c r="AZ26" s="68">
        <f>IF($AE26=0,0,IF($B26=Háttér_listák!$B$122,($T26+$Y26)*AJ26,""))</f>
        <v>0</v>
      </c>
    </row>
    <row r="27" spans="2:52" ht="27.6">
      <c r="B27" s="251" t="s">
        <v>102</v>
      </c>
      <c r="C27" s="246">
        <f>IF(B27=Háttér_listák!$B$121,1,0)</f>
        <v>0</v>
      </c>
      <c r="D27" s="246">
        <f t="shared" si="0"/>
        <v>10</v>
      </c>
      <c r="E27" s="247" t="s">
        <v>285</v>
      </c>
      <c r="F27" s="248">
        <v>0</v>
      </c>
      <c r="G27" s="247" t="s">
        <v>121</v>
      </c>
      <c r="H27" s="248"/>
      <c r="I27" s="249">
        <v>1</v>
      </c>
      <c r="J27" s="561">
        <v>0</v>
      </c>
      <c r="K27" s="574">
        <f>IF(B27=Háttér_listák!$B$121,"",Beruházási_ktg_input!I27*Beruházási_ktg_input!J27)</f>
        <v>0</v>
      </c>
      <c r="L27" s="576">
        <f>IF(B27=Háttér_listák!$B$121,SUMIF(Beruházási_ktg_input!D27:$D$107,Beruházási_ktg_input!D27+1,Beruházási_ktg_input!L27:$L$107),Beruházási_ktg_input!$K27)</f>
        <v>0</v>
      </c>
      <c r="M27" s="570">
        <v>0</v>
      </c>
      <c r="N27" s="566">
        <v>0</v>
      </c>
      <c r="O27" s="559">
        <f>IF(B27=Háttér_listák!$B$121,SUMIF(Beruházási_ktg_input!$D28:D$107,Beruházási_ktg_input!D27+1,$O28:O$107),L27+N27)</f>
        <v>0</v>
      </c>
      <c r="P27" s="249">
        <v>0</v>
      </c>
      <c r="Q27" s="251" t="s">
        <v>104</v>
      </c>
      <c r="R27" s="247" t="s">
        <v>286</v>
      </c>
      <c r="S27" s="247" t="s">
        <v>108</v>
      </c>
      <c r="T27" s="67">
        <f>IF($B27=Háttér_listák!$B$121,SUMIF($D28:D$107,D27+1,$T28:T$107),IF(Q27=Háttér_listák!$B$125,Beruházási_ktg_input!L27,0))</f>
        <v>0</v>
      </c>
      <c r="U27" s="51">
        <f>IF($B27=Háttér_listák!$B$121,SUMIF($D28:D$107,D27+1,$U28:U$107),IF(AND(Q27=Háttér_listák!$B$125,Beruházási_ktg_input!S27=Háttér_listák!$B$130,Főoldal!$C$15="Igen"),Beruházási_ktg_input!N27,0))</f>
        <v>0</v>
      </c>
      <c r="V27" s="51">
        <f t="shared" si="1"/>
        <v>0</v>
      </c>
      <c r="W27" s="51">
        <f>IF($B27=Háttér_listák!$B$121,SUMIF($D28:D$107,D27+1,$W28:W$107),IF(AND(Q27=Háttér_listák!$B$125,Beruházási_ktg_input!S27=Háttér_listák!$B$130,Főoldal!$C$15="Nem"),Beruházási_ktg_input!N27,0))</f>
        <v>0</v>
      </c>
      <c r="X27" s="51">
        <f>IF($B27=Háttér_listák!$B$121,SUMIF($D28:D$107,D27+1,$X28:X$107),IF(AND(Q27=Háttér_listák!$B$125,Beruházási_ktg_input!S27=Háttér_listák!$B$129),Beruházási_ktg_input!N27,0))</f>
        <v>0</v>
      </c>
      <c r="Y27" s="51">
        <f>IF($B27=Háttér_listák!$B$121,SUMIF($D28:D$107,D27+1,$Y28:Y$107),IF(Q27=Háttér_listák!$B$126,Beruházási_ktg_input!L27,0))</f>
        <v>0</v>
      </c>
      <c r="Z27" s="51">
        <f>IF($B27=Háttér_listák!$B$121,SUMIF($D28:D$107,D27+1,$Z28:Z$107),IF(AND(Q27=Háttér_listák!$B$126,Beruházási_ktg_input!S27=Háttér_listák!$B$129),Beruházási_ktg_input!N27,0))</f>
        <v>0</v>
      </c>
      <c r="AA27" s="51">
        <f>IF($B27=Háttér_listák!$B$121,SUMIF($D28:D$107,D27+1,$AA28:AA$107),IF(AND(Q27=Háttér_listák!$B$126,Beruházási_ktg_input!S27=Háttér_listák!$B$130),Beruházási_ktg_input!N27,0))</f>
        <v>0</v>
      </c>
      <c r="AB27" s="51">
        <f t="shared" si="2"/>
        <v>0</v>
      </c>
      <c r="AC27" s="51">
        <f t="shared" si="3"/>
        <v>0</v>
      </c>
      <c r="AD27" s="51">
        <f t="shared" si="4"/>
        <v>0</v>
      </c>
      <c r="AE27" s="68">
        <f t="shared" si="5"/>
        <v>0</v>
      </c>
      <c r="AF27" s="258">
        <v>1</v>
      </c>
      <c r="AG27" s="259"/>
      <c r="AH27" s="259"/>
      <c r="AI27" s="259"/>
      <c r="AJ27" s="260"/>
      <c r="AK27" s="70" t="str">
        <f>IF(SUM(AF27:AJ27)=0,"",IF(SUM(AF27:AJ27)=1,Háttér_listák!$B$133,Háttér_listák!$B$134))</f>
        <v>Az ütemezés megfelelő!</v>
      </c>
      <c r="AL27" s="67">
        <f>IF($AE27=0,0,IF($B27=Háttér_listák!$B$122,Beruházási_ktg_input!$V27*Beruházási_ktg_input!AF27,""))</f>
        <v>0</v>
      </c>
      <c r="AM27" s="51">
        <f>IF($AE27=0,0,IF($B27=Háttér_listák!$B$122,Beruházási_ktg_input!$V27*Beruházási_ktg_input!AG27,""))</f>
        <v>0</v>
      </c>
      <c r="AN27" s="51">
        <f>IF($AE27=0,0,IF($B27=Háttér_listák!$B$122,Beruházási_ktg_input!$V27*Beruházási_ktg_input!AH27,""))</f>
        <v>0</v>
      </c>
      <c r="AO27" s="51">
        <f>IF($AE27=0,0,IF($B27=Háttér_listák!$B$122,Beruházási_ktg_input!$V27*Beruházási_ktg_input!AI27,""))</f>
        <v>0</v>
      </c>
      <c r="AP27" s="68">
        <f>IF($AE27=0,0,IF($B27=Háttér_listák!$B$122,Beruházási_ktg_input!$V27*Beruházási_ktg_input!AJ27,""))</f>
        <v>0</v>
      </c>
      <c r="AQ27" s="67">
        <f>IF($AE27=0,0,IF($B27=Háttér_listák!$B$122,Beruházási_ktg_input!$AD27*Beruházási_ktg_input!AF27,""))</f>
        <v>0</v>
      </c>
      <c r="AR27" s="51">
        <f>IF($AE27=0,0,IF($B27=Háttér_listák!$B$122,Beruházási_ktg_input!$AD27*Beruházási_ktg_input!AG27,""))</f>
        <v>0</v>
      </c>
      <c r="AS27" s="51">
        <f>IF($AE27=0,0,IF($B27=Háttér_listák!$B$122,Beruházási_ktg_input!$AD27*Beruházási_ktg_input!AH27,""))</f>
        <v>0</v>
      </c>
      <c r="AT27" s="51">
        <f>IF($AE27=0,0,IF($B27=Háttér_listák!$B$122,Beruházási_ktg_input!$AD27*Beruházási_ktg_input!AI27,""))</f>
        <v>0</v>
      </c>
      <c r="AU27" s="71">
        <f>IF($AE27=0,0,IF($B27=Háttér_listák!$B$122,Beruházási_ktg_input!$AD27*Beruházási_ktg_input!AJ27,""))</f>
        <v>0</v>
      </c>
      <c r="AV27" s="67">
        <f>IF($AE27=0,0,IF($B27=Háttér_listák!$B$122,($T27+$Y27)*AF27,""))</f>
        <v>0</v>
      </c>
      <c r="AW27" s="51">
        <f>IF($AE27=0,0,IF($B27=Háttér_listák!$B$122,($T27+$Y27)*AG27,""))</f>
        <v>0</v>
      </c>
      <c r="AX27" s="51">
        <f>IF($AE27=0,0,IF($B27=Háttér_listák!$B$122,($T27+$Y27)*AH27,""))</f>
        <v>0</v>
      </c>
      <c r="AY27" s="51">
        <f>IF($AE27=0,0,IF($B27=Háttér_listák!$B$122,($T27+$Y27)*AI27,""))</f>
        <v>0</v>
      </c>
      <c r="AZ27" s="68">
        <f>IF($AE27=0,0,IF($B27=Háttér_listák!$B$122,($T27+$Y27)*AJ27,""))</f>
        <v>0</v>
      </c>
    </row>
    <row r="28" spans="2:52">
      <c r="B28" s="251" t="s">
        <v>101</v>
      </c>
      <c r="C28" s="246">
        <f>IF(B28=Háttér_listák!$B$121,1,0)</f>
        <v>1</v>
      </c>
      <c r="D28" s="246">
        <f t="shared" si="0"/>
        <v>11</v>
      </c>
      <c r="E28" s="247" t="s">
        <v>287</v>
      </c>
      <c r="F28" s="248"/>
      <c r="G28" s="247" t="s">
        <v>113</v>
      </c>
      <c r="H28" s="248"/>
      <c r="I28" s="249"/>
      <c r="J28" s="561"/>
      <c r="K28" s="574" t="str">
        <f>IF(B28=Háttér_listák!$B$121,"",Beruházási_ktg_input!I28*Beruházási_ktg_input!J28)</f>
        <v/>
      </c>
      <c r="L28" s="576">
        <f>IF(B28=Háttér_listák!$B$121,SUMIF(Beruházási_ktg_input!D28:$D$107,Beruházási_ktg_input!D28+1,Beruházási_ktg_input!L28:$L$107),Beruházási_ktg_input!$K28)</f>
        <v>19000000</v>
      </c>
      <c r="M28" s="570"/>
      <c r="N28" s="566"/>
      <c r="O28" s="559">
        <f>IF(B28=Háttér_listák!$B$121,SUMIF(Beruházási_ktg_input!$D29:D$107,Beruházási_ktg_input!D28+1,$O29:O$107),L28+N28)</f>
        <v>24130000</v>
      </c>
      <c r="P28" s="249"/>
      <c r="Q28" s="251"/>
      <c r="R28" s="248"/>
      <c r="S28" s="248"/>
      <c r="T28" s="67">
        <f>IF($B28=Háttér_listák!$B$121,SUMIF($D29:D$107,D28+1,$T29:T$107),IF(Q28=Háttér_listák!$B$125,Beruházási_ktg_input!L28,0))</f>
        <v>19000000</v>
      </c>
      <c r="U28" s="51">
        <f>IF($B28=Háttér_listák!$B$121,SUMIF($D29:D$107,D28+1,$U29:U$107),IF(AND(Q28=Háttér_listák!$B$125,Beruházási_ktg_input!S28=Háttér_listák!$B$130,Főoldal!$C$15="Igen"),Beruházási_ktg_input!N28,0))</f>
        <v>5130000</v>
      </c>
      <c r="V28" s="51">
        <f t="shared" si="1"/>
        <v>24130000</v>
      </c>
      <c r="W28" s="51">
        <f>IF($B28=Háttér_listák!$B$121,SUMIF($D29:D$107,D28+1,$W29:W$107),IF(AND(Q28=Háttér_listák!$B$125,Beruházási_ktg_input!S28=Háttér_listák!$B$130,Főoldal!$C$15="Nem"),Beruházási_ktg_input!N28,0))</f>
        <v>0</v>
      </c>
      <c r="X28" s="51">
        <f>IF($B28=Háttér_listák!$B$121,SUMIF($D29:D$107,D28+1,$X29:X$107),IF(AND(Q28=Háttér_listák!$B$125,Beruházási_ktg_input!S28=Háttér_listák!$B$129),Beruházási_ktg_input!N28,0))</f>
        <v>0</v>
      </c>
      <c r="Y28" s="51">
        <f>IF($B28=Háttér_listák!$B$121,SUMIF($D29:D$107,D28+1,$Y29:Y$107),IF(Q28=Háttér_listák!$B$126,Beruházási_ktg_input!L28,0))</f>
        <v>0</v>
      </c>
      <c r="Z28" s="51">
        <f>IF($B28=Háttér_listák!$B$121,SUMIF($D29:D$107,D28+1,$Z29:Z$107),IF(AND(Q28=Háttér_listák!$B$126,Beruházási_ktg_input!S28=Háttér_listák!$B$129),Beruházási_ktg_input!N28,0))</f>
        <v>0</v>
      </c>
      <c r="AA28" s="51">
        <f>IF($B28=Háttér_listák!$B$121,SUMIF($D29:D$107,D28+1,$AA29:AA$107),IF(AND(Q28=Háttér_listák!$B$126,Beruházási_ktg_input!S28=Háttér_listák!$B$130),Beruházási_ktg_input!N28,0))</f>
        <v>0</v>
      </c>
      <c r="AB28" s="51">
        <f t="shared" si="2"/>
        <v>0</v>
      </c>
      <c r="AC28" s="51">
        <f t="shared" si="3"/>
        <v>24130000</v>
      </c>
      <c r="AD28" s="51">
        <f t="shared" si="4"/>
        <v>0</v>
      </c>
      <c r="AE28" s="68">
        <f t="shared" si="5"/>
        <v>24130000</v>
      </c>
      <c r="AF28" s="258"/>
      <c r="AG28" s="259"/>
      <c r="AH28" s="259"/>
      <c r="AI28" s="259"/>
      <c r="AJ28" s="260"/>
      <c r="AK28" s="70" t="str">
        <f>IF(SUM(AF28:AJ28)=0,"",IF(SUM(AF28:AJ28)=1,Háttér_listák!$B$133,Háttér_listák!$B$134))</f>
        <v/>
      </c>
      <c r="AL28" s="67" t="str">
        <f>IF($AE28=0,0,IF($B28=Háttér_listák!$B$122,Beruházási_ktg_input!$V28*Beruházási_ktg_input!AF28,""))</f>
        <v/>
      </c>
      <c r="AM28" s="51" t="str">
        <f>IF($AE28=0,0,IF($B28=Háttér_listák!$B$122,Beruházási_ktg_input!$V28*Beruházási_ktg_input!AG28,""))</f>
        <v/>
      </c>
      <c r="AN28" s="51" t="str">
        <f>IF($AE28=0,0,IF($B28=Háttér_listák!$B$122,Beruházási_ktg_input!$V28*Beruházási_ktg_input!AH28,""))</f>
        <v/>
      </c>
      <c r="AO28" s="51" t="str">
        <f>IF($AE28=0,0,IF($B28=Háttér_listák!$B$122,Beruházási_ktg_input!$V28*Beruházási_ktg_input!AI28,""))</f>
        <v/>
      </c>
      <c r="AP28" s="68" t="str">
        <f>IF($AE28=0,0,IF($B28=Háttér_listák!$B$122,Beruházási_ktg_input!$V28*Beruházási_ktg_input!AJ28,""))</f>
        <v/>
      </c>
      <c r="AQ28" s="67" t="str">
        <f>IF($AE28=0,0,IF($B28=Háttér_listák!$B$122,Beruházási_ktg_input!$AD28*Beruházási_ktg_input!AF28,""))</f>
        <v/>
      </c>
      <c r="AR28" s="51" t="str">
        <f>IF($AE28=0,0,IF($B28=Háttér_listák!$B$122,Beruházási_ktg_input!$AD28*Beruházási_ktg_input!AG28,""))</f>
        <v/>
      </c>
      <c r="AS28" s="51" t="str">
        <f>IF($AE28=0,0,IF($B28=Háttér_listák!$B$122,Beruházási_ktg_input!$AD28*Beruházási_ktg_input!AH28,""))</f>
        <v/>
      </c>
      <c r="AT28" s="51" t="str">
        <f>IF($AE28=0,0,IF($B28=Háttér_listák!$B$122,Beruházási_ktg_input!$AD28*Beruházási_ktg_input!AI28,""))</f>
        <v/>
      </c>
      <c r="AU28" s="71" t="str">
        <f>IF($AE28=0,0,IF($B28=Háttér_listák!$B$122,Beruházási_ktg_input!$AD28*Beruházási_ktg_input!AJ28,""))</f>
        <v/>
      </c>
      <c r="AV28" s="67" t="str">
        <f>IF($AE28=0,0,IF($B28=Háttér_listák!$B$122,($T28+$Y28)*AF28,""))</f>
        <v/>
      </c>
      <c r="AW28" s="51" t="str">
        <f>IF($AE28=0,0,IF($B28=Háttér_listák!$B$122,($T28+$Y28)*AG28,""))</f>
        <v/>
      </c>
      <c r="AX28" s="51" t="str">
        <f>IF($AE28=0,0,IF($B28=Háttér_listák!$B$122,($T28+$Y28)*AH28,""))</f>
        <v/>
      </c>
      <c r="AY28" s="51" t="str">
        <f>IF($AE28=0,0,IF($B28=Háttér_listák!$B$122,($T28+$Y28)*AI28,""))</f>
        <v/>
      </c>
      <c r="AZ28" s="68" t="str">
        <f>IF($AE28=0,0,IF($B28=Háttér_listák!$B$122,($T28+$Y28)*AJ28,""))</f>
        <v/>
      </c>
    </row>
    <row r="29" spans="2:52">
      <c r="B29" s="251" t="s">
        <v>102</v>
      </c>
      <c r="C29" s="246">
        <f>IF(B29=Háttér_listák!$B$121,1,0)</f>
        <v>0</v>
      </c>
      <c r="D29" s="246">
        <f t="shared" si="0"/>
        <v>12</v>
      </c>
      <c r="E29" s="247" t="s">
        <v>287</v>
      </c>
      <c r="F29" s="248">
        <v>0</v>
      </c>
      <c r="G29" s="247" t="s">
        <v>121</v>
      </c>
      <c r="H29" s="248"/>
      <c r="I29" s="249">
        <v>1</v>
      </c>
      <c r="J29" s="561">
        <v>19000000</v>
      </c>
      <c r="K29" s="574">
        <f>IF(B29=Háttér_listák!$B$121,"",Beruházási_ktg_input!I29*Beruházási_ktg_input!J29)</f>
        <v>19000000</v>
      </c>
      <c r="L29" s="576">
        <f>IF(B29=Háttér_listák!$B$121,SUMIF(Beruházási_ktg_input!D29:$D$107,Beruházási_ktg_input!D29+1,Beruházási_ktg_input!L29:$L$107),Beruházási_ktg_input!$K29)</f>
        <v>19000000</v>
      </c>
      <c r="M29" s="570">
        <v>0.27</v>
      </c>
      <c r="N29" s="566">
        <v>5130000</v>
      </c>
      <c r="O29" s="559">
        <f>IF(B29=Háttér_listák!$B$121,SUMIF(Beruházási_ktg_input!$D30:D$107,Beruházási_ktg_input!D29+1,$O30:O$107),L29+N29)</f>
        <v>24130000</v>
      </c>
      <c r="P29" s="249">
        <v>0</v>
      </c>
      <c r="Q29" s="251" t="s">
        <v>104</v>
      </c>
      <c r="R29" s="248" t="s">
        <v>287</v>
      </c>
      <c r="S29" s="248" t="s">
        <v>108</v>
      </c>
      <c r="T29" s="67">
        <f>IF($B29=Háttér_listák!$B$121,SUMIF($D30:D$107,D29+1,$T30:T$107),IF(Q29=Háttér_listák!$B$125,Beruházási_ktg_input!L29,0))</f>
        <v>19000000</v>
      </c>
      <c r="U29" s="51">
        <f>IF($B29=Háttér_listák!$B$121,SUMIF($D30:D$107,D29+1,$U30:U$107),IF(AND(Q29=Háttér_listák!$B$125,Beruházási_ktg_input!S29=Háttér_listák!$B$130,Főoldal!$C$15="Igen"),Beruházási_ktg_input!N29,0))</f>
        <v>5130000</v>
      </c>
      <c r="V29" s="51">
        <f t="shared" si="1"/>
        <v>24130000</v>
      </c>
      <c r="W29" s="51">
        <f>IF($B29=Háttér_listák!$B$121,SUMIF($D30:D$107,D29+1,$W30:W$107),IF(AND(Q29=Háttér_listák!$B$125,Beruházási_ktg_input!S29=Háttér_listák!$B$130,Főoldal!$C$15="Nem"),Beruházási_ktg_input!N29,0))</f>
        <v>0</v>
      </c>
      <c r="X29" s="51">
        <f>IF($B29=Háttér_listák!$B$121,SUMIF($D30:D$107,D29+1,$X30:X$107),IF(AND(Q29=Háttér_listák!$B$125,Beruházási_ktg_input!S29=Háttér_listák!$B$129),Beruházási_ktg_input!N29,0))</f>
        <v>0</v>
      </c>
      <c r="Y29" s="51">
        <f>IF($B29=Háttér_listák!$B$121,SUMIF($D30:D$107,D29+1,$Y30:Y$107),IF(Q29=Háttér_listák!$B$126,Beruházási_ktg_input!L29,0))</f>
        <v>0</v>
      </c>
      <c r="Z29" s="51">
        <f>IF($B29=Háttér_listák!$B$121,SUMIF($D30:D$107,D29+1,$Z30:Z$107),IF(AND(Q29=Háttér_listák!$B$126,Beruházási_ktg_input!S29=Háttér_listák!$B$129),Beruházási_ktg_input!N29,0))</f>
        <v>0</v>
      </c>
      <c r="AA29" s="51">
        <f>IF($B29=Háttér_listák!$B$121,SUMIF($D30:D$107,D29+1,$AA30:AA$107),IF(AND(Q29=Háttér_listák!$B$126,Beruházási_ktg_input!S29=Háttér_listák!$B$130),Beruházási_ktg_input!N29,0))</f>
        <v>0</v>
      </c>
      <c r="AB29" s="51">
        <f t="shared" si="2"/>
        <v>0</v>
      </c>
      <c r="AC29" s="51">
        <f t="shared" si="3"/>
        <v>24130000</v>
      </c>
      <c r="AD29" s="51">
        <f t="shared" si="4"/>
        <v>0</v>
      </c>
      <c r="AE29" s="68">
        <f t="shared" si="5"/>
        <v>24130000</v>
      </c>
      <c r="AF29" s="258">
        <v>1</v>
      </c>
      <c r="AG29" s="259"/>
      <c r="AH29" s="259"/>
      <c r="AI29" s="259"/>
      <c r="AJ29" s="260"/>
      <c r="AK29" s="70" t="str">
        <f>IF(SUM(AF29:AJ29)=0,"",IF(SUM(AF29:AJ29)=1,Háttér_listák!$B$133,Háttér_listák!$B$134))</f>
        <v>Az ütemezés megfelelő!</v>
      </c>
      <c r="AL29" s="67">
        <f>IF($AE29=0,0,IF($B29=Háttér_listák!$B$122,Beruházási_ktg_input!$V29*Beruházási_ktg_input!AF29,""))</f>
        <v>24130000</v>
      </c>
      <c r="AM29" s="51">
        <f>IF($AE29=0,0,IF($B29=Háttér_listák!$B$122,Beruházási_ktg_input!$V29*Beruházási_ktg_input!AG29,""))</f>
        <v>0</v>
      </c>
      <c r="AN29" s="51">
        <f>IF($AE29=0,0,IF($B29=Háttér_listák!$B$122,Beruházási_ktg_input!$V29*Beruházási_ktg_input!AH29,""))</f>
        <v>0</v>
      </c>
      <c r="AO29" s="51">
        <f>IF($AE29=0,0,IF($B29=Háttér_listák!$B$122,Beruházási_ktg_input!$V29*Beruházási_ktg_input!AI29,""))</f>
        <v>0</v>
      </c>
      <c r="AP29" s="68">
        <f>IF($AE29=0,0,IF($B29=Háttér_listák!$B$122,Beruházási_ktg_input!$V29*Beruházási_ktg_input!AJ29,""))</f>
        <v>0</v>
      </c>
      <c r="AQ29" s="67">
        <f>IF($AE29=0,0,IF($B29=Háttér_listák!$B$122,Beruházási_ktg_input!$AD29*Beruházási_ktg_input!AF29,""))</f>
        <v>0</v>
      </c>
      <c r="AR29" s="51">
        <f>IF($AE29=0,0,IF($B29=Háttér_listák!$B$122,Beruházási_ktg_input!$AD29*Beruházási_ktg_input!AG29,""))</f>
        <v>0</v>
      </c>
      <c r="AS29" s="51">
        <f>IF($AE29=0,0,IF($B29=Háttér_listák!$B$122,Beruházási_ktg_input!$AD29*Beruházási_ktg_input!AH29,""))</f>
        <v>0</v>
      </c>
      <c r="AT29" s="51">
        <f>IF($AE29=0,0,IF($B29=Háttér_listák!$B$122,Beruházási_ktg_input!$AD29*Beruházási_ktg_input!AI29,""))</f>
        <v>0</v>
      </c>
      <c r="AU29" s="71">
        <f>IF($AE29=0,0,IF($B29=Háttér_listák!$B$122,Beruházási_ktg_input!$AD29*Beruházási_ktg_input!AJ29,""))</f>
        <v>0</v>
      </c>
      <c r="AV29" s="67">
        <f>IF($AE29=0,0,IF($B29=Háttér_listák!$B$122,($T29+$Y29)*AF29,""))</f>
        <v>19000000</v>
      </c>
      <c r="AW29" s="51">
        <f>IF($AE29=0,0,IF($B29=Háttér_listák!$B$122,($T29+$Y29)*AG29,""))</f>
        <v>0</v>
      </c>
      <c r="AX29" s="51">
        <f>IF($AE29=0,0,IF($B29=Háttér_listák!$B$122,($T29+$Y29)*AH29,""))</f>
        <v>0</v>
      </c>
      <c r="AY29" s="51">
        <f>IF($AE29=0,0,IF($B29=Háttér_listák!$B$122,($T29+$Y29)*AI29,""))</f>
        <v>0</v>
      </c>
      <c r="AZ29" s="68">
        <f>IF($AE29=0,0,IF($B29=Háttér_listák!$B$122,($T29+$Y29)*AJ29,""))</f>
        <v>0</v>
      </c>
    </row>
    <row r="30" spans="2:52">
      <c r="B30" s="251"/>
      <c r="C30" s="246">
        <f>IF(B30=Háttér_listák!$B$121,1,0)</f>
        <v>0</v>
      </c>
      <c r="D30" s="246">
        <f>IF(C30=C29,D29,D29+1)</f>
        <v>12</v>
      </c>
      <c r="E30" s="247"/>
      <c r="F30" s="248"/>
      <c r="G30" s="247"/>
      <c r="H30" s="248"/>
      <c r="I30" s="249"/>
      <c r="J30" s="561"/>
      <c r="K30" s="574">
        <f>IF(B30=Háttér_listák!$B$121,"",Beruházási_ktg_input!I30*Beruházási_ktg_input!J30)</f>
        <v>0</v>
      </c>
      <c r="L30" s="576">
        <f>IF(B30=Háttér_listák!$B$121,SUMIF(Beruházási_ktg_input!D30:$D$107,Beruházási_ktg_input!D30+1,Beruházási_ktg_input!L30:$L$107),Beruházási_ktg_input!$K30)</f>
        <v>0</v>
      </c>
      <c r="M30" s="570"/>
      <c r="N30" s="566">
        <v>0</v>
      </c>
      <c r="O30" s="559">
        <f>IF(B30=Háttér_listák!$B$121,SUMIF(Beruházási_ktg_input!$D103:D$107,Beruházási_ktg_input!D30+1,$O103:O$107),L30+N30)</f>
        <v>0</v>
      </c>
      <c r="P30" s="249">
        <v>0</v>
      </c>
      <c r="Q30" s="251"/>
      <c r="R30" s="248"/>
      <c r="S30" s="248"/>
      <c r="T30" s="67">
        <f>IF($B30=Háttér_listák!$B$121,SUMIF($D103:D$107,D30+1,$T103:T$107),IF(Q30=Háttér_listák!$B$125,Beruházási_ktg_input!L30,0))</f>
        <v>0</v>
      </c>
      <c r="U30" s="51">
        <f>IF($B30=Háttér_listák!$B$121,SUMIF($D103:D$107,D30+1,$U103:U$107),IF(AND(Q30=Háttér_listák!$B$125,Beruházási_ktg_input!S30=Háttér_listák!$B$130,Főoldal!$C$15="Igen"),Beruházási_ktg_input!N30,0))</f>
        <v>0</v>
      </c>
      <c r="V30" s="51">
        <f t="shared" si="1"/>
        <v>0</v>
      </c>
      <c r="W30" s="51">
        <f>IF($B30=Háttér_listák!$B$121,SUMIF($D103:D$107,D30+1,$W103:W$107),IF(AND(Q30=Háttér_listák!$B$125,Beruházási_ktg_input!S30=Háttér_listák!$B$130,Főoldal!$C$15="Nem"),Beruházási_ktg_input!N30,0))</f>
        <v>0</v>
      </c>
      <c r="X30" s="51">
        <f>IF($B30=Háttér_listák!$B$121,SUMIF($D103:D$107,D30+1,$X103:X$107),IF(AND(Q30=Háttér_listák!$B$125,Beruházási_ktg_input!S30=Háttér_listák!$B$129),Beruházási_ktg_input!N30,0))</f>
        <v>0</v>
      </c>
      <c r="Y30" s="51">
        <f>IF($B30=Háttér_listák!$B$121,SUMIF($D103:D$107,D30+1,$Y103:Y$107),IF(Q30=Háttér_listák!$B$126,Beruházási_ktg_input!L30,0))</f>
        <v>0</v>
      </c>
      <c r="Z30" s="51">
        <f>IF($B30=Háttér_listák!$B$121,SUMIF($D103:D$107,D30+1,$Z103:Z$107),IF(AND(Q30=Háttér_listák!$B$126,Beruházási_ktg_input!S30=Háttér_listák!$B$129),Beruházási_ktg_input!N30,0))</f>
        <v>0</v>
      </c>
      <c r="AA30" s="51">
        <f>IF($B30=Háttér_listák!$B$121,SUMIF($D103:D$107,D30+1,$AA103:AA$107),IF(AND(Q30=Háttér_listák!$B$126,Beruházási_ktg_input!S30=Háttér_listák!$B$130),Beruházási_ktg_input!N30,0))</f>
        <v>0</v>
      </c>
      <c r="AB30" s="51">
        <f t="shared" si="2"/>
        <v>0</v>
      </c>
      <c r="AC30" s="51">
        <f t="shared" si="3"/>
        <v>0</v>
      </c>
      <c r="AD30" s="51">
        <f t="shared" si="4"/>
        <v>0</v>
      </c>
      <c r="AE30" s="68">
        <f t="shared" si="5"/>
        <v>0</v>
      </c>
      <c r="AF30" s="258"/>
      <c r="AG30" s="259"/>
      <c r="AH30" s="259"/>
      <c r="AI30" s="259"/>
      <c r="AJ30" s="260"/>
      <c r="AK30" s="70" t="str">
        <f>IF(SUM(AF30:AJ30)=0,"",IF(SUM(AF30:AJ30)=1,Háttér_listák!$B$133,Háttér_listák!$B$134))</f>
        <v/>
      </c>
      <c r="AL30" s="67">
        <f>IF($AE30=0,0,IF($B30=Háttér_listák!$B$122,Beruházási_ktg_input!$V30*Beruházási_ktg_input!AF30,""))</f>
        <v>0</v>
      </c>
      <c r="AM30" s="51">
        <f>IF($AE30=0,0,IF($B30=Háttér_listák!$B$122,Beruházási_ktg_input!$V30*Beruházási_ktg_input!AG30,""))</f>
        <v>0</v>
      </c>
      <c r="AN30" s="51">
        <f>IF($AE30=0,0,IF($B30=Háttér_listák!$B$122,Beruházási_ktg_input!$V30*Beruházási_ktg_input!AH30,""))</f>
        <v>0</v>
      </c>
      <c r="AO30" s="51">
        <f>IF($AE30=0,0,IF($B30=Háttér_listák!$B$122,Beruházási_ktg_input!$V30*Beruházási_ktg_input!AI30,""))</f>
        <v>0</v>
      </c>
      <c r="AP30" s="68">
        <f>IF($AE30=0,0,IF($B30=Háttér_listák!$B$122,Beruházási_ktg_input!$V30*Beruházási_ktg_input!AJ30,""))</f>
        <v>0</v>
      </c>
      <c r="AQ30" s="67">
        <f>IF($AE30=0,0,IF($B30=Háttér_listák!$B$122,Beruházási_ktg_input!$AD30*Beruházási_ktg_input!AF30,""))</f>
        <v>0</v>
      </c>
      <c r="AR30" s="51">
        <f>IF($AE30=0,0,IF($B30=Háttér_listák!$B$122,Beruházási_ktg_input!$AD30*Beruházási_ktg_input!AG30,""))</f>
        <v>0</v>
      </c>
      <c r="AS30" s="51">
        <f>IF($AE30=0,0,IF($B30=Háttér_listák!$B$122,Beruházási_ktg_input!$AD30*Beruházási_ktg_input!AH30,""))</f>
        <v>0</v>
      </c>
      <c r="AT30" s="51">
        <f>IF($AE30=0,0,IF($B30=Háttér_listák!$B$122,Beruházási_ktg_input!$AD30*Beruházási_ktg_input!AI30,""))</f>
        <v>0</v>
      </c>
      <c r="AU30" s="71">
        <f>IF($AE30=0,0,IF($B30=Háttér_listák!$B$122,Beruházási_ktg_input!$AD30*Beruházási_ktg_input!AJ30,""))</f>
        <v>0</v>
      </c>
      <c r="AV30" s="67">
        <f>IF($AE30=0,0,IF($B30=Háttér_listák!$B$122,($T30+$Y30)*AF30,""))</f>
        <v>0</v>
      </c>
      <c r="AW30" s="51">
        <f>IF($AE30=0,0,IF($B30=Háttér_listák!$B$122,($T30+$Y30)*AG30,""))</f>
        <v>0</v>
      </c>
      <c r="AX30" s="51">
        <f>IF($AE30=0,0,IF($B30=Háttér_listák!$B$122,($T30+$Y30)*AH30,""))</f>
        <v>0</v>
      </c>
      <c r="AY30" s="51">
        <f>IF($AE30=0,0,IF($B30=Háttér_listák!$B$122,($T30+$Y30)*AI30,""))</f>
        <v>0</v>
      </c>
      <c r="AZ30" s="68">
        <f>IF($AE30=0,0,IF($B30=Háttér_listák!$B$122,($T30+$Y30)*AJ30,""))</f>
        <v>0</v>
      </c>
    </row>
    <row r="31" spans="2:52">
      <c r="B31" s="251"/>
      <c r="C31" s="246">
        <f>IF(B31=Háttér_listák!$B$121,1,0)</f>
        <v>0</v>
      </c>
      <c r="D31" s="246">
        <f>IF(C31=C30,D30,D30+1)</f>
        <v>12</v>
      </c>
      <c r="E31" s="247"/>
      <c r="F31" s="248"/>
      <c r="G31" s="247"/>
      <c r="H31" s="248"/>
      <c r="I31" s="249"/>
      <c r="J31" s="561"/>
      <c r="K31" s="574">
        <f>IF(B31=Háttér_listák!$B$121,"",Beruházási_ktg_input!I31*Beruházási_ktg_input!J31)</f>
        <v>0</v>
      </c>
      <c r="L31" s="576">
        <f>IF(B31=Háttér_listák!$B$121,SUMIF(Beruházási_ktg_input!D31:$D$107,Beruházási_ktg_input!D31+1,Beruházási_ktg_input!L31:$L$107),Beruházási_ktg_input!$K31)</f>
        <v>0</v>
      </c>
      <c r="M31" s="570"/>
      <c r="N31" s="566">
        <v>0</v>
      </c>
      <c r="O31" s="559">
        <f>IF(B31=Háttér_listák!$B$121,SUMIF(Beruházási_ktg_input!$D104:D$107,Beruházási_ktg_input!D31+1,$O104:O$107),L31+N31)</f>
        <v>0</v>
      </c>
      <c r="P31" s="249">
        <v>0</v>
      </c>
      <c r="Q31" s="251"/>
      <c r="R31" s="248"/>
      <c r="S31" s="248"/>
      <c r="T31" s="67">
        <f>IF($B31=Háttér_listák!$B$121,SUMIF($D104:D$107,D31+1,$T104:T$107),IF(Q31=Háttér_listák!$B$125,Beruházási_ktg_input!L31,0))</f>
        <v>0</v>
      </c>
      <c r="U31" s="51">
        <f>IF($B31=Háttér_listák!$B$121,SUMIF($D104:D$107,D31+1,$U104:U$107),IF(AND(Q31=Háttér_listák!$B$125,Beruházási_ktg_input!S31=Háttér_listák!$B$130,Főoldal!$C$15="Igen"),Beruházási_ktg_input!N31,0))</f>
        <v>0</v>
      </c>
      <c r="V31" s="51">
        <f>SUM(T31:U31)</f>
        <v>0</v>
      </c>
      <c r="W31" s="51">
        <f>IF($B31=Háttér_listák!$B$121,SUMIF($D104:D$107,D31+1,$W104:W$107),IF(AND(Q31=Háttér_listák!$B$125,Beruházási_ktg_input!S31=Háttér_listák!$B$130,Főoldal!$C$15="Nem"),Beruházási_ktg_input!N31,0))</f>
        <v>0</v>
      </c>
      <c r="X31" s="51">
        <f>IF($B31=Háttér_listák!$B$121,SUMIF($D104:D$107,D31+1,$X104:X$107),IF(AND(Q31=Háttér_listák!$B$125,Beruházási_ktg_input!S31=Háttér_listák!$B$129),Beruházási_ktg_input!N31,0))</f>
        <v>0</v>
      </c>
      <c r="Y31" s="51">
        <f>IF($B31=Háttér_listák!$B$121,SUMIF($D104:D$107,D31+1,$Y104:Y$107),IF(Q31=Háttér_listák!$B$126,Beruházási_ktg_input!L31,0))</f>
        <v>0</v>
      </c>
      <c r="Z31" s="51">
        <f>IF($B31=Háttér_listák!$B$121,SUMIF($D104:D$107,D31+1,$Z104:Z$107),IF(AND(Q31=Háttér_listák!$B$126,Beruházási_ktg_input!S31=Háttér_listák!$B$129),Beruházási_ktg_input!N31,0))</f>
        <v>0</v>
      </c>
      <c r="AA31" s="51">
        <f>IF($B31=Háttér_listák!$B$121,SUMIF($D104:D$107,D31+1,$AA104:AA$107),IF(AND(Q31=Háttér_listák!$B$126,Beruházási_ktg_input!S31=Háttér_listák!$B$130),Beruházási_ktg_input!N31,0))</f>
        <v>0</v>
      </c>
      <c r="AB31" s="51">
        <f>Y31+AA31</f>
        <v>0</v>
      </c>
      <c r="AC31" s="51">
        <f>V31+AB31</f>
        <v>0</v>
      </c>
      <c r="AD31" s="51">
        <f>SUM(W31:AA31)</f>
        <v>0</v>
      </c>
      <c r="AE31" s="68">
        <f>V31+AD31</f>
        <v>0</v>
      </c>
      <c r="AF31" s="258"/>
      <c r="AG31" s="259"/>
      <c r="AH31" s="259"/>
      <c r="AI31" s="259"/>
      <c r="AJ31" s="260"/>
      <c r="AK31" s="70" t="str">
        <f>IF(SUM(AF31:AJ31)=0,"",IF(SUM(AF31:AJ31)=1,Háttér_listák!$B$133,Háttér_listák!$B$134))</f>
        <v/>
      </c>
      <c r="AL31" s="67">
        <f>IF($AE31=0,0,IF($B31=Háttér_listák!$B$122,Beruházási_ktg_input!$V31*Beruházási_ktg_input!AF31,""))</f>
        <v>0</v>
      </c>
      <c r="AM31" s="51">
        <f>IF($AE31=0,0,IF($B31=Háttér_listák!$B$122,Beruházási_ktg_input!$V31*Beruházási_ktg_input!AG31,""))</f>
        <v>0</v>
      </c>
      <c r="AN31" s="51">
        <f>IF($AE31=0,0,IF($B31=Háttér_listák!$B$122,Beruházási_ktg_input!$V31*Beruházási_ktg_input!AH31,""))</f>
        <v>0</v>
      </c>
      <c r="AO31" s="51">
        <f>IF($AE31=0,0,IF($B31=Háttér_listák!$B$122,Beruházási_ktg_input!$V31*Beruházási_ktg_input!AI31,""))</f>
        <v>0</v>
      </c>
      <c r="AP31" s="68">
        <f>IF($AE31=0,0,IF($B31=Háttér_listák!$B$122,Beruházási_ktg_input!$V31*Beruházási_ktg_input!AJ31,""))</f>
        <v>0</v>
      </c>
      <c r="AQ31" s="67">
        <f>IF($AE31=0,0,IF($B31=Háttér_listák!$B$122,Beruházási_ktg_input!$AD31*Beruházási_ktg_input!AF31,""))</f>
        <v>0</v>
      </c>
      <c r="AR31" s="51">
        <f>IF($AE31=0,0,IF($B31=Háttér_listák!$B$122,Beruházási_ktg_input!$AD31*Beruházási_ktg_input!AG31,""))</f>
        <v>0</v>
      </c>
      <c r="AS31" s="51">
        <f>IF($AE31=0,0,IF($B31=Háttér_listák!$B$122,Beruházási_ktg_input!$AD31*Beruházási_ktg_input!AH31,""))</f>
        <v>0</v>
      </c>
      <c r="AT31" s="51">
        <f>IF($AE31=0,0,IF($B31=Háttér_listák!$B$122,Beruházási_ktg_input!$AD31*Beruházási_ktg_input!AI31,""))</f>
        <v>0</v>
      </c>
      <c r="AU31" s="71">
        <f>IF($AE31=0,0,IF($B31=Háttér_listák!$B$122,Beruházási_ktg_input!$AD31*Beruházási_ktg_input!AJ31,""))</f>
        <v>0</v>
      </c>
      <c r="AV31" s="67">
        <f>IF($AE31=0,0,IF($B31=Háttér_listák!$B$122,($T31+$Y31)*AF31,""))</f>
        <v>0</v>
      </c>
      <c r="AW31" s="51">
        <f>IF($AE31=0,0,IF($B31=Háttér_listák!$B$122,($T31+$Y31)*AG31,""))</f>
        <v>0</v>
      </c>
      <c r="AX31" s="51">
        <f>IF($AE31=0,0,IF($B31=Háttér_listák!$B$122,($T31+$Y31)*AH31,""))</f>
        <v>0</v>
      </c>
      <c r="AY31" s="51">
        <f>IF($AE31=0,0,IF($B31=Háttér_listák!$B$122,($T31+$Y31)*AI31,""))</f>
        <v>0</v>
      </c>
      <c r="AZ31" s="68">
        <f>IF($AE31=0,0,IF($B31=Háttér_listák!$B$122,($T31+$Y31)*AJ31,""))</f>
        <v>0</v>
      </c>
    </row>
    <row r="32" spans="2:52">
      <c r="B32" s="251"/>
      <c r="C32" s="246">
        <f>IF(B32=Háttér_listák!$B$121,1,0)</f>
        <v>0</v>
      </c>
      <c r="D32" s="246">
        <f>IF(C32=C31,D31,D31+1)</f>
        <v>12</v>
      </c>
      <c r="E32" s="247"/>
      <c r="F32" s="248"/>
      <c r="G32" s="247"/>
      <c r="H32" s="248"/>
      <c r="I32" s="249"/>
      <c r="J32" s="561"/>
      <c r="K32" s="574">
        <f>IF(B32=Háttér_listák!$B$121,"",Beruházási_ktg_input!I32*Beruházási_ktg_input!J32)</f>
        <v>0</v>
      </c>
      <c r="L32" s="576">
        <f>IF(B32=Háttér_listák!$B$121,SUMIF(Beruházási_ktg_input!D32:$D$107,Beruházási_ktg_input!D32+1,Beruházási_ktg_input!L32:$L$107),Beruházási_ktg_input!$K32)</f>
        <v>0</v>
      </c>
      <c r="M32" s="570"/>
      <c r="N32" s="566">
        <v>0</v>
      </c>
      <c r="O32" s="559">
        <f>IF(B32=Háttér_listák!$B$121,SUMIF(Beruházási_ktg_input!$D105:D$107,Beruházási_ktg_input!D32+1,$O105:O$107),L32+N32)</f>
        <v>0</v>
      </c>
      <c r="P32" s="249">
        <v>0</v>
      </c>
      <c r="Q32" s="251"/>
      <c r="R32" s="248"/>
      <c r="S32" s="248"/>
      <c r="T32" s="67">
        <f>IF($B32=Háttér_listák!$B$121,SUMIF($D105:D$107,D32+1,$T105:T$107),IF(Q32=Háttér_listák!$B$125,Beruházási_ktg_input!L32,0))</f>
        <v>0</v>
      </c>
      <c r="U32" s="51">
        <f>IF($B32=Háttér_listák!$B$121,SUMIF($D105:D$107,D32+1,$U105:U$107),IF(AND(Q32=Háttér_listák!$B$125,Beruházási_ktg_input!S32=Háttér_listák!$B$130,Főoldal!$C$15="Igen"),Beruházási_ktg_input!N32,0))</f>
        <v>0</v>
      </c>
      <c r="V32" s="51">
        <f>SUM(T32:U32)</f>
        <v>0</v>
      </c>
      <c r="W32" s="51">
        <f>IF($B32=Háttér_listák!$B$121,SUMIF($D105:D$107,D32+1,$W105:W$107),IF(AND(Q32=Háttér_listák!$B$125,Beruházási_ktg_input!S32=Háttér_listák!$B$130,Főoldal!$C$15="Nem"),Beruházási_ktg_input!N32,0))</f>
        <v>0</v>
      </c>
      <c r="X32" s="51">
        <f>IF($B32=Háttér_listák!$B$121,SUMIF($D105:D$107,D32+1,$X105:X$107),IF(AND(Q32=Háttér_listák!$B$125,Beruházási_ktg_input!S32=Háttér_listák!$B$129),Beruházási_ktg_input!N32,0))</f>
        <v>0</v>
      </c>
      <c r="Y32" s="51">
        <f>IF($B32=Háttér_listák!$B$121,SUMIF($D105:D$107,D32+1,$Y105:Y$107),IF(Q32=Háttér_listák!$B$126,Beruházási_ktg_input!L32,0))</f>
        <v>0</v>
      </c>
      <c r="Z32" s="51">
        <f>IF($B32=Háttér_listák!$B$121,SUMIF($D105:D$107,D32+1,$Z105:Z$107),IF(AND(Q32=Háttér_listák!$B$126,Beruházási_ktg_input!S32=Háttér_listák!$B$129),Beruházási_ktg_input!N32,0))</f>
        <v>0</v>
      </c>
      <c r="AA32" s="51">
        <f>IF($B32=Háttér_listák!$B$121,SUMIF($D105:D$107,D32+1,$AA105:AA$107),IF(AND(Q32=Háttér_listák!$B$126,Beruházási_ktg_input!S32=Háttér_listák!$B$130),Beruházási_ktg_input!N32,0))</f>
        <v>0</v>
      </c>
      <c r="AB32" s="51">
        <f>Y32+AA32</f>
        <v>0</v>
      </c>
      <c r="AC32" s="51">
        <f>V32+AB32</f>
        <v>0</v>
      </c>
      <c r="AD32" s="51">
        <f>SUM(W32:AA32)</f>
        <v>0</v>
      </c>
      <c r="AE32" s="68">
        <f>V32+AD32</f>
        <v>0</v>
      </c>
      <c r="AF32" s="258"/>
      <c r="AG32" s="259"/>
      <c r="AH32" s="259"/>
      <c r="AI32" s="259"/>
      <c r="AJ32" s="260"/>
      <c r="AK32" s="70" t="str">
        <f>IF(SUM(AF32:AJ32)=0,"",IF(SUM(AF32:AJ32)=1,Háttér_listák!$B$133,Háttér_listák!$B$134))</f>
        <v/>
      </c>
      <c r="AL32" s="67">
        <f>IF($AE32=0,0,IF($B32=Háttér_listák!$B$122,Beruházási_ktg_input!$V32*Beruházási_ktg_input!AF32,""))</f>
        <v>0</v>
      </c>
      <c r="AM32" s="51">
        <f>IF($AE32=0,0,IF($B32=Háttér_listák!$B$122,Beruházási_ktg_input!$V32*Beruházási_ktg_input!AG32,""))</f>
        <v>0</v>
      </c>
      <c r="AN32" s="51">
        <f>IF($AE32=0,0,IF($B32=Háttér_listák!$B$122,Beruházási_ktg_input!$V32*Beruházási_ktg_input!AH32,""))</f>
        <v>0</v>
      </c>
      <c r="AO32" s="51">
        <f>IF($AE32=0,0,IF($B32=Háttér_listák!$B$122,Beruházási_ktg_input!$V32*Beruházási_ktg_input!AI32,""))</f>
        <v>0</v>
      </c>
      <c r="AP32" s="68">
        <f>IF($AE32=0,0,IF($B32=Háttér_listák!$B$122,Beruházási_ktg_input!$V32*Beruházási_ktg_input!AJ32,""))</f>
        <v>0</v>
      </c>
      <c r="AQ32" s="67">
        <f>IF($AE32=0,0,IF($B32=Háttér_listák!$B$122,Beruházási_ktg_input!$AD32*Beruházási_ktg_input!AF32,""))</f>
        <v>0</v>
      </c>
      <c r="AR32" s="51">
        <f>IF($AE32=0,0,IF($B32=Háttér_listák!$B$122,Beruházási_ktg_input!$AD32*Beruházási_ktg_input!AG32,""))</f>
        <v>0</v>
      </c>
      <c r="AS32" s="51">
        <f>IF($AE32=0,0,IF($B32=Háttér_listák!$B$122,Beruházási_ktg_input!$AD32*Beruházási_ktg_input!AH32,""))</f>
        <v>0</v>
      </c>
      <c r="AT32" s="51">
        <f>IF($AE32=0,0,IF($B32=Háttér_listák!$B$122,Beruházási_ktg_input!$AD32*Beruházási_ktg_input!AI32,""))</f>
        <v>0</v>
      </c>
      <c r="AU32" s="71">
        <f>IF($AE32=0,0,IF($B32=Háttér_listák!$B$122,Beruházási_ktg_input!$AD32*Beruházási_ktg_input!AJ32,""))</f>
        <v>0</v>
      </c>
      <c r="AV32" s="67">
        <f>IF($AE32=0,0,IF($B32=Háttér_listák!$B$122,($T32+$Y32)*AF32,""))</f>
        <v>0</v>
      </c>
      <c r="AW32" s="51">
        <f>IF($AE32=0,0,IF($B32=Háttér_listák!$B$122,($T32+$Y32)*AG32,""))</f>
        <v>0</v>
      </c>
      <c r="AX32" s="51">
        <f>IF($AE32=0,0,IF($B32=Háttér_listák!$B$122,($T32+$Y32)*AH32,""))</f>
        <v>0</v>
      </c>
      <c r="AY32" s="51">
        <f>IF($AE32=0,0,IF($B32=Háttér_listák!$B$122,($T32+$Y32)*AI32,""))</f>
        <v>0</v>
      </c>
      <c r="AZ32" s="68">
        <f>IF($AE32=0,0,IF($B32=Háttér_listák!$B$122,($T32+$Y32)*AJ32,""))</f>
        <v>0</v>
      </c>
    </row>
    <row r="33" spans="2:52">
      <c r="B33" s="251"/>
      <c r="C33" s="246">
        <f>IF(B33=Háttér_listák!$B$121,1,0)</f>
        <v>0</v>
      </c>
      <c r="D33" s="246">
        <f t="shared" ref="D33:D104" si="6">IF(C33=C32,D32,D32+1)</f>
        <v>12</v>
      </c>
      <c r="E33" s="247"/>
      <c r="F33" s="248"/>
      <c r="G33" s="247"/>
      <c r="H33" s="248"/>
      <c r="I33" s="249"/>
      <c r="J33" s="561"/>
      <c r="K33" s="574">
        <f>IF(B33=Háttér_listák!$B$121,"",Beruházási_ktg_input!I33*Beruházási_ktg_input!J33)</f>
        <v>0</v>
      </c>
      <c r="L33" s="576">
        <f>IF(B33=Háttér_listák!$B$121,SUMIF(Beruházási_ktg_input!D33:$D$107,Beruházási_ktg_input!D33+1,Beruházási_ktg_input!L33:$L$107),Beruházási_ktg_input!$K33)</f>
        <v>0</v>
      </c>
      <c r="M33" s="570"/>
      <c r="N33" s="566">
        <v>0</v>
      </c>
      <c r="O33" s="559">
        <f>IF(B33=Háttér_listák!$B$121,SUMIF(Beruházási_ktg_input!$D106:D$107,Beruházási_ktg_input!D33+1,$O106:O$107),L33+N33)</f>
        <v>0</v>
      </c>
      <c r="P33" s="249">
        <v>0</v>
      </c>
      <c r="Q33" s="251"/>
      <c r="R33" s="248"/>
      <c r="S33" s="248"/>
      <c r="T33" s="67">
        <f>IF($B33=Háttér_listák!$B$121,SUMIF($D106:D$107,D33+1,$T106:T$107),IF(Q33=Háttér_listák!$B$125,Beruházási_ktg_input!L33,0))</f>
        <v>0</v>
      </c>
      <c r="U33" s="51">
        <f>IF($B33=Háttér_listák!$B$121,SUMIF($D106:D$107,D33+1,$U106:U$107),IF(AND(Q33=Háttér_listák!$B$125,Beruházási_ktg_input!S33=Háttér_listák!$B$130,Főoldal!$C$15="Igen"),Beruházási_ktg_input!N33,0))</f>
        <v>0</v>
      </c>
      <c r="V33" s="51">
        <f t="shared" ref="V33:V104" si="7">SUM(T33:U33)</f>
        <v>0</v>
      </c>
      <c r="W33" s="51">
        <f>IF($B33=Háttér_listák!$B$121,SUMIF($D106:D$107,D33+1,$W106:W$107),IF(AND(Q33=Háttér_listák!$B$125,Beruházási_ktg_input!S33=Háttér_listák!$B$130,Főoldal!$C$15="Nem"),Beruházási_ktg_input!N33,0))</f>
        <v>0</v>
      </c>
      <c r="X33" s="51">
        <f>IF($B33=Háttér_listák!$B$121,SUMIF($D106:D$107,D33+1,$X106:X$107),IF(AND(Q33=Háttér_listák!$B$125,Beruházási_ktg_input!S33=Háttér_listák!$B$129),Beruházási_ktg_input!N33,0))</f>
        <v>0</v>
      </c>
      <c r="Y33" s="51">
        <f>IF($B33=Háttér_listák!$B$121,SUMIF($D106:D$107,D33+1,$Y106:Y$107),IF(Q33=Háttér_listák!$B$126,Beruházási_ktg_input!L33,0))</f>
        <v>0</v>
      </c>
      <c r="Z33" s="51">
        <f>IF($B33=Háttér_listák!$B$121,SUMIF($D106:D$107,D33+1,$Z106:Z$107),IF(AND(Q33=Háttér_listák!$B$126,Beruházási_ktg_input!S33=Háttér_listák!$B$129),Beruházási_ktg_input!N33,0))</f>
        <v>0</v>
      </c>
      <c r="AA33" s="51">
        <f>IF($B33=Háttér_listák!$B$121,SUMIF($D106:D$107,D33+1,$AA106:AA$107),IF(AND(Q33=Háttér_listák!$B$126,Beruházási_ktg_input!S33=Háttér_listák!$B$130),Beruházási_ktg_input!N33,0))</f>
        <v>0</v>
      </c>
      <c r="AB33" s="51">
        <f t="shared" ref="AB33:AB104" si="8">Y33+AA33</f>
        <v>0</v>
      </c>
      <c r="AC33" s="51">
        <f t="shared" ref="AC33:AC104" si="9">V33+AB33</f>
        <v>0</v>
      </c>
      <c r="AD33" s="51">
        <f t="shared" ref="AD33:AD104" si="10">SUM(W33:AA33)</f>
        <v>0</v>
      </c>
      <c r="AE33" s="68">
        <f t="shared" ref="AE33:AE104" si="11">V33+AD33</f>
        <v>0</v>
      </c>
      <c r="AF33" s="258"/>
      <c r="AG33" s="259"/>
      <c r="AH33" s="259"/>
      <c r="AI33" s="259"/>
      <c r="AJ33" s="260"/>
      <c r="AK33" s="70" t="str">
        <f>IF(SUM(AF33:AJ33)=0,"",IF(SUM(AF33:AJ33)=1,Háttér_listák!$B$133,Háttér_listák!$B$134))</f>
        <v/>
      </c>
      <c r="AL33" s="67">
        <f>IF($AE33=0,0,IF($B33=Háttér_listák!$B$122,Beruházási_ktg_input!$V33*Beruházási_ktg_input!AF33,""))</f>
        <v>0</v>
      </c>
      <c r="AM33" s="51">
        <f>IF($AE33=0,0,IF($B33=Háttér_listák!$B$122,Beruházási_ktg_input!$V33*Beruházási_ktg_input!AG33,""))</f>
        <v>0</v>
      </c>
      <c r="AN33" s="51">
        <f>IF($AE33=0,0,IF($B33=Háttér_listák!$B$122,Beruházási_ktg_input!$V33*Beruházási_ktg_input!AH33,""))</f>
        <v>0</v>
      </c>
      <c r="AO33" s="51">
        <f>IF($AE33=0,0,IF($B33=Háttér_listák!$B$122,Beruházási_ktg_input!$V33*Beruházási_ktg_input!AI33,""))</f>
        <v>0</v>
      </c>
      <c r="AP33" s="68">
        <f>IF($AE33=0,0,IF($B33=Háttér_listák!$B$122,Beruházási_ktg_input!$V33*Beruházási_ktg_input!AJ33,""))</f>
        <v>0</v>
      </c>
      <c r="AQ33" s="67">
        <f>IF($AE33=0,0,IF($B33=Háttér_listák!$B$122,Beruházási_ktg_input!$AD33*Beruházási_ktg_input!AF33,""))</f>
        <v>0</v>
      </c>
      <c r="AR33" s="51">
        <f>IF($AE33=0,0,IF($B33=Háttér_listák!$B$122,Beruházási_ktg_input!$AD33*Beruházási_ktg_input!AG33,""))</f>
        <v>0</v>
      </c>
      <c r="AS33" s="51">
        <f>IF($AE33=0,0,IF($B33=Háttér_listák!$B$122,Beruházási_ktg_input!$AD33*Beruházási_ktg_input!AH33,""))</f>
        <v>0</v>
      </c>
      <c r="AT33" s="51">
        <f>IF($AE33=0,0,IF($B33=Háttér_listák!$B$122,Beruházási_ktg_input!$AD33*Beruházási_ktg_input!AI33,""))</f>
        <v>0</v>
      </c>
      <c r="AU33" s="71">
        <f>IF($AE33=0,0,IF($B33=Háttér_listák!$B$122,Beruházási_ktg_input!$AD33*Beruházási_ktg_input!AJ33,""))</f>
        <v>0</v>
      </c>
      <c r="AV33" s="67">
        <f>IF($AE33=0,0,IF($B33=Háttér_listák!$B$122,($T33+$Y33)*AF33,""))</f>
        <v>0</v>
      </c>
      <c r="AW33" s="51">
        <f>IF($AE33=0,0,IF($B33=Háttér_listák!$B$122,($T33+$Y33)*AG33,""))</f>
        <v>0</v>
      </c>
      <c r="AX33" s="51">
        <f>IF($AE33=0,0,IF($B33=Háttér_listák!$B$122,($T33+$Y33)*AH33,""))</f>
        <v>0</v>
      </c>
      <c r="AY33" s="51">
        <f>IF($AE33=0,0,IF($B33=Háttér_listák!$B$122,($T33+$Y33)*AI33,""))</f>
        <v>0</v>
      </c>
      <c r="AZ33" s="68">
        <f>IF($AE33=0,0,IF($B33=Háttér_listák!$B$122,($T33+$Y33)*AJ33,""))</f>
        <v>0</v>
      </c>
    </row>
    <row r="34" spans="2:52">
      <c r="B34" s="251"/>
      <c r="C34" s="246">
        <f>IF(B34=Háttér_listák!$B$121,1,0)</f>
        <v>0</v>
      </c>
      <c r="D34" s="246">
        <f t="shared" ref="D34:D42" si="12">IF(C34=C33,D33,D33+1)</f>
        <v>12</v>
      </c>
      <c r="E34" s="247"/>
      <c r="F34" s="248"/>
      <c r="G34" s="247"/>
      <c r="H34" s="248"/>
      <c r="I34" s="249"/>
      <c r="J34" s="561"/>
      <c r="K34" s="574">
        <f>IF(B34=Háttér_listák!$B$121,"",Beruházási_ktg_input!I34*Beruházási_ktg_input!J34)</f>
        <v>0</v>
      </c>
      <c r="L34" s="576">
        <f>IF(B34=Háttér_listák!$B$121,SUMIF(Beruházási_ktg_input!D34:$D$107,Beruházási_ktg_input!D34+1,Beruházási_ktg_input!L34:$L$107),Beruházási_ktg_input!$K34)</f>
        <v>0</v>
      </c>
      <c r="M34" s="570"/>
      <c r="N34" s="566">
        <v>0</v>
      </c>
      <c r="O34" s="559">
        <f>IF(B34=Háttér_listák!$B$121,SUMIF(Beruházási_ktg_input!$D107:D$107,Beruházási_ktg_input!D34+1,$O107:O$107),L34+N34)</f>
        <v>0</v>
      </c>
      <c r="P34" s="249">
        <v>0</v>
      </c>
      <c r="Q34" s="251"/>
      <c r="R34" s="248"/>
      <c r="S34" s="248"/>
      <c r="T34" s="67">
        <f>IF($B34=Háttér_listák!$B$121,SUMIF($D107:D$107,D34+1,$T107:T$107),IF(Q34=Háttér_listák!$B$125,Beruházási_ktg_input!L34,0))</f>
        <v>0</v>
      </c>
      <c r="U34" s="51">
        <f>IF($B34=Háttér_listák!$B$121,SUMIF($D107:D$107,D34+1,$U107:U$107),IF(AND(Q34=Háttér_listák!$B$125,Beruházási_ktg_input!S34=Háttér_listák!$B$130,Főoldal!$C$15="Igen"),Beruházási_ktg_input!N34,0))</f>
        <v>0</v>
      </c>
      <c r="V34" s="51">
        <f t="shared" ref="V34:V42" si="13">SUM(T34:U34)</f>
        <v>0</v>
      </c>
      <c r="W34" s="51">
        <f>IF($B34=Háttér_listák!$B$121,SUMIF($D107:D$107,D34+1,$W107:W$107),IF(AND(Q34=Háttér_listák!$B$125,Beruházási_ktg_input!S34=Háttér_listák!$B$130,Főoldal!$C$15="Nem"),Beruházási_ktg_input!N34,0))</f>
        <v>0</v>
      </c>
      <c r="X34" s="51">
        <f>IF($B34=Háttér_listák!$B$121,SUMIF($D107:D$107,D34+1,$X107:X$107),IF(AND(Q34=Háttér_listák!$B$125,Beruházási_ktg_input!S34=Háttér_listák!$B$129),Beruházási_ktg_input!N34,0))</f>
        <v>0</v>
      </c>
      <c r="Y34" s="51">
        <f>IF($B34=Háttér_listák!$B$121,SUMIF($D107:D$107,D34+1,$Y107:Y$107),IF(Q34=Háttér_listák!$B$126,Beruházási_ktg_input!L34,0))</f>
        <v>0</v>
      </c>
      <c r="Z34" s="51">
        <f>IF($B34=Háttér_listák!$B$121,SUMIF($D107:D$107,D34+1,$Z107:Z$107),IF(AND(Q34=Háttér_listák!$B$126,Beruházási_ktg_input!S34=Háttér_listák!$B$129),Beruházási_ktg_input!N34,0))</f>
        <v>0</v>
      </c>
      <c r="AA34" s="51">
        <f>IF($B34=Háttér_listák!$B$121,SUMIF($D107:D$107,D34+1,$AA107:AA$107),IF(AND(Q34=Háttér_listák!$B$126,Beruházási_ktg_input!S34=Háttér_listák!$B$130),Beruházási_ktg_input!N34,0))</f>
        <v>0</v>
      </c>
      <c r="AB34" s="51">
        <f t="shared" ref="AB34:AB42" si="14">Y34+AA34</f>
        <v>0</v>
      </c>
      <c r="AC34" s="51">
        <f t="shared" ref="AC34:AC42" si="15">V34+AB34</f>
        <v>0</v>
      </c>
      <c r="AD34" s="51">
        <f t="shared" ref="AD34:AD42" si="16">SUM(W34:AA34)</f>
        <v>0</v>
      </c>
      <c r="AE34" s="68">
        <f t="shared" ref="AE34:AE42" si="17">V34+AD34</f>
        <v>0</v>
      </c>
      <c r="AF34" s="258"/>
      <c r="AG34" s="259"/>
      <c r="AH34" s="259"/>
      <c r="AI34" s="259"/>
      <c r="AJ34" s="260"/>
      <c r="AK34" s="70" t="str">
        <f>IF(SUM(AF34:AJ34)=0,"",IF(SUM(AF34:AJ34)=1,Háttér_listák!$B$133,Háttér_listák!$B$134))</f>
        <v/>
      </c>
      <c r="AL34" s="67">
        <f>IF($AE34=0,0,IF($B34=Háttér_listák!$B$122,Beruházási_ktg_input!$V34*Beruházási_ktg_input!AF34,""))</f>
        <v>0</v>
      </c>
      <c r="AM34" s="51">
        <f>IF($AE34=0,0,IF($B34=Háttér_listák!$B$122,Beruházási_ktg_input!$V34*Beruházási_ktg_input!AG34,""))</f>
        <v>0</v>
      </c>
      <c r="AN34" s="51">
        <f>IF($AE34=0,0,IF($B34=Háttér_listák!$B$122,Beruházási_ktg_input!$V34*Beruházási_ktg_input!AH34,""))</f>
        <v>0</v>
      </c>
      <c r="AO34" s="51">
        <f>IF($AE34=0,0,IF($B34=Háttér_listák!$B$122,Beruházási_ktg_input!$V34*Beruházási_ktg_input!AI34,""))</f>
        <v>0</v>
      </c>
      <c r="AP34" s="68">
        <f>IF($AE34=0,0,IF($B34=Háttér_listák!$B$122,Beruházási_ktg_input!$V34*Beruházási_ktg_input!AJ34,""))</f>
        <v>0</v>
      </c>
      <c r="AQ34" s="67">
        <f>IF($AE34=0,0,IF($B34=Háttér_listák!$B$122,Beruházási_ktg_input!$AD34*Beruházási_ktg_input!AF34,""))</f>
        <v>0</v>
      </c>
      <c r="AR34" s="51">
        <f>IF($AE34=0,0,IF($B34=Háttér_listák!$B$122,Beruházási_ktg_input!$AD34*Beruházási_ktg_input!AG34,""))</f>
        <v>0</v>
      </c>
      <c r="AS34" s="51">
        <f>IF($AE34=0,0,IF($B34=Háttér_listák!$B$122,Beruházási_ktg_input!$AD34*Beruházási_ktg_input!AH34,""))</f>
        <v>0</v>
      </c>
      <c r="AT34" s="51">
        <f>IF($AE34=0,0,IF($B34=Háttér_listák!$B$122,Beruházási_ktg_input!$AD34*Beruházási_ktg_input!AI34,""))</f>
        <v>0</v>
      </c>
      <c r="AU34" s="71">
        <f>IF($AE34=0,0,IF($B34=Háttér_listák!$B$122,Beruházási_ktg_input!$AD34*Beruházási_ktg_input!AJ34,""))</f>
        <v>0</v>
      </c>
      <c r="AV34" s="67">
        <f>IF($AE34=0,0,IF($B34=Háttér_listák!$B$122,($T34+$Y34)*AF34,""))</f>
        <v>0</v>
      </c>
      <c r="AW34" s="51">
        <f>IF($AE34=0,0,IF($B34=Háttér_listák!$B$122,($T34+$Y34)*AG34,""))</f>
        <v>0</v>
      </c>
      <c r="AX34" s="51">
        <f>IF($AE34=0,0,IF($B34=Háttér_listák!$B$122,($T34+$Y34)*AH34,""))</f>
        <v>0</v>
      </c>
      <c r="AY34" s="51">
        <f>IF($AE34=0,0,IF($B34=Háttér_listák!$B$122,($T34+$Y34)*AI34,""))</f>
        <v>0</v>
      </c>
      <c r="AZ34" s="68">
        <f>IF($AE34=0,0,IF($B34=Háttér_listák!$B$122,($T34+$Y34)*AJ34,""))</f>
        <v>0</v>
      </c>
    </row>
    <row r="35" spans="2:52">
      <c r="B35" s="251"/>
      <c r="C35" s="246">
        <f>IF(B35=Háttér_listák!$B$121,1,0)</f>
        <v>0</v>
      </c>
      <c r="D35" s="246">
        <f t="shared" si="12"/>
        <v>12</v>
      </c>
      <c r="E35" s="247"/>
      <c r="F35" s="248"/>
      <c r="G35" s="247"/>
      <c r="H35" s="248"/>
      <c r="I35" s="249"/>
      <c r="J35" s="561"/>
      <c r="K35" s="574">
        <f>IF(B35=Háttér_listák!$B$121,"",Beruházási_ktg_input!I35*Beruházási_ktg_input!J35)</f>
        <v>0</v>
      </c>
      <c r="L35" s="576">
        <f>IF(B35=Háttér_listák!$B$121,SUMIF(Beruházási_ktg_input!D35:$D$107,Beruházási_ktg_input!D35+1,Beruházási_ktg_input!L35:$L$107),Beruházási_ktg_input!$K35)</f>
        <v>0</v>
      </c>
      <c r="M35" s="570"/>
      <c r="N35" s="566">
        <v>0</v>
      </c>
      <c r="O35" s="559">
        <f>IF(B35=Háttér_listák!$B$121,SUMIF(Beruházási_ktg_input!$D$107:D108,Beruházási_ktg_input!D35+1,$O$107:O108),L35+N35)</f>
        <v>0</v>
      </c>
      <c r="P35" s="249">
        <v>0</v>
      </c>
      <c r="Q35" s="251"/>
      <c r="R35" s="248"/>
      <c r="S35" s="248"/>
      <c r="T35" s="67">
        <f>IF($B35=Háttér_listák!$B$121,SUMIF($D$107:D108,D35+1,$T$107:T108),IF(Q35=Háttér_listák!$B$125,Beruházási_ktg_input!L35,0))</f>
        <v>0</v>
      </c>
      <c r="U35" s="51">
        <f>IF($B35=Háttér_listák!$B$121,SUMIF($D$107:D108,D35+1,$U$107:U108),IF(AND(Q35=Háttér_listák!$B$125,Beruházási_ktg_input!S35=Háttér_listák!$B$130,Főoldal!$C$15="Igen"),Beruházási_ktg_input!N35,0))</f>
        <v>0</v>
      </c>
      <c r="V35" s="51">
        <f t="shared" si="13"/>
        <v>0</v>
      </c>
      <c r="W35" s="51">
        <f>IF($B35=Háttér_listák!$B$121,SUMIF($D$107:D108,D35+1,$W$107:W108),IF(AND(Q35=Háttér_listák!$B$125,Beruházási_ktg_input!S35=Háttér_listák!$B$130,Főoldal!$C$15="Nem"),Beruházási_ktg_input!N35,0))</f>
        <v>0</v>
      </c>
      <c r="X35" s="51">
        <f>IF($B35=Háttér_listák!$B$121,SUMIF($D$107:D108,D35+1,$X$107:X108),IF(AND(Q35=Háttér_listák!$B$125,Beruházási_ktg_input!S35=Háttér_listák!$B$129),Beruházási_ktg_input!N35,0))</f>
        <v>0</v>
      </c>
      <c r="Y35" s="51">
        <f>IF($B35=Háttér_listák!$B$121,SUMIF($D$107:D108,D35+1,$Y$107:Y108),IF(Q35=Háttér_listák!$B$126,Beruházási_ktg_input!L35,0))</f>
        <v>0</v>
      </c>
      <c r="Z35" s="51">
        <f>IF($B35=Háttér_listák!$B$121,SUMIF($D$107:D108,D35+1,$Z$107:Z108),IF(AND(Q35=Háttér_listák!$B$126,Beruházási_ktg_input!S35=Háttér_listák!$B$129),Beruházási_ktg_input!N35,0))</f>
        <v>0</v>
      </c>
      <c r="AA35" s="51">
        <f>IF($B35=Háttér_listák!$B$121,SUMIF($D$107:D108,D35+1,$AA$107:AA108),IF(AND(Q35=Háttér_listák!$B$126,Beruházási_ktg_input!S35=Háttér_listák!$B$130),Beruházási_ktg_input!N35,0))</f>
        <v>0</v>
      </c>
      <c r="AB35" s="51">
        <f t="shared" si="14"/>
        <v>0</v>
      </c>
      <c r="AC35" s="51">
        <f t="shared" si="15"/>
        <v>0</v>
      </c>
      <c r="AD35" s="51">
        <f t="shared" si="16"/>
        <v>0</v>
      </c>
      <c r="AE35" s="68">
        <f t="shared" si="17"/>
        <v>0</v>
      </c>
      <c r="AF35" s="258"/>
      <c r="AG35" s="259"/>
      <c r="AH35" s="259"/>
      <c r="AI35" s="259"/>
      <c r="AJ35" s="260"/>
      <c r="AK35" s="70" t="str">
        <f>IF(SUM(AF35:AJ35)=0,"",IF(SUM(AF35:AJ35)=1,Háttér_listák!$B$133,Háttér_listák!$B$134))</f>
        <v/>
      </c>
      <c r="AL35" s="67">
        <f>IF($AE35=0,0,IF($B35=Háttér_listák!$B$122,Beruházási_ktg_input!$V35*Beruházási_ktg_input!AF35,""))</f>
        <v>0</v>
      </c>
      <c r="AM35" s="51">
        <f>IF($AE35=0,0,IF($B35=Háttér_listák!$B$122,Beruházási_ktg_input!$V35*Beruházási_ktg_input!AG35,""))</f>
        <v>0</v>
      </c>
      <c r="AN35" s="51">
        <f>IF($AE35=0,0,IF($B35=Háttér_listák!$B$122,Beruházási_ktg_input!$V35*Beruházási_ktg_input!AH35,""))</f>
        <v>0</v>
      </c>
      <c r="AO35" s="51">
        <f>IF($AE35=0,0,IF($B35=Háttér_listák!$B$122,Beruházási_ktg_input!$V35*Beruházási_ktg_input!AI35,""))</f>
        <v>0</v>
      </c>
      <c r="AP35" s="68">
        <f>IF($AE35=0,0,IF($B35=Háttér_listák!$B$122,Beruházási_ktg_input!$V35*Beruházási_ktg_input!AJ35,""))</f>
        <v>0</v>
      </c>
      <c r="AQ35" s="67">
        <f>IF($AE35=0,0,IF($B35=Háttér_listák!$B$122,Beruházási_ktg_input!$AD35*Beruházási_ktg_input!AF35,""))</f>
        <v>0</v>
      </c>
      <c r="AR35" s="51">
        <f>IF($AE35=0,0,IF($B35=Háttér_listák!$B$122,Beruházási_ktg_input!$AD35*Beruházási_ktg_input!AG35,""))</f>
        <v>0</v>
      </c>
      <c r="AS35" s="51">
        <f>IF($AE35=0,0,IF($B35=Háttér_listák!$B$122,Beruházási_ktg_input!$AD35*Beruházási_ktg_input!AH35,""))</f>
        <v>0</v>
      </c>
      <c r="AT35" s="51">
        <f>IF($AE35=0,0,IF($B35=Háttér_listák!$B$122,Beruházási_ktg_input!$AD35*Beruházási_ktg_input!AI35,""))</f>
        <v>0</v>
      </c>
      <c r="AU35" s="71">
        <f>IF($AE35=0,0,IF($B35=Háttér_listák!$B$122,Beruházási_ktg_input!$AD35*Beruházási_ktg_input!AJ35,""))</f>
        <v>0</v>
      </c>
      <c r="AV35" s="67">
        <f>IF($AE35=0,0,IF($B35=Háttér_listák!$B$122,($T35+$Y35)*AF35,""))</f>
        <v>0</v>
      </c>
      <c r="AW35" s="51">
        <f>IF($AE35=0,0,IF($B35=Háttér_listák!$B$122,($T35+$Y35)*AG35,""))</f>
        <v>0</v>
      </c>
      <c r="AX35" s="51">
        <f>IF($AE35=0,0,IF($B35=Háttér_listák!$B$122,($T35+$Y35)*AH35,""))</f>
        <v>0</v>
      </c>
      <c r="AY35" s="51">
        <f>IF($AE35=0,0,IF($B35=Háttér_listák!$B$122,($T35+$Y35)*AI35,""))</f>
        <v>0</v>
      </c>
      <c r="AZ35" s="68">
        <f>IF($AE35=0,0,IF($B35=Háttér_listák!$B$122,($T35+$Y35)*AJ35,""))</f>
        <v>0</v>
      </c>
    </row>
    <row r="36" spans="2:52">
      <c r="B36" s="251"/>
      <c r="C36" s="246">
        <f>IF(B36=Háttér_listák!$B$121,1,0)</f>
        <v>0</v>
      </c>
      <c r="D36" s="246">
        <f t="shared" si="12"/>
        <v>12</v>
      </c>
      <c r="E36" s="247"/>
      <c r="F36" s="248"/>
      <c r="G36" s="247"/>
      <c r="H36" s="248"/>
      <c r="I36" s="249"/>
      <c r="J36" s="561"/>
      <c r="K36" s="574">
        <f>IF(B36=Háttér_listák!$B$121,"",Beruházási_ktg_input!I36*Beruházási_ktg_input!J36)</f>
        <v>0</v>
      </c>
      <c r="L36" s="576">
        <f>IF(B36=Háttér_listák!$B$121,SUMIF(Beruházási_ktg_input!D36:$D$107,Beruházási_ktg_input!D36+1,Beruházási_ktg_input!L36:$L$107),Beruházási_ktg_input!$K36)</f>
        <v>0</v>
      </c>
      <c r="M36" s="570"/>
      <c r="N36" s="566">
        <v>0</v>
      </c>
      <c r="O36" s="559">
        <f>IF(B36=Háttér_listák!$B$121,SUMIF(Beruházási_ktg_input!$D$107:D109,Beruházási_ktg_input!D36+1,$O$107:O109),L36+N36)</f>
        <v>0</v>
      </c>
      <c r="P36" s="249">
        <v>0</v>
      </c>
      <c r="Q36" s="251"/>
      <c r="R36" s="248"/>
      <c r="S36" s="248"/>
      <c r="T36" s="67">
        <f>IF($B36=Háttér_listák!$B$121,SUMIF($D$107:D109,D36+1,$T$107:T109),IF(Q36=Háttér_listák!$B$125,Beruházási_ktg_input!L36,0))</f>
        <v>0</v>
      </c>
      <c r="U36" s="51">
        <f>IF($B36=Háttér_listák!$B$121,SUMIF($D$107:D109,D36+1,$U$107:U109),IF(AND(Q36=Háttér_listák!$B$125,Beruházási_ktg_input!S36=Háttér_listák!$B$130,Főoldal!$C$15="Igen"),Beruházási_ktg_input!N36,0))</f>
        <v>0</v>
      </c>
      <c r="V36" s="51">
        <f t="shared" si="13"/>
        <v>0</v>
      </c>
      <c r="W36" s="51">
        <f>IF($B36=Háttér_listák!$B$121,SUMIF($D$107:D109,D36+1,$W$107:W109),IF(AND(Q36=Háttér_listák!$B$125,Beruházási_ktg_input!S36=Háttér_listák!$B$130,Főoldal!$C$15="Nem"),Beruházási_ktg_input!N36,0))</f>
        <v>0</v>
      </c>
      <c r="X36" s="51">
        <f>IF($B36=Háttér_listák!$B$121,SUMIF($D$107:D109,D36+1,$X$107:X109),IF(AND(Q36=Háttér_listák!$B$125,Beruházási_ktg_input!S36=Háttér_listák!$B$129),Beruházási_ktg_input!N36,0))</f>
        <v>0</v>
      </c>
      <c r="Y36" s="51">
        <f>IF($B36=Háttér_listák!$B$121,SUMIF($D$107:D109,D36+1,$Y$107:Y109),IF(Q36=Háttér_listák!$B$126,Beruházási_ktg_input!L36,0))</f>
        <v>0</v>
      </c>
      <c r="Z36" s="51">
        <f>IF($B36=Háttér_listák!$B$121,SUMIF($D$107:D109,D36+1,$Z$107:Z109),IF(AND(Q36=Háttér_listák!$B$126,Beruházási_ktg_input!S36=Háttér_listák!$B$129),Beruházási_ktg_input!N36,0))</f>
        <v>0</v>
      </c>
      <c r="AA36" s="51">
        <f>IF($B36=Háttér_listák!$B$121,SUMIF($D$107:D109,D36+1,$AA$107:AA109),IF(AND(Q36=Háttér_listák!$B$126,Beruházási_ktg_input!S36=Háttér_listák!$B$130),Beruházási_ktg_input!N36,0))</f>
        <v>0</v>
      </c>
      <c r="AB36" s="51">
        <f t="shared" si="14"/>
        <v>0</v>
      </c>
      <c r="AC36" s="51">
        <f t="shared" si="15"/>
        <v>0</v>
      </c>
      <c r="AD36" s="51">
        <f t="shared" si="16"/>
        <v>0</v>
      </c>
      <c r="AE36" s="68">
        <f t="shared" si="17"/>
        <v>0</v>
      </c>
      <c r="AF36" s="258"/>
      <c r="AG36" s="259"/>
      <c r="AH36" s="259"/>
      <c r="AI36" s="259"/>
      <c r="AJ36" s="260"/>
      <c r="AK36" s="70" t="str">
        <f>IF(SUM(AF36:AJ36)=0,"",IF(SUM(AF36:AJ36)=1,Háttér_listák!$B$133,Háttér_listák!$B$134))</f>
        <v/>
      </c>
      <c r="AL36" s="67">
        <f>IF($AE36=0,0,IF($B36=Háttér_listák!$B$122,Beruházási_ktg_input!$V36*Beruházási_ktg_input!AF36,""))</f>
        <v>0</v>
      </c>
      <c r="AM36" s="51">
        <f>IF($AE36=0,0,IF($B36=Háttér_listák!$B$122,Beruházási_ktg_input!$V36*Beruházási_ktg_input!AG36,""))</f>
        <v>0</v>
      </c>
      <c r="AN36" s="51">
        <f>IF($AE36=0,0,IF($B36=Háttér_listák!$B$122,Beruházási_ktg_input!$V36*Beruházási_ktg_input!AH36,""))</f>
        <v>0</v>
      </c>
      <c r="AO36" s="51">
        <f>IF($AE36=0,0,IF($B36=Háttér_listák!$B$122,Beruházási_ktg_input!$V36*Beruházási_ktg_input!AI36,""))</f>
        <v>0</v>
      </c>
      <c r="AP36" s="68">
        <f>IF($AE36=0,0,IF($B36=Háttér_listák!$B$122,Beruházási_ktg_input!$V36*Beruházási_ktg_input!AJ36,""))</f>
        <v>0</v>
      </c>
      <c r="AQ36" s="67">
        <f>IF($AE36=0,0,IF($B36=Háttér_listák!$B$122,Beruházási_ktg_input!$AD36*Beruházási_ktg_input!AF36,""))</f>
        <v>0</v>
      </c>
      <c r="AR36" s="51">
        <f>IF($AE36=0,0,IF($B36=Háttér_listák!$B$122,Beruházási_ktg_input!$AD36*Beruházási_ktg_input!AG36,""))</f>
        <v>0</v>
      </c>
      <c r="AS36" s="51">
        <f>IF($AE36=0,0,IF($B36=Háttér_listák!$B$122,Beruházási_ktg_input!$AD36*Beruházási_ktg_input!AH36,""))</f>
        <v>0</v>
      </c>
      <c r="AT36" s="51">
        <f>IF($AE36=0,0,IF($B36=Háttér_listák!$B$122,Beruházási_ktg_input!$AD36*Beruházási_ktg_input!AI36,""))</f>
        <v>0</v>
      </c>
      <c r="AU36" s="71">
        <f>IF($AE36=0,0,IF($B36=Háttér_listák!$B$122,Beruházási_ktg_input!$AD36*Beruházási_ktg_input!AJ36,""))</f>
        <v>0</v>
      </c>
      <c r="AV36" s="67">
        <f>IF($AE36=0,0,IF($B36=Háttér_listák!$B$122,($T36+$Y36)*AF36,""))</f>
        <v>0</v>
      </c>
      <c r="AW36" s="51">
        <f>IF($AE36=0,0,IF($B36=Háttér_listák!$B$122,($T36+$Y36)*AG36,""))</f>
        <v>0</v>
      </c>
      <c r="AX36" s="51">
        <f>IF($AE36=0,0,IF($B36=Háttér_listák!$B$122,($T36+$Y36)*AH36,""))</f>
        <v>0</v>
      </c>
      <c r="AY36" s="51">
        <f>IF($AE36=0,0,IF($B36=Háttér_listák!$B$122,($T36+$Y36)*AI36,""))</f>
        <v>0</v>
      </c>
      <c r="AZ36" s="68">
        <f>IF($AE36=0,0,IF($B36=Háttér_listák!$B$122,($T36+$Y36)*AJ36,""))</f>
        <v>0</v>
      </c>
    </row>
    <row r="37" spans="2:52">
      <c r="B37" s="251"/>
      <c r="C37" s="246">
        <f>IF(B37=Háttér_listák!$B$121,1,0)</f>
        <v>0</v>
      </c>
      <c r="D37" s="246">
        <f t="shared" si="12"/>
        <v>12</v>
      </c>
      <c r="E37" s="247"/>
      <c r="F37" s="248"/>
      <c r="G37" s="247"/>
      <c r="H37" s="248"/>
      <c r="I37" s="249"/>
      <c r="J37" s="561"/>
      <c r="K37" s="574">
        <f>IF(B37=Háttér_listák!$B$121,"",Beruházási_ktg_input!I37*Beruházási_ktg_input!J37)</f>
        <v>0</v>
      </c>
      <c r="L37" s="576">
        <f>IF(B37=Háttér_listák!$B$121,SUMIF(Beruházási_ktg_input!D37:$D$107,Beruházási_ktg_input!D37+1,Beruházási_ktg_input!L37:$L$107),Beruházási_ktg_input!$K37)</f>
        <v>0</v>
      </c>
      <c r="M37" s="570"/>
      <c r="N37" s="566">
        <v>0</v>
      </c>
      <c r="O37" s="559">
        <f>IF(B37=Háttér_listák!$B$121,SUMIF(Beruházási_ktg_input!$D$107:D110,Beruházási_ktg_input!D37+1,$O$107:O110),L37+N37)</f>
        <v>0</v>
      </c>
      <c r="P37" s="249">
        <v>0</v>
      </c>
      <c r="Q37" s="251"/>
      <c r="R37" s="248"/>
      <c r="S37" s="248"/>
      <c r="T37" s="67">
        <f>IF($B37=Háttér_listák!$B$121,SUMIF($D$107:D110,D37+1,$T$107:T110),IF(Q37=Háttér_listák!$B$125,Beruházási_ktg_input!L37,0))</f>
        <v>0</v>
      </c>
      <c r="U37" s="51">
        <f>IF($B37=Háttér_listák!$B$121,SUMIF($D$107:D110,D37+1,$U$107:U110),IF(AND(Q37=Háttér_listák!$B$125,Beruházási_ktg_input!S37=Háttér_listák!$B$130,Főoldal!$C$15="Igen"),Beruházási_ktg_input!N37,0))</f>
        <v>0</v>
      </c>
      <c r="V37" s="51">
        <f t="shared" si="13"/>
        <v>0</v>
      </c>
      <c r="W37" s="51">
        <f>IF($B37=Háttér_listák!$B$121,SUMIF($D$107:D110,D37+1,$W$107:W110),IF(AND(Q37=Háttér_listák!$B$125,Beruházási_ktg_input!S37=Háttér_listák!$B$130,Főoldal!$C$15="Nem"),Beruházási_ktg_input!N37,0))</f>
        <v>0</v>
      </c>
      <c r="X37" s="51">
        <f>IF($B37=Háttér_listák!$B$121,SUMIF($D$107:D110,D37+1,$X$107:X110),IF(AND(Q37=Háttér_listák!$B$125,Beruházási_ktg_input!S37=Háttér_listák!$B$129),Beruházási_ktg_input!N37,0))</f>
        <v>0</v>
      </c>
      <c r="Y37" s="51">
        <f>IF($B37=Háttér_listák!$B$121,SUMIF($D$107:D110,D37+1,$Y$107:Y110),IF(Q37=Háttér_listák!$B$126,Beruházási_ktg_input!L37,0))</f>
        <v>0</v>
      </c>
      <c r="Z37" s="51">
        <f>IF($B37=Háttér_listák!$B$121,SUMIF($D$107:D110,D37+1,$Z$107:Z110),IF(AND(Q37=Háttér_listák!$B$126,Beruházási_ktg_input!S37=Háttér_listák!$B$129),Beruházási_ktg_input!N37,0))</f>
        <v>0</v>
      </c>
      <c r="AA37" s="51">
        <f>IF($B37=Háttér_listák!$B$121,SUMIF($D$107:D110,D37+1,$AA$107:AA110),IF(AND(Q37=Háttér_listák!$B$126,Beruházási_ktg_input!S37=Háttér_listák!$B$130),Beruházási_ktg_input!N37,0))</f>
        <v>0</v>
      </c>
      <c r="AB37" s="51">
        <f t="shared" si="14"/>
        <v>0</v>
      </c>
      <c r="AC37" s="51">
        <f t="shared" si="15"/>
        <v>0</v>
      </c>
      <c r="AD37" s="51">
        <f t="shared" si="16"/>
        <v>0</v>
      </c>
      <c r="AE37" s="68">
        <f t="shared" si="17"/>
        <v>0</v>
      </c>
      <c r="AF37" s="258"/>
      <c r="AG37" s="259"/>
      <c r="AH37" s="259"/>
      <c r="AI37" s="259"/>
      <c r="AJ37" s="260"/>
      <c r="AK37" s="70" t="str">
        <f>IF(SUM(AF37:AJ37)=0,"",IF(SUM(AF37:AJ37)=1,Háttér_listák!$B$133,Háttér_listák!$B$134))</f>
        <v/>
      </c>
      <c r="AL37" s="67">
        <f>IF($AE37=0,0,IF($B37=Háttér_listák!$B$122,Beruházási_ktg_input!$V37*Beruházási_ktg_input!AF37,""))</f>
        <v>0</v>
      </c>
      <c r="AM37" s="51">
        <f>IF($AE37=0,0,IF($B37=Háttér_listák!$B$122,Beruházási_ktg_input!$V37*Beruházási_ktg_input!AG37,""))</f>
        <v>0</v>
      </c>
      <c r="AN37" s="51">
        <f>IF($AE37=0,0,IF($B37=Háttér_listák!$B$122,Beruházási_ktg_input!$V37*Beruházási_ktg_input!AH37,""))</f>
        <v>0</v>
      </c>
      <c r="AO37" s="51">
        <f>IF($AE37=0,0,IF($B37=Háttér_listák!$B$122,Beruházási_ktg_input!$V37*Beruházási_ktg_input!AI37,""))</f>
        <v>0</v>
      </c>
      <c r="AP37" s="68">
        <f>IF($AE37=0,0,IF($B37=Háttér_listák!$B$122,Beruházási_ktg_input!$V37*Beruházási_ktg_input!AJ37,""))</f>
        <v>0</v>
      </c>
      <c r="AQ37" s="67">
        <f>IF($AE37=0,0,IF($B37=Háttér_listák!$B$122,Beruházási_ktg_input!$AD37*Beruházási_ktg_input!AF37,""))</f>
        <v>0</v>
      </c>
      <c r="AR37" s="51">
        <f>IF($AE37=0,0,IF($B37=Háttér_listák!$B$122,Beruházási_ktg_input!$AD37*Beruházási_ktg_input!AG37,""))</f>
        <v>0</v>
      </c>
      <c r="AS37" s="51">
        <f>IF($AE37=0,0,IF($B37=Háttér_listák!$B$122,Beruházási_ktg_input!$AD37*Beruházási_ktg_input!AH37,""))</f>
        <v>0</v>
      </c>
      <c r="AT37" s="51">
        <f>IF($AE37=0,0,IF($B37=Háttér_listák!$B$122,Beruházási_ktg_input!$AD37*Beruházási_ktg_input!AI37,""))</f>
        <v>0</v>
      </c>
      <c r="AU37" s="71">
        <f>IF($AE37=0,0,IF($B37=Háttér_listák!$B$122,Beruházási_ktg_input!$AD37*Beruházási_ktg_input!AJ37,""))</f>
        <v>0</v>
      </c>
      <c r="AV37" s="67">
        <f>IF($AE37=0,0,IF($B37=Háttér_listák!$B$122,($T37+$Y37)*AF37,""))</f>
        <v>0</v>
      </c>
      <c r="AW37" s="51">
        <f>IF($AE37=0,0,IF($B37=Háttér_listák!$B$122,($T37+$Y37)*AG37,""))</f>
        <v>0</v>
      </c>
      <c r="AX37" s="51">
        <f>IF($AE37=0,0,IF($B37=Háttér_listák!$B$122,($T37+$Y37)*AH37,""))</f>
        <v>0</v>
      </c>
      <c r="AY37" s="51">
        <f>IF($AE37=0,0,IF($B37=Háttér_listák!$B$122,($T37+$Y37)*AI37,""))</f>
        <v>0</v>
      </c>
      <c r="AZ37" s="68">
        <f>IF($AE37=0,0,IF($B37=Háttér_listák!$B$122,($T37+$Y37)*AJ37,""))</f>
        <v>0</v>
      </c>
    </row>
    <row r="38" spans="2:52">
      <c r="B38" s="251"/>
      <c r="C38" s="246">
        <f>IF(B38=Háttér_listák!$B$121,1,0)</f>
        <v>0</v>
      </c>
      <c r="D38" s="246">
        <f t="shared" si="12"/>
        <v>12</v>
      </c>
      <c r="E38" s="247"/>
      <c r="F38" s="248"/>
      <c r="G38" s="247"/>
      <c r="H38" s="248"/>
      <c r="I38" s="249"/>
      <c r="J38" s="561"/>
      <c r="K38" s="574">
        <f>IF(B38=Háttér_listák!$B$121,"",Beruházási_ktg_input!I38*Beruházási_ktg_input!J38)</f>
        <v>0</v>
      </c>
      <c r="L38" s="576">
        <f>IF(B38=Háttér_listák!$B$121,SUMIF(Beruházási_ktg_input!D38:$D$107,Beruházási_ktg_input!D38+1,Beruházási_ktg_input!L38:$L$107),Beruházási_ktg_input!$K38)</f>
        <v>0</v>
      </c>
      <c r="M38" s="570"/>
      <c r="N38" s="566">
        <v>0</v>
      </c>
      <c r="O38" s="559">
        <f>IF(B38=Háttér_listák!$B$121,SUMIF(Beruházási_ktg_input!$D$107:D111,Beruházási_ktg_input!D38+1,$O$107:O111),L38+N38)</f>
        <v>0</v>
      </c>
      <c r="P38" s="249">
        <v>0</v>
      </c>
      <c r="Q38" s="251"/>
      <c r="R38" s="248"/>
      <c r="S38" s="248"/>
      <c r="T38" s="67">
        <f>IF($B38=Háttér_listák!$B$121,SUMIF($D$107:D111,D38+1,$T$107:T111),IF(Q38=Háttér_listák!$B$125,Beruházási_ktg_input!L38,0))</f>
        <v>0</v>
      </c>
      <c r="U38" s="51">
        <f>IF($B38=Háttér_listák!$B$121,SUMIF($D$107:D111,D38+1,$U$107:U111),IF(AND(Q38=Háttér_listák!$B$125,Beruházási_ktg_input!S38=Háttér_listák!$B$130,Főoldal!$C$15="Igen"),Beruházási_ktg_input!N38,0))</f>
        <v>0</v>
      </c>
      <c r="V38" s="51">
        <f t="shared" si="13"/>
        <v>0</v>
      </c>
      <c r="W38" s="51">
        <f>IF($B38=Háttér_listák!$B$121,SUMIF($D$107:D111,D38+1,$W$107:W111),IF(AND(Q38=Háttér_listák!$B$125,Beruházási_ktg_input!S38=Háttér_listák!$B$130,Főoldal!$C$15="Nem"),Beruházási_ktg_input!N38,0))</f>
        <v>0</v>
      </c>
      <c r="X38" s="51">
        <f>IF($B38=Háttér_listák!$B$121,SUMIF($D$107:D111,D38+1,$X$107:X111),IF(AND(Q38=Háttér_listák!$B$125,Beruházási_ktg_input!S38=Háttér_listák!$B$129),Beruházási_ktg_input!N38,0))</f>
        <v>0</v>
      </c>
      <c r="Y38" s="51">
        <f>IF($B38=Háttér_listák!$B$121,SUMIF($D$107:D111,D38+1,$Y$107:Y111),IF(Q38=Háttér_listák!$B$126,Beruházási_ktg_input!L38,0))</f>
        <v>0</v>
      </c>
      <c r="Z38" s="51">
        <f>IF($B38=Háttér_listák!$B$121,SUMIF($D$107:D111,D38+1,$Z$107:Z111),IF(AND(Q38=Háttér_listák!$B$126,Beruházási_ktg_input!S38=Háttér_listák!$B$129),Beruházási_ktg_input!N38,0))</f>
        <v>0</v>
      </c>
      <c r="AA38" s="51">
        <f>IF($B38=Háttér_listák!$B$121,SUMIF($D$107:D111,D38+1,$AA$107:AA111),IF(AND(Q38=Háttér_listák!$B$126,Beruházási_ktg_input!S38=Háttér_listák!$B$130),Beruházási_ktg_input!N38,0))</f>
        <v>0</v>
      </c>
      <c r="AB38" s="51">
        <f t="shared" si="14"/>
        <v>0</v>
      </c>
      <c r="AC38" s="51">
        <f t="shared" si="15"/>
        <v>0</v>
      </c>
      <c r="AD38" s="51">
        <f t="shared" si="16"/>
        <v>0</v>
      </c>
      <c r="AE38" s="68">
        <f t="shared" si="17"/>
        <v>0</v>
      </c>
      <c r="AF38" s="258"/>
      <c r="AG38" s="259"/>
      <c r="AH38" s="259"/>
      <c r="AI38" s="259"/>
      <c r="AJ38" s="260"/>
      <c r="AK38" s="70" t="str">
        <f>IF(SUM(AF38:AJ38)=0,"",IF(SUM(AF38:AJ38)=1,Háttér_listák!$B$133,Háttér_listák!$B$134))</f>
        <v/>
      </c>
      <c r="AL38" s="67">
        <f>IF($AE38=0,0,IF($B38=Háttér_listák!$B$122,Beruházási_ktg_input!$V38*Beruházási_ktg_input!AF38,""))</f>
        <v>0</v>
      </c>
      <c r="AM38" s="51">
        <f>IF($AE38=0,0,IF($B38=Háttér_listák!$B$122,Beruházási_ktg_input!$V38*Beruházási_ktg_input!AG38,""))</f>
        <v>0</v>
      </c>
      <c r="AN38" s="51">
        <f>IF($AE38=0,0,IF($B38=Háttér_listák!$B$122,Beruházási_ktg_input!$V38*Beruházási_ktg_input!AH38,""))</f>
        <v>0</v>
      </c>
      <c r="AO38" s="51">
        <f>IF($AE38=0,0,IF($B38=Háttér_listák!$B$122,Beruházási_ktg_input!$V38*Beruházási_ktg_input!AI38,""))</f>
        <v>0</v>
      </c>
      <c r="AP38" s="68">
        <f>IF($AE38=0,0,IF($B38=Háttér_listák!$B$122,Beruházási_ktg_input!$V38*Beruházási_ktg_input!AJ38,""))</f>
        <v>0</v>
      </c>
      <c r="AQ38" s="67">
        <f>IF($AE38=0,0,IF($B38=Háttér_listák!$B$122,Beruházási_ktg_input!$AD38*Beruházási_ktg_input!AF38,""))</f>
        <v>0</v>
      </c>
      <c r="AR38" s="51">
        <f>IF($AE38=0,0,IF($B38=Háttér_listák!$B$122,Beruházási_ktg_input!$AD38*Beruházási_ktg_input!AG38,""))</f>
        <v>0</v>
      </c>
      <c r="AS38" s="51">
        <f>IF($AE38=0,0,IF($B38=Háttér_listák!$B$122,Beruházási_ktg_input!$AD38*Beruházási_ktg_input!AH38,""))</f>
        <v>0</v>
      </c>
      <c r="AT38" s="51">
        <f>IF($AE38=0,0,IF($B38=Háttér_listák!$B$122,Beruházási_ktg_input!$AD38*Beruházási_ktg_input!AI38,""))</f>
        <v>0</v>
      </c>
      <c r="AU38" s="71">
        <f>IF($AE38=0,0,IF($B38=Háttér_listák!$B$122,Beruházási_ktg_input!$AD38*Beruházási_ktg_input!AJ38,""))</f>
        <v>0</v>
      </c>
      <c r="AV38" s="67">
        <f>IF($AE38=0,0,IF($B38=Háttér_listák!$B$122,($T38+$Y38)*AF38,""))</f>
        <v>0</v>
      </c>
      <c r="AW38" s="51">
        <f>IF($AE38=0,0,IF($B38=Háttér_listák!$B$122,($T38+$Y38)*AG38,""))</f>
        <v>0</v>
      </c>
      <c r="AX38" s="51">
        <f>IF($AE38=0,0,IF($B38=Háttér_listák!$B$122,($T38+$Y38)*AH38,""))</f>
        <v>0</v>
      </c>
      <c r="AY38" s="51">
        <f>IF($AE38=0,0,IF($B38=Háttér_listák!$B$122,($T38+$Y38)*AI38,""))</f>
        <v>0</v>
      </c>
      <c r="AZ38" s="68">
        <f>IF($AE38=0,0,IF($B38=Háttér_listák!$B$122,($T38+$Y38)*AJ38,""))</f>
        <v>0</v>
      </c>
    </row>
    <row r="39" spans="2:52">
      <c r="B39" s="251"/>
      <c r="C39" s="246">
        <f>IF(B39=Háttér_listák!$B$121,1,0)</f>
        <v>0</v>
      </c>
      <c r="D39" s="246">
        <f t="shared" si="12"/>
        <v>12</v>
      </c>
      <c r="E39" s="247"/>
      <c r="F39" s="248"/>
      <c r="G39" s="247"/>
      <c r="H39" s="248"/>
      <c r="I39" s="249"/>
      <c r="J39" s="561"/>
      <c r="K39" s="574">
        <f>IF(B39=Háttér_listák!$B$121,"",Beruházási_ktg_input!I39*Beruházási_ktg_input!J39)</f>
        <v>0</v>
      </c>
      <c r="L39" s="576">
        <f>IF(B39=Háttér_listák!$B$121,SUMIF(Beruházási_ktg_input!D39:$D$107,Beruházási_ktg_input!D39+1,Beruházási_ktg_input!L39:$L$107),Beruházási_ktg_input!$K39)</f>
        <v>0</v>
      </c>
      <c r="M39" s="570"/>
      <c r="N39" s="566">
        <v>0</v>
      </c>
      <c r="O39" s="559">
        <f>IF(B39=Háttér_listák!$B$121,SUMIF(Beruházási_ktg_input!$D$107:D112,Beruházási_ktg_input!D39+1,$O$107:O112),L39+N39)</f>
        <v>0</v>
      </c>
      <c r="P39" s="249">
        <v>0</v>
      </c>
      <c r="Q39" s="251"/>
      <c r="R39" s="248"/>
      <c r="S39" s="248"/>
      <c r="T39" s="67">
        <f>IF($B39=Háttér_listák!$B$121,SUMIF($D$107:D112,D39+1,$T$107:T112),IF(Q39=Háttér_listák!$B$125,Beruházási_ktg_input!L39,0))</f>
        <v>0</v>
      </c>
      <c r="U39" s="51">
        <f>IF($B39=Háttér_listák!$B$121,SUMIF($D$107:D112,D39+1,$U$107:U112),IF(AND(Q39=Háttér_listák!$B$125,Beruházási_ktg_input!S39=Háttér_listák!$B$130,Főoldal!$C$15="Igen"),Beruházási_ktg_input!N39,0))</f>
        <v>0</v>
      </c>
      <c r="V39" s="51">
        <f t="shared" si="13"/>
        <v>0</v>
      </c>
      <c r="W39" s="51">
        <f>IF($B39=Háttér_listák!$B$121,SUMIF($D$107:D112,D39+1,$W$107:W112),IF(AND(Q39=Háttér_listák!$B$125,Beruházási_ktg_input!S39=Háttér_listák!$B$130,Főoldal!$C$15="Nem"),Beruházási_ktg_input!N39,0))</f>
        <v>0</v>
      </c>
      <c r="X39" s="51">
        <f>IF($B39=Háttér_listák!$B$121,SUMIF($D$107:D112,D39+1,$X$107:X112),IF(AND(Q39=Háttér_listák!$B$125,Beruházási_ktg_input!S39=Háttér_listák!$B$129),Beruházási_ktg_input!N39,0))</f>
        <v>0</v>
      </c>
      <c r="Y39" s="51">
        <f>IF($B39=Háttér_listák!$B$121,SUMIF($D$107:D112,D39+1,$Y$107:Y112),IF(Q39=Háttér_listák!$B$126,Beruházási_ktg_input!L39,0))</f>
        <v>0</v>
      </c>
      <c r="Z39" s="51">
        <f>IF($B39=Háttér_listák!$B$121,SUMIF($D$107:D112,D39+1,$Z$107:Z112),IF(AND(Q39=Háttér_listák!$B$126,Beruházási_ktg_input!S39=Háttér_listák!$B$129),Beruházási_ktg_input!N39,0))</f>
        <v>0</v>
      </c>
      <c r="AA39" s="51">
        <f>IF($B39=Háttér_listák!$B$121,SUMIF($D$107:D112,D39+1,$AA$107:AA112),IF(AND(Q39=Háttér_listák!$B$126,Beruházási_ktg_input!S39=Háttér_listák!$B$130),Beruházási_ktg_input!N39,0))</f>
        <v>0</v>
      </c>
      <c r="AB39" s="51">
        <f t="shared" si="14"/>
        <v>0</v>
      </c>
      <c r="AC39" s="51">
        <f t="shared" si="15"/>
        <v>0</v>
      </c>
      <c r="AD39" s="51">
        <f t="shared" si="16"/>
        <v>0</v>
      </c>
      <c r="AE39" s="68">
        <f t="shared" si="17"/>
        <v>0</v>
      </c>
      <c r="AF39" s="258"/>
      <c r="AG39" s="259"/>
      <c r="AH39" s="259"/>
      <c r="AI39" s="259"/>
      <c r="AJ39" s="260"/>
      <c r="AK39" s="70" t="str">
        <f>IF(SUM(AF39:AJ39)=0,"",IF(SUM(AF39:AJ39)=1,Háttér_listák!$B$133,Háttér_listák!$B$134))</f>
        <v/>
      </c>
      <c r="AL39" s="67">
        <f>IF($AE39=0,0,IF($B39=Háttér_listák!$B$122,Beruházási_ktg_input!$V39*Beruházási_ktg_input!AF39,""))</f>
        <v>0</v>
      </c>
      <c r="AM39" s="51">
        <f>IF($AE39=0,0,IF($B39=Háttér_listák!$B$122,Beruházási_ktg_input!$V39*Beruházási_ktg_input!AG39,""))</f>
        <v>0</v>
      </c>
      <c r="AN39" s="51">
        <f>IF($AE39=0,0,IF($B39=Háttér_listák!$B$122,Beruházási_ktg_input!$V39*Beruházási_ktg_input!AH39,""))</f>
        <v>0</v>
      </c>
      <c r="AO39" s="51">
        <f>IF($AE39=0,0,IF($B39=Háttér_listák!$B$122,Beruházási_ktg_input!$V39*Beruházási_ktg_input!AI39,""))</f>
        <v>0</v>
      </c>
      <c r="AP39" s="68">
        <f>IF($AE39=0,0,IF($B39=Háttér_listák!$B$122,Beruházási_ktg_input!$V39*Beruházási_ktg_input!AJ39,""))</f>
        <v>0</v>
      </c>
      <c r="AQ39" s="67">
        <f>IF($AE39=0,0,IF($B39=Háttér_listák!$B$122,Beruházási_ktg_input!$AD39*Beruházási_ktg_input!AF39,""))</f>
        <v>0</v>
      </c>
      <c r="AR39" s="51">
        <f>IF($AE39=0,0,IF($B39=Háttér_listák!$B$122,Beruházási_ktg_input!$AD39*Beruházási_ktg_input!AG39,""))</f>
        <v>0</v>
      </c>
      <c r="AS39" s="51">
        <f>IF($AE39=0,0,IF($B39=Háttér_listák!$B$122,Beruházási_ktg_input!$AD39*Beruházási_ktg_input!AH39,""))</f>
        <v>0</v>
      </c>
      <c r="AT39" s="51">
        <f>IF($AE39=0,0,IF($B39=Háttér_listák!$B$122,Beruházási_ktg_input!$AD39*Beruházási_ktg_input!AI39,""))</f>
        <v>0</v>
      </c>
      <c r="AU39" s="71">
        <f>IF($AE39=0,0,IF($B39=Háttér_listák!$B$122,Beruházási_ktg_input!$AD39*Beruházási_ktg_input!AJ39,""))</f>
        <v>0</v>
      </c>
      <c r="AV39" s="67">
        <f>IF($AE39=0,0,IF($B39=Háttér_listák!$B$122,($T39+$Y39)*AF39,""))</f>
        <v>0</v>
      </c>
      <c r="AW39" s="51">
        <f>IF($AE39=0,0,IF($B39=Háttér_listák!$B$122,($T39+$Y39)*AG39,""))</f>
        <v>0</v>
      </c>
      <c r="AX39" s="51">
        <f>IF($AE39=0,0,IF($B39=Háttér_listák!$B$122,($T39+$Y39)*AH39,""))</f>
        <v>0</v>
      </c>
      <c r="AY39" s="51">
        <f>IF($AE39=0,0,IF($B39=Háttér_listák!$B$122,($T39+$Y39)*AI39,""))</f>
        <v>0</v>
      </c>
      <c r="AZ39" s="68">
        <f>IF($AE39=0,0,IF($B39=Háttér_listák!$B$122,($T39+$Y39)*AJ39,""))</f>
        <v>0</v>
      </c>
    </row>
    <row r="40" spans="2:52">
      <c r="B40" s="251"/>
      <c r="C40" s="246">
        <f>IF(B40=Háttér_listák!$B$121,1,0)</f>
        <v>0</v>
      </c>
      <c r="D40" s="246">
        <f t="shared" si="12"/>
        <v>12</v>
      </c>
      <c r="E40" s="247"/>
      <c r="F40" s="248"/>
      <c r="G40" s="247"/>
      <c r="H40" s="248"/>
      <c r="I40" s="249"/>
      <c r="J40" s="561"/>
      <c r="K40" s="574">
        <f>IF(B40=Háttér_listák!$B$121,"",Beruházási_ktg_input!I40*Beruházási_ktg_input!J40)</f>
        <v>0</v>
      </c>
      <c r="L40" s="576">
        <f>IF(B40=Háttér_listák!$B$121,SUMIF(Beruházási_ktg_input!D40:$D$107,Beruházási_ktg_input!D40+1,Beruházási_ktg_input!L40:$L$107),Beruházási_ktg_input!$K40)</f>
        <v>0</v>
      </c>
      <c r="M40" s="570"/>
      <c r="N40" s="566">
        <v>0</v>
      </c>
      <c r="O40" s="559">
        <f>IF(B40=Háttér_listák!$B$121,SUMIF(Beruházási_ktg_input!$D$107:D113,Beruházási_ktg_input!D40+1,$O$107:O113),L40+N40)</f>
        <v>0</v>
      </c>
      <c r="P40" s="249">
        <v>0</v>
      </c>
      <c r="Q40" s="251"/>
      <c r="R40" s="248"/>
      <c r="S40" s="248"/>
      <c r="T40" s="67">
        <f>IF($B40=Háttér_listák!$B$121,SUMIF($D$107:D113,D40+1,$T$107:T113),IF(Q40=Háttér_listák!$B$125,Beruházási_ktg_input!L40,0))</f>
        <v>0</v>
      </c>
      <c r="U40" s="51">
        <f>IF($B40=Háttér_listák!$B$121,SUMIF($D$107:D113,D40+1,$U$107:U113),IF(AND(Q40=Háttér_listák!$B$125,Beruházási_ktg_input!S40=Háttér_listák!$B$130,Főoldal!$C$15="Igen"),Beruházási_ktg_input!N40,0))</f>
        <v>0</v>
      </c>
      <c r="V40" s="51">
        <f t="shared" si="13"/>
        <v>0</v>
      </c>
      <c r="W40" s="51">
        <f>IF($B40=Háttér_listák!$B$121,SUMIF($D$107:D113,D40+1,$W$107:W113),IF(AND(Q40=Háttér_listák!$B$125,Beruházási_ktg_input!S40=Háttér_listák!$B$130,Főoldal!$C$15="Nem"),Beruházási_ktg_input!N40,0))</f>
        <v>0</v>
      </c>
      <c r="X40" s="51">
        <f>IF($B40=Háttér_listák!$B$121,SUMIF($D$107:D113,D40+1,$X$107:X113),IF(AND(Q40=Háttér_listák!$B$125,Beruházási_ktg_input!S40=Háttér_listák!$B$129),Beruházási_ktg_input!N40,0))</f>
        <v>0</v>
      </c>
      <c r="Y40" s="51">
        <f>IF($B40=Háttér_listák!$B$121,SUMIF($D$107:D113,D40+1,$Y$107:Y113),IF(Q40=Háttér_listák!$B$126,Beruházási_ktg_input!L40,0))</f>
        <v>0</v>
      </c>
      <c r="Z40" s="51">
        <f>IF($B40=Háttér_listák!$B$121,SUMIF($D$107:D113,D40+1,$Z$107:Z113),IF(AND(Q40=Háttér_listák!$B$126,Beruházási_ktg_input!S40=Háttér_listák!$B$129),Beruházási_ktg_input!N40,0))</f>
        <v>0</v>
      </c>
      <c r="AA40" s="51">
        <f>IF($B40=Háttér_listák!$B$121,SUMIF($D$107:D113,D40+1,$AA$107:AA113),IF(AND(Q40=Háttér_listák!$B$126,Beruházási_ktg_input!S40=Háttér_listák!$B$130),Beruházási_ktg_input!N40,0))</f>
        <v>0</v>
      </c>
      <c r="AB40" s="51">
        <f t="shared" si="14"/>
        <v>0</v>
      </c>
      <c r="AC40" s="51">
        <f t="shared" si="15"/>
        <v>0</v>
      </c>
      <c r="AD40" s="51">
        <f t="shared" si="16"/>
        <v>0</v>
      </c>
      <c r="AE40" s="68">
        <f t="shared" si="17"/>
        <v>0</v>
      </c>
      <c r="AF40" s="258"/>
      <c r="AG40" s="259"/>
      <c r="AH40" s="259"/>
      <c r="AI40" s="259"/>
      <c r="AJ40" s="260"/>
      <c r="AK40" s="70" t="str">
        <f>IF(SUM(AF40:AJ40)=0,"",IF(SUM(AF40:AJ40)=1,Háttér_listák!$B$133,Háttér_listák!$B$134))</f>
        <v/>
      </c>
      <c r="AL40" s="67">
        <f>IF($AE40=0,0,IF($B40=Háttér_listák!$B$122,Beruházási_ktg_input!$V40*Beruházási_ktg_input!AF40,""))</f>
        <v>0</v>
      </c>
      <c r="AM40" s="51">
        <f>IF($AE40=0,0,IF($B40=Háttér_listák!$B$122,Beruházási_ktg_input!$V40*Beruházási_ktg_input!AG40,""))</f>
        <v>0</v>
      </c>
      <c r="AN40" s="51">
        <f>IF($AE40=0,0,IF($B40=Háttér_listák!$B$122,Beruházási_ktg_input!$V40*Beruházási_ktg_input!AH40,""))</f>
        <v>0</v>
      </c>
      <c r="AO40" s="51">
        <f>IF($AE40=0,0,IF($B40=Háttér_listák!$B$122,Beruházási_ktg_input!$V40*Beruházási_ktg_input!AI40,""))</f>
        <v>0</v>
      </c>
      <c r="AP40" s="68">
        <f>IF($AE40=0,0,IF($B40=Háttér_listák!$B$122,Beruházási_ktg_input!$V40*Beruházási_ktg_input!AJ40,""))</f>
        <v>0</v>
      </c>
      <c r="AQ40" s="67">
        <f>IF($AE40=0,0,IF($B40=Háttér_listák!$B$122,Beruházási_ktg_input!$AD40*Beruházási_ktg_input!AF40,""))</f>
        <v>0</v>
      </c>
      <c r="AR40" s="51">
        <f>IF($AE40=0,0,IF($B40=Háttér_listák!$B$122,Beruházási_ktg_input!$AD40*Beruházási_ktg_input!AG40,""))</f>
        <v>0</v>
      </c>
      <c r="AS40" s="51">
        <f>IF($AE40=0,0,IF($B40=Háttér_listák!$B$122,Beruházási_ktg_input!$AD40*Beruházási_ktg_input!AH40,""))</f>
        <v>0</v>
      </c>
      <c r="AT40" s="51">
        <f>IF($AE40=0,0,IF($B40=Háttér_listák!$B$122,Beruházási_ktg_input!$AD40*Beruházási_ktg_input!AI40,""))</f>
        <v>0</v>
      </c>
      <c r="AU40" s="71">
        <f>IF($AE40=0,0,IF($B40=Háttér_listák!$B$122,Beruházási_ktg_input!$AD40*Beruházási_ktg_input!AJ40,""))</f>
        <v>0</v>
      </c>
      <c r="AV40" s="67">
        <f>IF($AE40=0,0,IF($B40=Háttér_listák!$B$122,($T40+$Y40)*AF40,""))</f>
        <v>0</v>
      </c>
      <c r="AW40" s="51">
        <f>IF($AE40=0,0,IF($B40=Háttér_listák!$B$122,($T40+$Y40)*AG40,""))</f>
        <v>0</v>
      </c>
      <c r="AX40" s="51">
        <f>IF($AE40=0,0,IF($B40=Háttér_listák!$B$122,($T40+$Y40)*AH40,""))</f>
        <v>0</v>
      </c>
      <c r="AY40" s="51">
        <f>IF($AE40=0,0,IF($B40=Háttér_listák!$B$122,($T40+$Y40)*AI40,""))</f>
        <v>0</v>
      </c>
      <c r="AZ40" s="68">
        <f>IF($AE40=0,0,IF($B40=Háttér_listák!$B$122,($T40+$Y40)*AJ40,""))</f>
        <v>0</v>
      </c>
    </row>
    <row r="41" spans="2:52">
      <c r="B41" s="251"/>
      <c r="C41" s="246">
        <f>IF(B41=Háttér_listák!$B$121,1,0)</f>
        <v>0</v>
      </c>
      <c r="D41" s="246">
        <f t="shared" si="12"/>
        <v>12</v>
      </c>
      <c r="E41" s="247"/>
      <c r="F41" s="248"/>
      <c r="G41" s="247"/>
      <c r="H41" s="248"/>
      <c r="I41" s="249"/>
      <c r="J41" s="561"/>
      <c r="K41" s="574">
        <f>IF(B41=Háttér_listák!$B$121,"",Beruházási_ktg_input!I41*Beruházási_ktg_input!J41)</f>
        <v>0</v>
      </c>
      <c r="L41" s="576">
        <f>IF(B41=Háttér_listák!$B$121,SUMIF(Beruházási_ktg_input!D41:$D$107,Beruházási_ktg_input!D41+1,Beruházási_ktg_input!L41:$L$107),Beruházási_ktg_input!$K41)</f>
        <v>0</v>
      </c>
      <c r="M41" s="570"/>
      <c r="N41" s="566">
        <v>0</v>
      </c>
      <c r="O41" s="559">
        <f>IF(B41=Háttér_listák!$B$121,SUMIF(Beruházási_ktg_input!$D$107:D114,Beruházási_ktg_input!D41+1,$O$107:O114),L41+N41)</f>
        <v>0</v>
      </c>
      <c r="P41" s="249">
        <v>0</v>
      </c>
      <c r="Q41" s="251"/>
      <c r="R41" s="248"/>
      <c r="S41" s="248"/>
      <c r="T41" s="67">
        <f>IF($B41=Háttér_listák!$B$121,SUMIF($D$107:D114,D41+1,$T$107:T114),IF(Q41=Háttér_listák!$B$125,Beruházási_ktg_input!L41,0))</f>
        <v>0</v>
      </c>
      <c r="U41" s="51">
        <f>IF($B41=Háttér_listák!$B$121,SUMIF($D$107:D114,D41+1,$U$107:U114),IF(AND(Q41=Háttér_listák!$B$125,Beruházási_ktg_input!S41=Háttér_listák!$B$130,Főoldal!$C$15="Igen"),Beruházási_ktg_input!N41,0))</f>
        <v>0</v>
      </c>
      <c r="V41" s="51">
        <f t="shared" si="13"/>
        <v>0</v>
      </c>
      <c r="W41" s="51">
        <f>IF($B41=Háttér_listák!$B$121,SUMIF($D$107:D114,D41+1,$W$107:W114),IF(AND(Q41=Háttér_listák!$B$125,Beruházási_ktg_input!S41=Háttér_listák!$B$130,Főoldal!$C$15="Nem"),Beruházási_ktg_input!N41,0))</f>
        <v>0</v>
      </c>
      <c r="X41" s="51">
        <f>IF($B41=Háttér_listák!$B$121,SUMIF($D$107:D114,D41+1,$X$107:X114),IF(AND(Q41=Háttér_listák!$B$125,Beruházási_ktg_input!S41=Háttér_listák!$B$129),Beruházási_ktg_input!N41,0))</f>
        <v>0</v>
      </c>
      <c r="Y41" s="51">
        <f>IF($B41=Háttér_listák!$B$121,SUMIF($D$107:D114,D41+1,$Y$107:Y114),IF(Q41=Háttér_listák!$B$126,Beruházási_ktg_input!L41,0))</f>
        <v>0</v>
      </c>
      <c r="Z41" s="51">
        <f>IF($B41=Háttér_listák!$B$121,SUMIF($D$107:D114,D41+1,$Z$107:Z114),IF(AND(Q41=Háttér_listák!$B$126,Beruházási_ktg_input!S41=Háttér_listák!$B$129),Beruházási_ktg_input!N41,0))</f>
        <v>0</v>
      </c>
      <c r="AA41" s="51">
        <f>IF($B41=Háttér_listák!$B$121,SUMIF($D$107:D114,D41+1,$AA$107:AA114),IF(AND(Q41=Háttér_listák!$B$126,Beruházási_ktg_input!S41=Háttér_listák!$B$130),Beruházási_ktg_input!N41,0))</f>
        <v>0</v>
      </c>
      <c r="AB41" s="51">
        <f t="shared" si="14"/>
        <v>0</v>
      </c>
      <c r="AC41" s="51">
        <f t="shared" si="15"/>
        <v>0</v>
      </c>
      <c r="AD41" s="51">
        <f t="shared" si="16"/>
        <v>0</v>
      </c>
      <c r="AE41" s="68">
        <f t="shared" si="17"/>
        <v>0</v>
      </c>
      <c r="AF41" s="258"/>
      <c r="AG41" s="259"/>
      <c r="AH41" s="259"/>
      <c r="AI41" s="259"/>
      <c r="AJ41" s="260"/>
      <c r="AK41" s="70" t="str">
        <f>IF(SUM(AF41:AJ41)=0,"",IF(SUM(AF41:AJ41)=1,Háttér_listák!$B$133,Háttér_listák!$B$134))</f>
        <v/>
      </c>
      <c r="AL41" s="67">
        <f>IF($AE41=0,0,IF($B41=Háttér_listák!$B$122,Beruházási_ktg_input!$V41*Beruházási_ktg_input!AF41,""))</f>
        <v>0</v>
      </c>
      <c r="AM41" s="51">
        <f>IF($AE41=0,0,IF($B41=Háttér_listák!$B$122,Beruházási_ktg_input!$V41*Beruházási_ktg_input!AG41,""))</f>
        <v>0</v>
      </c>
      <c r="AN41" s="51">
        <f>IF($AE41=0,0,IF($B41=Háttér_listák!$B$122,Beruházási_ktg_input!$V41*Beruházási_ktg_input!AH41,""))</f>
        <v>0</v>
      </c>
      <c r="AO41" s="51">
        <f>IF($AE41=0,0,IF($B41=Háttér_listák!$B$122,Beruházási_ktg_input!$V41*Beruházási_ktg_input!AI41,""))</f>
        <v>0</v>
      </c>
      <c r="AP41" s="68">
        <f>IF($AE41=0,0,IF($B41=Háttér_listák!$B$122,Beruházási_ktg_input!$V41*Beruházási_ktg_input!AJ41,""))</f>
        <v>0</v>
      </c>
      <c r="AQ41" s="67">
        <f>IF($AE41=0,0,IF($B41=Háttér_listák!$B$122,Beruházási_ktg_input!$AD41*Beruházási_ktg_input!AF41,""))</f>
        <v>0</v>
      </c>
      <c r="AR41" s="51">
        <f>IF($AE41=0,0,IF($B41=Háttér_listák!$B$122,Beruházási_ktg_input!$AD41*Beruházási_ktg_input!AG41,""))</f>
        <v>0</v>
      </c>
      <c r="AS41" s="51">
        <f>IF($AE41=0,0,IF($B41=Háttér_listák!$B$122,Beruházási_ktg_input!$AD41*Beruházási_ktg_input!AH41,""))</f>
        <v>0</v>
      </c>
      <c r="AT41" s="51">
        <f>IF($AE41=0,0,IF($B41=Háttér_listák!$B$122,Beruházási_ktg_input!$AD41*Beruházási_ktg_input!AI41,""))</f>
        <v>0</v>
      </c>
      <c r="AU41" s="71">
        <f>IF($AE41=0,0,IF($B41=Háttér_listák!$B$122,Beruházási_ktg_input!$AD41*Beruházási_ktg_input!AJ41,""))</f>
        <v>0</v>
      </c>
      <c r="AV41" s="67">
        <f>IF($AE41=0,0,IF($B41=Háttér_listák!$B$122,($T41+$Y41)*AF41,""))</f>
        <v>0</v>
      </c>
      <c r="AW41" s="51">
        <f>IF($AE41=0,0,IF($B41=Háttér_listák!$B$122,($T41+$Y41)*AG41,""))</f>
        <v>0</v>
      </c>
      <c r="AX41" s="51">
        <f>IF($AE41=0,0,IF($B41=Háttér_listák!$B$122,($T41+$Y41)*AH41,""))</f>
        <v>0</v>
      </c>
      <c r="AY41" s="51">
        <f>IF($AE41=0,0,IF($B41=Háttér_listák!$B$122,($T41+$Y41)*AI41,""))</f>
        <v>0</v>
      </c>
      <c r="AZ41" s="68">
        <f>IF($AE41=0,0,IF($B41=Háttér_listák!$B$122,($T41+$Y41)*AJ41,""))</f>
        <v>0</v>
      </c>
    </row>
    <row r="42" spans="2:52">
      <c r="B42" s="251"/>
      <c r="C42" s="246">
        <f>IF(B42=Háttér_listák!$B$121,1,0)</f>
        <v>0</v>
      </c>
      <c r="D42" s="246">
        <f t="shared" si="12"/>
        <v>12</v>
      </c>
      <c r="E42" s="247"/>
      <c r="F42" s="248"/>
      <c r="G42" s="247"/>
      <c r="H42" s="248"/>
      <c r="I42" s="249"/>
      <c r="J42" s="561"/>
      <c r="K42" s="574">
        <f>IF(B42=Háttér_listák!$B$121,"",Beruházási_ktg_input!I42*Beruházási_ktg_input!J42)</f>
        <v>0</v>
      </c>
      <c r="L42" s="576">
        <f>IF(B42=Háttér_listák!$B$121,SUMIF(Beruházási_ktg_input!D42:$D$107,Beruházási_ktg_input!D42+1,Beruházási_ktg_input!L42:$L$107),Beruházási_ktg_input!$K42)</f>
        <v>0</v>
      </c>
      <c r="M42" s="570"/>
      <c r="N42" s="566">
        <v>0</v>
      </c>
      <c r="O42" s="559">
        <f>IF(B42=Háttér_listák!$B$121,SUMIF(Beruházási_ktg_input!$D$107:D115,Beruházási_ktg_input!D42+1,$O$107:O115),L42+N42)</f>
        <v>0</v>
      </c>
      <c r="P42" s="249">
        <v>0</v>
      </c>
      <c r="Q42" s="251"/>
      <c r="R42" s="248"/>
      <c r="S42" s="248"/>
      <c r="T42" s="67">
        <f>IF($B42=Háttér_listák!$B$121,SUMIF($D$107:D115,D42+1,$T$107:T115),IF(Q42=Háttér_listák!$B$125,Beruházási_ktg_input!L42,0))</f>
        <v>0</v>
      </c>
      <c r="U42" s="51">
        <f>IF($B42=Háttér_listák!$B$121,SUMIF($D$107:D115,D42+1,$U$107:U115),IF(AND(Q42=Háttér_listák!$B$125,Beruházási_ktg_input!S42=Háttér_listák!$B$130,Főoldal!$C$15="Igen"),Beruházási_ktg_input!N42,0))</f>
        <v>0</v>
      </c>
      <c r="V42" s="51">
        <f t="shared" si="13"/>
        <v>0</v>
      </c>
      <c r="W42" s="51">
        <f>IF($B42=Háttér_listák!$B$121,SUMIF($D$107:D115,D42+1,$W$107:W115),IF(AND(Q42=Háttér_listák!$B$125,Beruházási_ktg_input!S42=Háttér_listák!$B$130,Főoldal!$C$15="Nem"),Beruházási_ktg_input!N42,0))</f>
        <v>0</v>
      </c>
      <c r="X42" s="51">
        <f>IF($B42=Háttér_listák!$B$121,SUMIF($D$107:D115,D42+1,$X$107:X115),IF(AND(Q42=Háttér_listák!$B$125,Beruházási_ktg_input!S42=Háttér_listák!$B$129),Beruházási_ktg_input!N42,0))</f>
        <v>0</v>
      </c>
      <c r="Y42" s="51">
        <f>IF($B42=Háttér_listák!$B$121,SUMIF($D$107:D115,D42+1,$Y$107:Y115),IF(Q42=Háttér_listák!$B$126,Beruházási_ktg_input!L42,0))</f>
        <v>0</v>
      </c>
      <c r="Z42" s="51">
        <f>IF($B42=Háttér_listák!$B$121,SUMIF($D$107:D115,D42+1,$Z$107:Z115),IF(AND(Q42=Háttér_listák!$B$126,Beruházási_ktg_input!S42=Háttér_listák!$B$129),Beruházási_ktg_input!N42,0))</f>
        <v>0</v>
      </c>
      <c r="AA42" s="51">
        <f>IF($B42=Háttér_listák!$B$121,SUMIF($D$107:D115,D42+1,$AA$107:AA115),IF(AND(Q42=Háttér_listák!$B$126,Beruházási_ktg_input!S42=Háttér_listák!$B$130),Beruházási_ktg_input!N42,0))</f>
        <v>0</v>
      </c>
      <c r="AB42" s="51">
        <f t="shared" si="14"/>
        <v>0</v>
      </c>
      <c r="AC42" s="51">
        <f t="shared" si="15"/>
        <v>0</v>
      </c>
      <c r="AD42" s="51">
        <f t="shared" si="16"/>
        <v>0</v>
      </c>
      <c r="AE42" s="68">
        <f t="shared" si="17"/>
        <v>0</v>
      </c>
      <c r="AF42" s="258"/>
      <c r="AG42" s="259"/>
      <c r="AH42" s="259"/>
      <c r="AI42" s="259"/>
      <c r="AJ42" s="260"/>
      <c r="AK42" s="70" t="str">
        <f>IF(SUM(AF42:AJ42)=0,"",IF(SUM(AF42:AJ42)=1,Háttér_listák!$B$133,Háttér_listák!$B$134))</f>
        <v/>
      </c>
      <c r="AL42" s="67">
        <f>IF($AE42=0,0,IF($B42=Háttér_listák!$B$122,Beruházási_ktg_input!$V42*Beruházási_ktg_input!AF42,""))</f>
        <v>0</v>
      </c>
      <c r="AM42" s="51">
        <f>IF($AE42=0,0,IF($B42=Háttér_listák!$B$122,Beruházási_ktg_input!$V42*Beruházási_ktg_input!AG42,""))</f>
        <v>0</v>
      </c>
      <c r="AN42" s="51">
        <f>IF($AE42=0,0,IF($B42=Háttér_listák!$B$122,Beruházási_ktg_input!$V42*Beruházási_ktg_input!AH42,""))</f>
        <v>0</v>
      </c>
      <c r="AO42" s="51">
        <f>IF($AE42=0,0,IF($B42=Háttér_listák!$B$122,Beruházási_ktg_input!$V42*Beruházási_ktg_input!AI42,""))</f>
        <v>0</v>
      </c>
      <c r="AP42" s="68">
        <f>IF($AE42=0,0,IF($B42=Háttér_listák!$B$122,Beruházási_ktg_input!$V42*Beruházási_ktg_input!AJ42,""))</f>
        <v>0</v>
      </c>
      <c r="AQ42" s="67">
        <f>IF($AE42=0,0,IF($B42=Háttér_listák!$B$122,Beruházási_ktg_input!$AD42*Beruházási_ktg_input!AF42,""))</f>
        <v>0</v>
      </c>
      <c r="AR42" s="51">
        <f>IF($AE42=0,0,IF($B42=Háttér_listák!$B$122,Beruházási_ktg_input!$AD42*Beruházási_ktg_input!AG42,""))</f>
        <v>0</v>
      </c>
      <c r="AS42" s="51">
        <f>IF($AE42=0,0,IF($B42=Háttér_listák!$B$122,Beruházási_ktg_input!$AD42*Beruházási_ktg_input!AH42,""))</f>
        <v>0</v>
      </c>
      <c r="AT42" s="51">
        <f>IF($AE42=0,0,IF($B42=Háttér_listák!$B$122,Beruházási_ktg_input!$AD42*Beruházási_ktg_input!AI42,""))</f>
        <v>0</v>
      </c>
      <c r="AU42" s="71">
        <f>IF($AE42=0,0,IF($B42=Háttér_listák!$B$122,Beruházási_ktg_input!$AD42*Beruházási_ktg_input!AJ42,""))</f>
        <v>0</v>
      </c>
      <c r="AV42" s="67">
        <f>IF($AE42=0,0,IF($B42=Háttér_listák!$B$122,($T42+$Y42)*AF42,""))</f>
        <v>0</v>
      </c>
      <c r="AW42" s="51">
        <f>IF($AE42=0,0,IF($B42=Háttér_listák!$B$122,($T42+$Y42)*AG42,""))</f>
        <v>0</v>
      </c>
      <c r="AX42" s="51">
        <f>IF($AE42=0,0,IF($B42=Háttér_listák!$B$122,($T42+$Y42)*AH42,""))</f>
        <v>0</v>
      </c>
      <c r="AY42" s="51">
        <f>IF($AE42=0,0,IF($B42=Háttér_listák!$B$122,($T42+$Y42)*AI42,""))</f>
        <v>0</v>
      </c>
      <c r="AZ42" s="68">
        <f>IF($AE42=0,0,IF($B42=Háttér_listák!$B$122,($T42+$Y42)*AJ42,""))</f>
        <v>0</v>
      </c>
    </row>
    <row r="43" spans="2:52">
      <c r="B43" s="251"/>
      <c r="C43" s="246">
        <f>IF(B43=Háttér_listák!$B$121,1,0)</f>
        <v>0</v>
      </c>
      <c r="D43" s="246">
        <f t="shared" si="6"/>
        <v>12</v>
      </c>
      <c r="E43" s="247"/>
      <c r="F43" s="248"/>
      <c r="G43" s="247"/>
      <c r="H43" s="248"/>
      <c r="I43" s="249"/>
      <c r="J43" s="561"/>
      <c r="K43" s="574">
        <f>IF(B43=Háttér_listák!$B$121,"",Beruházási_ktg_input!I43*Beruházási_ktg_input!J43)</f>
        <v>0</v>
      </c>
      <c r="L43" s="576">
        <f>IF(B43=Háttér_listák!$B$121,SUMIF(Beruházási_ktg_input!D43:$D$107,Beruházási_ktg_input!D43+1,Beruházási_ktg_input!L43:$L$107),Beruházási_ktg_input!$K43)</f>
        <v>0</v>
      </c>
      <c r="M43" s="570"/>
      <c r="N43" s="566">
        <v>0</v>
      </c>
      <c r="O43" s="559">
        <f>IF(B43=Háttér_listák!$B$121,SUMIF(Beruházási_ktg_input!$D$107:D108,Beruházási_ktg_input!D43+1,$O$107:O108),L43+N43)</f>
        <v>0</v>
      </c>
      <c r="P43" s="249">
        <v>0</v>
      </c>
      <c r="Q43" s="251"/>
      <c r="R43" s="248"/>
      <c r="S43" s="248"/>
      <c r="T43" s="67">
        <f>IF($B43=Háttér_listák!$B$121,SUMIF($D$107:D108,D43+1,$T$107:T108),IF(Q43=Háttér_listák!$B$125,Beruházási_ktg_input!L43,0))</f>
        <v>0</v>
      </c>
      <c r="U43" s="51">
        <f>IF($B43=Háttér_listák!$B$121,SUMIF($D$107:D108,D43+1,$U$107:U108),IF(AND(Q43=Háttér_listák!$B$125,Beruházási_ktg_input!S43=Háttér_listák!$B$130,Főoldal!$C$15="Igen"),Beruházási_ktg_input!N43,0))</f>
        <v>0</v>
      </c>
      <c r="V43" s="51">
        <f t="shared" si="7"/>
        <v>0</v>
      </c>
      <c r="W43" s="51">
        <f>IF($B43=Háttér_listák!$B$121,SUMIF($D$107:D108,D43+1,$W$107:W108),IF(AND(Q43=Háttér_listák!$B$125,Beruházási_ktg_input!S43=Háttér_listák!$B$130,Főoldal!$C$15="Nem"),Beruházási_ktg_input!N43,0))</f>
        <v>0</v>
      </c>
      <c r="X43" s="51">
        <f>IF($B43=Háttér_listák!$B$121,SUMIF($D$107:D108,D43+1,$X$107:X108),IF(AND(Q43=Háttér_listák!$B$125,Beruházási_ktg_input!S43=Háttér_listák!$B$129),Beruházási_ktg_input!N43,0))</f>
        <v>0</v>
      </c>
      <c r="Y43" s="51">
        <f>IF($B43=Háttér_listák!$B$121,SUMIF($D$107:D108,D43+1,$Y$107:Y108),IF(Q43=Háttér_listák!$B$126,Beruházási_ktg_input!L43,0))</f>
        <v>0</v>
      </c>
      <c r="Z43" s="51">
        <f>IF($B43=Háttér_listák!$B$121,SUMIF($D$107:D108,D43+1,$Z$107:Z108),IF(AND(Q43=Háttér_listák!$B$126,Beruházási_ktg_input!S43=Háttér_listák!$B$129),Beruházási_ktg_input!N43,0))</f>
        <v>0</v>
      </c>
      <c r="AA43" s="51">
        <f>IF($B43=Háttér_listák!$B$121,SUMIF($D$107:D108,D43+1,$AA$107:AA108),IF(AND(Q43=Háttér_listák!$B$126,Beruházási_ktg_input!S43=Háttér_listák!$B$130),Beruházási_ktg_input!N43,0))</f>
        <v>0</v>
      </c>
      <c r="AB43" s="51">
        <f t="shared" si="8"/>
        <v>0</v>
      </c>
      <c r="AC43" s="51">
        <f t="shared" si="9"/>
        <v>0</v>
      </c>
      <c r="AD43" s="51">
        <f t="shared" si="10"/>
        <v>0</v>
      </c>
      <c r="AE43" s="68">
        <f t="shared" si="11"/>
        <v>0</v>
      </c>
      <c r="AF43" s="258"/>
      <c r="AG43" s="259"/>
      <c r="AH43" s="259"/>
      <c r="AI43" s="259"/>
      <c r="AJ43" s="260"/>
      <c r="AK43" s="70" t="str">
        <f>IF(SUM(AF43:AJ43)=0,"",IF(SUM(AF43:AJ43)=1,Háttér_listák!$B$133,Háttér_listák!$B$134))</f>
        <v/>
      </c>
      <c r="AL43" s="67">
        <f>IF($AE43=0,0,IF($B43=Háttér_listák!$B$122,Beruházási_ktg_input!$V43*Beruházási_ktg_input!AF43,""))</f>
        <v>0</v>
      </c>
      <c r="AM43" s="51">
        <f>IF($AE43=0,0,IF($B43=Háttér_listák!$B$122,Beruházási_ktg_input!$V43*Beruházási_ktg_input!AG43,""))</f>
        <v>0</v>
      </c>
      <c r="AN43" s="51">
        <f>IF($AE43=0,0,IF($B43=Háttér_listák!$B$122,Beruházási_ktg_input!$V43*Beruházási_ktg_input!AH43,""))</f>
        <v>0</v>
      </c>
      <c r="AO43" s="51">
        <f>IF($AE43=0,0,IF($B43=Háttér_listák!$B$122,Beruházási_ktg_input!$V43*Beruházási_ktg_input!AI43,""))</f>
        <v>0</v>
      </c>
      <c r="AP43" s="68">
        <f>IF($AE43=0,0,IF($B43=Háttér_listák!$B$122,Beruházási_ktg_input!$V43*Beruházási_ktg_input!AJ43,""))</f>
        <v>0</v>
      </c>
      <c r="AQ43" s="67">
        <f>IF($AE43=0,0,IF($B43=Háttér_listák!$B$122,Beruházási_ktg_input!$AD43*Beruházási_ktg_input!AF43,""))</f>
        <v>0</v>
      </c>
      <c r="AR43" s="51">
        <f>IF($AE43=0,0,IF($B43=Háttér_listák!$B$122,Beruházási_ktg_input!$AD43*Beruházási_ktg_input!AG43,""))</f>
        <v>0</v>
      </c>
      <c r="AS43" s="51">
        <f>IF($AE43=0,0,IF($B43=Háttér_listák!$B$122,Beruházási_ktg_input!$AD43*Beruházási_ktg_input!AH43,""))</f>
        <v>0</v>
      </c>
      <c r="AT43" s="51">
        <f>IF($AE43=0,0,IF($B43=Háttér_listák!$B$122,Beruházási_ktg_input!$AD43*Beruházási_ktg_input!AI43,""))</f>
        <v>0</v>
      </c>
      <c r="AU43" s="71">
        <f>IF($AE43=0,0,IF($B43=Háttér_listák!$B$122,Beruházási_ktg_input!$AD43*Beruházási_ktg_input!AJ43,""))</f>
        <v>0</v>
      </c>
      <c r="AV43" s="67">
        <f>IF($AE43=0,0,IF($B43=Háttér_listák!$B$122,($T43+$Y43)*AF43,""))</f>
        <v>0</v>
      </c>
      <c r="AW43" s="51">
        <f>IF($AE43=0,0,IF($B43=Háttér_listák!$B$122,($T43+$Y43)*AG43,""))</f>
        <v>0</v>
      </c>
      <c r="AX43" s="51">
        <f>IF($AE43=0,0,IF($B43=Háttér_listák!$B$122,($T43+$Y43)*AH43,""))</f>
        <v>0</v>
      </c>
      <c r="AY43" s="51">
        <f>IF($AE43=0,0,IF($B43=Háttér_listák!$B$122,($T43+$Y43)*AI43,""))</f>
        <v>0</v>
      </c>
      <c r="AZ43" s="68">
        <f>IF($AE43=0,0,IF($B43=Háttér_listák!$B$122,($T43+$Y43)*AJ43,""))</f>
        <v>0</v>
      </c>
    </row>
    <row r="44" spans="2:52">
      <c r="B44" s="251"/>
      <c r="C44" s="246">
        <f>IF(B44=Háttér_listák!$B$121,1,0)</f>
        <v>0</v>
      </c>
      <c r="D44" s="246">
        <f t="shared" si="6"/>
        <v>12</v>
      </c>
      <c r="E44" s="247"/>
      <c r="F44" s="248"/>
      <c r="G44" s="247"/>
      <c r="H44" s="248"/>
      <c r="I44" s="249"/>
      <c r="J44" s="561"/>
      <c r="K44" s="574">
        <f>IF(B44=Háttér_listák!$B$121,"",Beruházási_ktg_input!I44*Beruházási_ktg_input!J44)</f>
        <v>0</v>
      </c>
      <c r="L44" s="576">
        <f>IF(B44=Háttér_listák!$B$121,SUMIF(Beruházási_ktg_input!D44:$D$107,Beruházási_ktg_input!D44+1,Beruházási_ktg_input!L44:$L$107),Beruházási_ktg_input!$K44)</f>
        <v>0</v>
      </c>
      <c r="M44" s="570"/>
      <c r="N44" s="566">
        <v>0</v>
      </c>
      <c r="O44" s="559">
        <f>IF(B44=Háttér_listák!$B$121,SUMIF(Beruházási_ktg_input!$D$107:D109,Beruházási_ktg_input!D44+1,$O$107:O109),L44+N44)</f>
        <v>0</v>
      </c>
      <c r="P44" s="249">
        <v>0</v>
      </c>
      <c r="Q44" s="251"/>
      <c r="R44" s="248"/>
      <c r="S44" s="248"/>
      <c r="T44" s="67">
        <f>IF($B44=Háttér_listák!$B$121,SUMIF($D$107:D109,D44+1,$T$107:T109),IF(Q44=Háttér_listák!$B$125,Beruházási_ktg_input!L44,0))</f>
        <v>0</v>
      </c>
      <c r="U44" s="51">
        <f>IF($B44=Háttér_listák!$B$121,SUMIF($D$107:D109,D44+1,$U$107:U109),IF(AND(Q44=Háttér_listák!$B$125,Beruházási_ktg_input!S44=Háttér_listák!$B$130,Főoldal!$C$15="Igen"),Beruházási_ktg_input!N44,0))</f>
        <v>0</v>
      </c>
      <c r="V44" s="51">
        <f t="shared" si="7"/>
        <v>0</v>
      </c>
      <c r="W44" s="51">
        <f>IF($B44=Háttér_listák!$B$121,SUMIF($D$107:D109,D44+1,$W$107:W109),IF(AND(Q44=Háttér_listák!$B$125,Beruházási_ktg_input!S44=Háttér_listák!$B$130,Főoldal!$C$15="Nem"),Beruházási_ktg_input!N44,0))</f>
        <v>0</v>
      </c>
      <c r="X44" s="51">
        <f>IF($B44=Háttér_listák!$B$121,SUMIF($D$107:D109,D44+1,$X$107:X109),IF(AND(Q44=Háttér_listák!$B$125,Beruházási_ktg_input!S44=Háttér_listák!$B$129),Beruházási_ktg_input!N44,0))</f>
        <v>0</v>
      </c>
      <c r="Y44" s="51">
        <f>IF($B44=Háttér_listák!$B$121,SUMIF($D$107:D109,D44+1,$Y$107:Y109),IF(Q44=Háttér_listák!$B$126,Beruházási_ktg_input!L44,0))</f>
        <v>0</v>
      </c>
      <c r="Z44" s="51">
        <f>IF($B44=Háttér_listák!$B$121,SUMIF($D$107:D109,D44+1,$Z$107:Z109),IF(AND(Q44=Háttér_listák!$B$126,Beruházási_ktg_input!S44=Háttér_listák!$B$129),Beruházási_ktg_input!N44,0))</f>
        <v>0</v>
      </c>
      <c r="AA44" s="51">
        <f>IF($B44=Háttér_listák!$B$121,SUMIF($D$107:D109,D44+1,$AA$107:AA109),IF(AND(Q44=Háttér_listák!$B$126,Beruházási_ktg_input!S44=Háttér_listák!$B$130),Beruházási_ktg_input!N44,0))</f>
        <v>0</v>
      </c>
      <c r="AB44" s="51">
        <f t="shared" si="8"/>
        <v>0</v>
      </c>
      <c r="AC44" s="51">
        <f t="shared" si="9"/>
        <v>0</v>
      </c>
      <c r="AD44" s="51">
        <f t="shared" si="10"/>
        <v>0</v>
      </c>
      <c r="AE44" s="68">
        <f t="shared" si="11"/>
        <v>0</v>
      </c>
      <c r="AF44" s="258"/>
      <c r="AG44" s="259"/>
      <c r="AH44" s="259"/>
      <c r="AI44" s="259"/>
      <c r="AJ44" s="260"/>
      <c r="AK44" s="70" t="str">
        <f>IF(SUM(AF44:AJ44)=0,"",IF(SUM(AF44:AJ44)=1,Háttér_listák!$B$133,Háttér_listák!$B$134))</f>
        <v/>
      </c>
      <c r="AL44" s="67">
        <f>IF($AE44=0,0,IF($B44=Háttér_listák!$B$122,Beruházási_ktg_input!$V44*Beruházási_ktg_input!AF44,""))</f>
        <v>0</v>
      </c>
      <c r="AM44" s="51">
        <f>IF($AE44=0,0,IF($B44=Háttér_listák!$B$122,Beruházási_ktg_input!$V44*Beruházási_ktg_input!AG44,""))</f>
        <v>0</v>
      </c>
      <c r="AN44" s="51">
        <f>IF($AE44=0,0,IF($B44=Háttér_listák!$B$122,Beruházási_ktg_input!$V44*Beruházási_ktg_input!AH44,""))</f>
        <v>0</v>
      </c>
      <c r="AO44" s="51">
        <f>IF($AE44=0,0,IF($B44=Háttér_listák!$B$122,Beruházási_ktg_input!$V44*Beruházási_ktg_input!AI44,""))</f>
        <v>0</v>
      </c>
      <c r="AP44" s="68">
        <f>IF($AE44=0,0,IF($B44=Háttér_listák!$B$122,Beruházási_ktg_input!$V44*Beruházási_ktg_input!AJ44,""))</f>
        <v>0</v>
      </c>
      <c r="AQ44" s="67">
        <f>IF($AE44=0,0,IF($B44=Háttér_listák!$B$122,Beruházási_ktg_input!$AD44*Beruházási_ktg_input!AF44,""))</f>
        <v>0</v>
      </c>
      <c r="AR44" s="51">
        <f>IF($AE44=0,0,IF($B44=Háttér_listák!$B$122,Beruházási_ktg_input!$AD44*Beruházási_ktg_input!AG44,""))</f>
        <v>0</v>
      </c>
      <c r="AS44" s="51">
        <f>IF($AE44=0,0,IF($B44=Háttér_listák!$B$122,Beruházási_ktg_input!$AD44*Beruházási_ktg_input!AH44,""))</f>
        <v>0</v>
      </c>
      <c r="AT44" s="51">
        <f>IF($AE44=0,0,IF($B44=Háttér_listák!$B$122,Beruházási_ktg_input!$AD44*Beruházási_ktg_input!AI44,""))</f>
        <v>0</v>
      </c>
      <c r="AU44" s="71">
        <f>IF($AE44=0,0,IF($B44=Háttér_listák!$B$122,Beruházási_ktg_input!$AD44*Beruházási_ktg_input!AJ44,""))</f>
        <v>0</v>
      </c>
      <c r="AV44" s="67">
        <f>IF($AE44=0,0,IF($B44=Háttér_listák!$B$122,($T44+$Y44)*AF44,""))</f>
        <v>0</v>
      </c>
      <c r="AW44" s="51">
        <f>IF($AE44=0,0,IF($B44=Háttér_listák!$B$122,($T44+$Y44)*AG44,""))</f>
        <v>0</v>
      </c>
      <c r="AX44" s="51">
        <f>IF($AE44=0,0,IF($B44=Háttér_listák!$B$122,($T44+$Y44)*AH44,""))</f>
        <v>0</v>
      </c>
      <c r="AY44" s="51">
        <f>IF($AE44=0,0,IF($B44=Háttér_listák!$B$122,($T44+$Y44)*AI44,""))</f>
        <v>0</v>
      </c>
      <c r="AZ44" s="68">
        <f>IF($AE44=0,0,IF($B44=Háttér_listák!$B$122,($T44+$Y44)*AJ44,""))</f>
        <v>0</v>
      </c>
    </row>
    <row r="45" spans="2:52">
      <c r="B45" s="251"/>
      <c r="C45" s="246">
        <f>IF(B45=Háttér_listák!$B$121,1,0)</f>
        <v>0</v>
      </c>
      <c r="D45" s="246">
        <f t="shared" si="6"/>
        <v>12</v>
      </c>
      <c r="E45" s="247"/>
      <c r="F45" s="248"/>
      <c r="G45" s="247"/>
      <c r="H45" s="248"/>
      <c r="I45" s="249"/>
      <c r="J45" s="561"/>
      <c r="K45" s="574">
        <f>IF(B45=Háttér_listák!$B$121,"",Beruházási_ktg_input!I45*Beruházási_ktg_input!J45)</f>
        <v>0</v>
      </c>
      <c r="L45" s="576">
        <f>IF(B45=Háttér_listák!$B$121,SUMIF(Beruházási_ktg_input!D45:$D$107,Beruházási_ktg_input!D45+1,Beruházási_ktg_input!L45:$L$107),Beruházási_ktg_input!$K45)</f>
        <v>0</v>
      </c>
      <c r="M45" s="570"/>
      <c r="N45" s="566">
        <v>0</v>
      </c>
      <c r="O45" s="559">
        <f>IF(B45=Háttér_listák!$B$121,SUMIF(Beruházási_ktg_input!$D$107:D110,Beruházási_ktg_input!D45+1,$O$107:O110),L45+N45)</f>
        <v>0</v>
      </c>
      <c r="P45" s="249">
        <v>0</v>
      </c>
      <c r="Q45" s="251"/>
      <c r="R45" s="248"/>
      <c r="S45" s="248"/>
      <c r="T45" s="67">
        <f>IF($B45=Háttér_listák!$B$121,SUMIF($D$107:D110,D45+1,$T$107:T110),IF(Q45=Háttér_listák!$B$125,Beruházási_ktg_input!L45,0))</f>
        <v>0</v>
      </c>
      <c r="U45" s="51">
        <f>IF($B45=Háttér_listák!$B$121,SUMIF($D$107:D110,D45+1,$U$107:U110),IF(AND(Q45=Háttér_listák!$B$125,Beruházási_ktg_input!S45=Háttér_listák!$B$130,Főoldal!$C$15="Igen"),Beruházási_ktg_input!N45,0))</f>
        <v>0</v>
      </c>
      <c r="V45" s="51">
        <f t="shared" si="7"/>
        <v>0</v>
      </c>
      <c r="W45" s="51">
        <f>IF($B45=Háttér_listák!$B$121,SUMIF($D$107:D110,D45+1,$W$107:W110),IF(AND(Q45=Háttér_listák!$B$125,Beruházási_ktg_input!S45=Háttér_listák!$B$130,Főoldal!$C$15="Nem"),Beruházási_ktg_input!N45,0))</f>
        <v>0</v>
      </c>
      <c r="X45" s="51">
        <f>IF($B45=Háttér_listák!$B$121,SUMIF($D$107:D110,D45+1,$X$107:X110),IF(AND(Q45=Háttér_listák!$B$125,Beruházási_ktg_input!S45=Háttér_listák!$B$129),Beruházási_ktg_input!N45,0))</f>
        <v>0</v>
      </c>
      <c r="Y45" s="51">
        <f>IF($B45=Háttér_listák!$B$121,SUMIF($D$107:D110,D45+1,$Y$107:Y110),IF(Q45=Háttér_listák!$B$126,Beruházási_ktg_input!L45,0))</f>
        <v>0</v>
      </c>
      <c r="Z45" s="51">
        <f>IF($B45=Háttér_listák!$B$121,SUMIF($D$107:D110,D45+1,$Z$107:Z110),IF(AND(Q45=Háttér_listák!$B$126,Beruházási_ktg_input!S45=Háttér_listák!$B$129),Beruházási_ktg_input!N45,0))</f>
        <v>0</v>
      </c>
      <c r="AA45" s="51">
        <f>IF($B45=Háttér_listák!$B$121,SUMIF($D$107:D110,D45+1,$AA$107:AA110),IF(AND(Q45=Háttér_listák!$B$126,Beruházási_ktg_input!S45=Háttér_listák!$B$130),Beruházási_ktg_input!N45,0))</f>
        <v>0</v>
      </c>
      <c r="AB45" s="51">
        <f t="shared" si="8"/>
        <v>0</v>
      </c>
      <c r="AC45" s="51">
        <f t="shared" si="9"/>
        <v>0</v>
      </c>
      <c r="AD45" s="51">
        <f t="shared" si="10"/>
        <v>0</v>
      </c>
      <c r="AE45" s="68">
        <f t="shared" si="11"/>
        <v>0</v>
      </c>
      <c r="AF45" s="258"/>
      <c r="AG45" s="259"/>
      <c r="AH45" s="259"/>
      <c r="AI45" s="259"/>
      <c r="AJ45" s="260"/>
      <c r="AK45" s="70" t="str">
        <f>IF(SUM(AF45:AJ45)=0,"",IF(SUM(AF45:AJ45)=1,Háttér_listák!$B$133,Háttér_listák!$B$134))</f>
        <v/>
      </c>
      <c r="AL45" s="67">
        <f>IF($AE45=0,0,IF($B45=Háttér_listák!$B$122,Beruházási_ktg_input!$V45*Beruházási_ktg_input!AF45,""))</f>
        <v>0</v>
      </c>
      <c r="AM45" s="51">
        <f>IF($AE45=0,0,IF($B45=Háttér_listák!$B$122,Beruházási_ktg_input!$V45*Beruházási_ktg_input!AG45,""))</f>
        <v>0</v>
      </c>
      <c r="AN45" s="51">
        <f>IF($AE45=0,0,IF($B45=Háttér_listák!$B$122,Beruházási_ktg_input!$V45*Beruházási_ktg_input!AH45,""))</f>
        <v>0</v>
      </c>
      <c r="AO45" s="51">
        <f>IF($AE45=0,0,IF($B45=Háttér_listák!$B$122,Beruházási_ktg_input!$V45*Beruházási_ktg_input!AI45,""))</f>
        <v>0</v>
      </c>
      <c r="AP45" s="68">
        <f>IF($AE45=0,0,IF($B45=Háttér_listák!$B$122,Beruházási_ktg_input!$V45*Beruházási_ktg_input!AJ45,""))</f>
        <v>0</v>
      </c>
      <c r="AQ45" s="67">
        <f>IF($AE45=0,0,IF($B45=Háttér_listák!$B$122,Beruházási_ktg_input!$AD45*Beruházási_ktg_input!AF45,""))</f>
        <v>0</v>
      </c>
      <c r="AR45" s="51">
        <f>IF($AE45=0,0,IF($B45=Háttér_listák!$B$122,Beruházási_ktg_input!$AD45*Beruházási_ktg_input!AG45,""))</f>
        <v>0</v>
      </c>
      <c r="AS45" s="51">
        <f>IF($AE45=0,0,IF($B45=Háttér_listák!$B$122,Beruházási_ktg_input!$AD45*Beruházási_ktg_input!AH45,""))</f>
        <v>0</v>
      </c>
      <c r="AT45" s="51">
        <f>IF($AE45=0,0,IF($B45=Háttér_listák!$B$122,Beruházási_ktg_input!$AD45*Beruházási_ktg_input!AI45,""))</f>
        <v>0</v>
      </c>
      <c r="AU45" s="71">
        <f>IF($AE45=0,0,IF($B45=Háttér_listák!$B$122,Beruházási_ktg_input!$AD45*Beruházási_ktg_input!AJ45,""))</f>
        <v>0</v>
      </c>
      <c r="AV45" s="67">
        <f>IF($AE45=0,0,IF($B45=Háttér_listák!$B$122,($T45+$Y45)*AF45,""))</f>
        <v>0</v>
      </c>
      <c r="AW45" s="51">
        <f>IF($AE45=0,0,IF($B45=Háttér_listák!$B$122,($T45+$Y45)*AG45,""))</f>
        <v>0</v>
      </c>
      <c r="AX45" s="51">
        <f>IF($AE45=0,0,IF($B45=Háttér_listák!$B$122,($T45+$Y45)*AH45,""))</f>
        <v>0</v>
      </c>
      <c r="AY45" s="51">
        <f>IF($AE45=0,0,IF($B45=Háttér_listák!$B$122,($T45+$Y45)*AI45,""))</f>
        <v>0</v>
      </c>
      <c r="AZ45" s="68">
        <f>IF($AE45=0,0,IF($B45=Háttér_listák!$B$122,($T45+$Y45)*AJ45,""))</f>
        <v>0</v>
      </c>
    </row>
    <row r="46" spans="2:52">
      <c r="B46" s="251"/>
      <c r="C46" s="246">
        <f>IF(B46=Háttér_listák!$B$121,1,0)</f>
        <v>0</v>
      </c>
      <c r="D46" s="246">
        <f t="shared" si="6"/>
        <v>12</v>
      </c>
      <c r="E46" s="247"/>
      <c r="F46" s="248"/>
      <c r="G46" s="247"/>
      <c r="H46" s="248"/>
      <c r="I46" s="249"/>
      <c r="J46" s="561"/>
      <c r="K46" s="574">
        <f>IF(B46=Háttér_listák!$B$121,"",Beruházási_ktg_input!I46*Beruházási_ktg_input!J46)</f>
        <v>0</v>
      </c>
      <c r="L46" s="576">
        <f>IF(B46=Háttér_listák!$B$121,SUMIF(Beruházási_ktg_input!D46:$D$107,Beruházási_ktg_input!D46+1,Beruházási_ktg_input!L46:$L$107),Beruházási_ktg_input!$K46)</f>
        <v>0</v>
      </c>
      <c r="M46" s="570"/>
      <c r="N46" s="566">
        <v>0</v>
      </c>
      <c r="O46" s="559">
        <f>IF(B46=Háttér_listák!$B$121,SUMIF(Beruházási_ktg_input!$D$107:D111,Beruházási_ktg_input!D46+1,$O$107:O111),L46+N46)</f>
        <v>0</v>
      </c>
      <c r="P46" s="249">
        <v>0</v>
      </c>
      <c r="Q46" s="251"/>
      <c r="R46" s="248"/>
      <c r="S46" s="248"/>
      <c r="T46" s="67">
        <f>IF($B46=Háttér_listák!$B$121,SUMIF($D$107:D111,D46+1,$T$107:T111),IF(Q46=Háttér_listák!$B$125,Beruházási_ktg_input!L46,0))</f>
        <v>0</v>
      </c>
      <c r="U46" s="51">
        <f>IF($B46=Háttér_listák!$B$121,SUMIF($D$107:D111,D46+1,$U$107:U111),IF(AND(Q46=Háttér_listák!$B$125,Beruházási_ktg_input!S46=Háttér_listák!$B$130,Főoldal!$C$15="Igen"),Beruházási_ktg_input!N46,0))</f>
        <v>0</v>
      </c>
      <c r="V46" s="51">
        <f t="shared" si="7"/>
        <v>0</v>
      </c>
      <c r="W46" s="51">
        <f>IF($B46=Háttér_listák!$B$121,SUMIF($D$107:D111,D46+1,$W$107:W111),IF(AND(Q46=Háttér_listák!$B$125,Beruházási_ktg_input!S46=Háttér_listák!$B$130,Főoldal!$C$15="Nem"),Beruházási_ktg_input!N46,0))</f>
        <v>0</v>
      </c>
      <c r="X46" s="51">
        <f>IF($B46=Háttér_listák!$B$121,SUMIF($D$107:D111,D46+1,$X$107:X111),IF(AND(Q46=Háttér_listák!$B$125,Beruházási_ktg_input!S46=Háttér_listák!$B$129),Beruházási_ktg_input!N46,0))</f>
        <v>0</v>
      </c>
      <c r="Y46" s="51">
        <f>IF($B46=Háttér_listák!$B$121,SUMIF($D$107:D111,D46+1,$Y$107:Y111),IF(Q46=Háttér_listák!$B$126,Beruházási_ktg_input!L46,0))</f>
        <v>0</v>
      </c>
      <c r="Z46" s="51">
        <f>IF($B46=Háttér_listák!$B$121,SUMIF($D$107:D111,D46+1,$Z$107:Z111),IF(AND(Q46=Háttér_listák!$B$126,Beruházási_ktg_input!S46=Háttér_listák!$B$129),Beruházási_ktg_input!N46,0))</f>
        <v>0</v>
      </c>
      <c r="AA46" s="51">
        <f>IF($B46=Háttér_listák!$B$121,SUMIF($D$107:D111,D46+1,$AA$107:AA111),IF(AND(Q46=Háttér_listák!$B$126,Beruházási_ktg_input!S46=Háttér_listák!$B$130),Beruházási_ktg_input!N46,0))</f>
        <v>0</v>
      </c>
      <c r="AB46" s="51">
        <f t="shared" si="8"/>
        <v>0</v>
      </c>
      <c r="AC46" s="51">
        <f t="shared" si="9"/>
        <v>0</v>
      </c>
      <c r="AD46" s="51">
        <f t="shared" si="10"/>
        <v>0</v>
      </c>
      <c r="AE46" s="68">
        <f t="shared" si="11"/>
        <v>0</v>
      </c>
      <c r="AF46" s="258"/>
      <c r="AG46" s="259"/>
      <c r="AH46" s="259"/>
      <c r="AI46" s="259"/>
      <c r="AJ46" s="260"/>
      <c r="AK46" s="70" t="str">
        <f>IF(SUM(AF46:AJ46)=0,"",IF(SUM(AF46:AJ46)=1,Háttér_listák!$B$133,Háttér_listák!$B$134))</f>
        <v/>
      </c>
      <c r="AL46" s="67">
        <f>IF($AE46=0,0,IF($B46=Háttér_listák!$B$122,Beruházási_ktg_input!$V46*Beruházási_ktg_input!AF46,""))</f>
        <v>0</v>
      </c>
      <c r="AM46" s="51">
        <f>IF($AE46=0,0,IF($B46=Háttér_listák!$B$122,Beruházási_ktg_input!$V46*Beruházási_ktg_input!AG46,""))</f>
        <v>0</v>
      </c>
      <c r="AN46" s="51">
        <f>IF($AE46=0,0,IF($B46=Háttér_listák!$B$122,Beruházási_ktg_input!$V46*Beruházási_ktg_input!AH46,""))</f>
        <v>0</v>
      </c>
      <c r="AO46" s="51">
        <f>IF($AE46=0,0,IF($B46=Háttér_listák!$B$122,Beruházási_ktg_input!$V46*Beruházási_ktg_input!AI46,""))</f>
        <v>0</v>
      </c>
      <c r="AP46" s="68">
        <f>IF($AE46=0,0,IF($B46=Háttér_listák!$B$122,Beruházási_ktg_input!$V46*Beruházási_ktg_input!AJ46,""))</f>
        <v>0</v>
      </c>
      <c r="AQ46" s="67">
        <f>IF($AE46=0,0,IF($B46=Háttér_listák!$B$122,Beruházási_ktg_input!$AD46*Beruházási_ktg_input!AF46,""))</f>
        <v>0</v>
      </c>
      <c r="AR46" s="51">
        <f>IF($AE46=0,0,IF($B46=Háttér_listák!$B$122,Beruházási_ktg_input!$AD46*Beruházási_ktg_input!AG46,""))</f>
        <v>0</v>
      </c>
      <c r="AS46" s="51">
        <f>IF($AE46=0,0,IF($B46=Háttér_listák!$B$122,Beruházási_ktg_input!$AD46*Beruházási_ktg_input!AH46,""))</f>
        <v>0</v>
      </c>
      <c r="AT46" s="51">
        <f>IF($AE46=0,0,IF($B46=Háttér_listák!$B$122,Beruházási_ktg_input!$AD46*Beruházási_ktg_input!AI46,""))</f>
        <v>0</v>
      </c>
      <c r="AU46" s="71">
        <f>IF($AE46=0,0,IF($B46=Háttér_listák!$B$122,Beruházási_ktg_input!$AD46*Beruházási_ktg_input!AJ46,""))</f>
        <v>0</v>
      </c>
      <c r="AV46" s="67">
        <f>IF($AE46=0,0,IF($B46=Háttér_listák!$B$122,($T46+$Y46)*AF46,""))</f>
        <v>0</v>
      </c>
      <c r="AW46" s="51">
        <f>IF($AE46=0,0,IF($B46=Háttér_listák!$B$122,($T46+$Y46)*AG46,""))</f>
        <v>0</v>
      </c>
      <c r="AX46" s="51">
        <f>IF($AE46=0,0,IF($B46=Háttér_listák!$B$122,($T46+$Y46)*AH46,""))</f>
        <v>0</v>
      </c>
      <c r="AY46" s="51">
        <f>IF($AE46=0,0,IF($B46=Háttér_listák!$B$122,($T46+$Y46)*AI46,""))</f>
        <v>0</v>
      </c>
      <c r="AZ46" s="68">
        <f>IF($AE46=0,0,IF($B46=Háttér_listák!$B$122,($T46+$Y46)*AJ46,""))</f>
        <v>0</v>
      </c>
    </row>
    <row r="47" spans="2:52">
      <c r="B47" s="251"/>
      <c r="C47" s="246">
        <f>IF(B47=Háttér_listák!$B$121,1,0)</f>
        <v>0</v>
      </c>
      <c r="D47" s="246">
        <f t="shared" si="6"/>
        <v>12</v>
      </c>
      <c r="E47" s="247"/>
      <c r="F47" s="248"/>
      <c r="G47" s="247"/>
      <c r="H47" s="248"/>
      <c r="I47" s="249"/>
      <c r="J47" s="561"/>
      <c r="K47" s="574">
        <f>IF(B47=Háttér_listák!$B$121,"",Beruházási_ktg_input!I47*Beruházási_ktg_input!J47)</f>
        <v>0</v>
      </c>
      <c r="L47" s="576">
        <f>IF(B47=Háttér_listák!$B$121,SUMIF(Beruházási_ktg_input!D47:$D$107,Beruházási_ktg_input!D47+1,Beruházási_ktg_input!L47:$L$107),Beruházási_ktg_input!$K47)</f>
        <v>0</v>
      </c>
      <c r="M47" s="570"/>
      <c r="N47" s="566">
        <v>0</v>
      </c>
      <c r="O47" s="559">
        <f>IF(B47=Háttér_listák!$B$121,SUMIF(Beruházási_ktg_input!$D$107:D112,Beruházási_ktg_input!D47+1,$O$107:O112),L47+N47)</f>
        <v>0</v>
      </c>
      <c r="P47" s="249">
        <v>0</v>
      </c>
      <c r="Q47" s="251"/>
      <c r="R47" s="248"/>
      <c r="S47" s="248"/>
      <c r="T47" s="67">
        <f>IF($B47=Háttér_listák!$B$121,SUMIF($D$107:D112,D47+1,$T$107:T112),IF(Q47=Háttér_listák!$B$125,Beruházási_ktg_input!L47,0))</f>
        <v>0</v>
      </c>
      <c r="U47" s="51">
        <f>IF($B47=Háttér_listák!$B$121,SUMIF($D$107:D112,D47+1,$U$107:U112),IF(AND(Q47=Háttér_listák!$B$125,Beruházási_ktg_input!S47=Háttér_listák!$B$130,Főoldal!$C$15="Igen"),Beruházási_ktg_input!N47,0))</f>
        <v>0</v>
      </c>
      <c r="V47" s="51">
        <f t="shared" si="7"/>
        <v>0</v>
      </c>
      <c r="W47" s="51">
        <f>IF($B47=Háttér_listák!$B$121,SUMIF($D$107:D112,D47+1,$W$107:W112),IF(AND(Q47=Háttér_listák!$B$125,Beruházási_ktg_input!S47=Háttér_listák!$B$130,Főoldal!$C$15="Nem"),Beruházási_ktg_input!N47,0))</f>
        <v>0</v>
      </c>
      <c r="X47" s="51">
        <f>IF($B47=Háttér_listák!$B$121,SUMIF($D$107:D112,D47+1,$X$107:X112),IF(AND(Q47=Háttér_listák!$B$125,Beruházási_ktg_input!S47=Háttér_listák!$B$129),Beruházási_ktg_input!N47,0))</f>
        <v>0</v>
      </c>
      <c r="Y47" s="51">
        <f>IF($B47=Háttér_listák!$B$121,SUMIF($D$107:D112,D47+1,$Y$107:Y112),IF(Q47=Háttér_listák!$B$126,Beruházási_ktg_input!L47,0))</f>
        <v>0</v>
      </c>
      <c r="Z47" s="51">
        <f>IF($B47=Háttér_listák!$B$121,SUMIF($D$107:D112,D47+1,$Z$107:Z112),IF(AND(Q47=Háttér_listák!$B$126,Beruházási_ktg_input!S47=Háttér_listák!$B$129),Beruházási_ktg_input!N47,0))</f>
        <v>0</v>
      </c>
      <c r="AA47" s="51">
        <f>IF($B47=Háttér_listák!$B$121,SUMIF($D$107:D112,D47+1,$AA$107:AA112),IF(AND(Q47=Háttér_listák!$B$126,Beruházási_ktg_input!S47=Háttér_listák!$B$130),Beruházási_ktg_input!N47,0))</f>
        <v>0</v>
      </c>
      <c r="AB47" s="51">
        <f t="shared" si="8"/>
        <v>0</v>
      </c>
      <c r="AC47" s="51">
        <f t="shared" si="9"/>
        <v>0</v>
      </c>
      <c r="AD47" s="51">
        <f t="shared" si="10"/>
        <v>0</v>
      </c>
      <c r="AE47" s="68">
        <f t="shared" si="11"/>
        <v>0</v>
      </c>
      <c r="AF47" s="258"/>
      <c r="AG47" s="259"/>
      <c r="AH47" s="259"/>
      <c r="AI47" s="259"/>
      <c r="AJ47" s="260"/>
      <c r="AK47" s="70" t="str">
        <f>IF(SUM(AF47:AJ47)=0,"",IF(SUM(AF47:AJ47)=1,Háttér_listák!$B$133,Háttér_listák!$B$134))</f>
        <v/>
      </c>
      <c r="AL47" s="67">
        <f>IF($AE47=0,0,IF($B47=Háttér_listák!$B$122,Beruházási_ktg_input!$V47*Beruházási_ktg_input!AF47,""))</f>
        <v>0</v>
      </c>
      <c r="AM47" s="51">
        <f>IF($AE47=0,0,IF($B47=Háttér_listák!$B$122,Beruházási_ktg_input!$V47*Beruházási_ktg_input!AG47,""))</f>
        <v>0</v>
      </c>
      <c r="AN47" s="51">
        <f>IF($AE47=0,0,IF($B47=Háttér_listák!$B$122,Beruházási_ktg_input!$V47*Beruházási_ktg_input!AH47,""))</f>
        <v>0</v>
      </c>
      <c r="AO47" s="51">
        <f>IF($AE47=0,0,IF($B47=Háttér_listák!$B$122,Beruházási_ktg_input!$V47*Beruházási_ktg_input!AI47,""))</f>
        <v>0</v>
      </c>
      <c r="AP47" s="68">
        <f>IF($AE47=0,0,IF($B47=Háttér_listák!$B$122,Beruházási_ktg_input!$V47*Beruházási_ktg_input!AJ47,""))</f>
        <v>0</v>
      </c>
      <c r="AQ47" s="67">
        <f>IF($AE47=0,0,IF($B47=Háttér_listák!$B$122,Beruházási_ktg_input!$AD47*Beruházási_ktg_input!AF47,""))</f>
        <v>0</v>
      </c>
      <c r="AR47" s="51">
        <f>IF($AE47=0,0,IF($B47=Háttér_listák!$B$122,Beruházási_ktg_input!$AD47*Beruházási_ktg_input!AG47,""))</f>
        <v>0</v>
      </c>
      <c r="AS47" s="51">
        <f>IF($AE47=0,0,IF($B47=Háttér_listák!$B$122,Beruházási_ktg_input!$AD47*Beruházási_ktg_input!AH47,""))</f>
        <v>0</v>
      </c>
      <c r="AT47" s="51">
        <f>IF($AE47=0,0,IF($B47=Háttér_listák!$B$122,Beruházási_ktg_input!$AD47*Beruházási_ktg_input!AI47,""))</f>
        <v>0</v>
      </c>
      <c r="AU47" s="71">
        <f>IF($AE47=0,0,IF($B47=Háttér_listák!$B$122,Beruházási_ktg_input!$AD47*Beruházási_ktg_input!AJ47,""))</f>
        <v>0</v>
      </c>
      <c r="AV47" s="67">
        <f>IF($AE47=0,0,IF($B47=Háttér_listák!$B$122,($T47+$Y47)*AF47,""))</f>
        <v>0</v>
      </c>
      <c r="AW47" s="51">
        <f>IF($AE47=0,0,IF($B47=Háttér_listák!$B$122,($T47+$Y47)*AG47,""))</f>
        <v>0</v>
      </c>
      <c r="AX47" s="51">
        <f>IF($AE47=0,0,IF($B47=Háttér_listák!$B$122,($T47+$Y47)*AH47,""))</f>
        <v>0</v>
      </c>
      <c r="AY47" s="51">
        <f>IF($AE47=0,0,IF($B47=Háttér_listák!$B$122,($T47+$Y47)*AI47,""))</f>
        <v>0</v>
      </c>
      <c r="AZ47" s="68">
        <f>IF($AE47=0,0,IF($B47=Háttér_listák!$B$122,($T47+$Y47)*AJ47,""))</f>
        <v>0</v>
      </c>
    </row>
    <row r="48" spans="2:52">
      <c r="B48" s="251"/>
      <c r="C48" s="246">
        <f>IF(B48=Háttér_listák!$B$121,1,0)</f>
        <v>0</v>
      </c>
      <c r="D48" s="246">
        <f t="shared" si="6"/>
        <v>12</v>
      </c>
      <c r="E48" s="247"/>
      <c r="F48" s="248"/>
      <c r="G48" s="247"/>
      <c r="H48" s="248"/>
      <c r="I48" s="249"/>
      <c r="J48" s="561"/>
      <c r="K48" s="574">
        <f>IF(B48=Háttér_listák!$B$121,"",Beruházási_ktg_input!I48*Beruházási_ktg_input!J48)</f>
        <v>0</v>
      </c>
      <c r="L48" s="576">
        <f>IF(B48=Háttér_listák!$B$121,SUMIF(Beruházási_ktg_input!D48:$D$107,Beruházási_ktg_input!D48+1,Beruházási_ktg_input!L48:$L$107),Beruházási_ktg_input!$K48)</f>
        <v>0</v>
      </c>
      <c r="M48" s="570"/>
      <c r="N48" s="566">
        <v>0</v>
      </c>
      <c r="O48" s="559">
        <f>IF(B48=Háttér_listák!$B$121,SUMIF(Beruházási_ktg_input!$D$107:D113,Beruházási_ktg_input!D48+1,$O$107:O113),L48+N48)</f>
        <v>0</v>
      </c>
      <c r="P48" s="249">
        <v>0</v>
      </c>
      <c r="Q48" s="251"/>
      <c r="R48" s="248"/>
      <c r="S48" s="248"/>
      <c r="T48" s="67">
        <f>IF($B48=Háttér_listák!$B$121,SUMIF($D$107:D113,D48+1,$T$107:T113),IF(Q48=Háttér_listák!$B$125,Beruházási_ktg_input!L48,0))</f>
        <v>0</v>
      </c>
      <c r="U48" s="51">
        <f>IF($B48=Háttér_listák!$B$121,SUMIF($D$107:D113,D48+1,$U$107:U113),IF(AND(Q48=Háttér_listák!$B$125,Beruházási_ktg_input!S48=Háttér_listák!$B$130,Főoldal!$C$15="Igen"),Beruházási_ktg_input!N48,0))</f>
        <v>0</v>
      </c>
      <c r="V48" s="51">
        <f t="shared" si="7"/>
        <v>0</v>
      </c>
      <c r="W48" s="51">
        <f>IF($B48=Háttér_listák!$B$121,SUMIF($D$107:D113,D48+1,$W$107:W113),IF(AND(Q48=Háttér_listák!$B$125,Beruházási_ktg_input!S48=Háttér_listák!$B$130,Főoldal!$C$15="Nem"),Beruházási_ktg_input!N48,0))</f>
        <v>0</v>
      </c>
      <c r="X48" s="51">
        <f>IF($B48=Háttér_listák!$B$121,SUMIF($D$107:D113,D48+1,$X$107:X113),IF(AND(Q48=Háttér_listák!$B$125,Beruházási_ktg_input!S48=Háttér_listák!$B$129),Beruházási_ktg_input!N48,0))</f>
        <v>0</v>
      </c>
      <c r="Y48" s="51">
        <f>IF($B48=Háttér_listák!$B$121,SUMIF($D$107:D113,D48+1,$Y$107:Y113),IF(Q48=Háttér_listák!$B$126,Beruházási_ktg_input!L48,0))</f>
        <v>0</v>
      </c>
      <c r="Z48" s="51">
        <f>IF($B48=Háttér_listák!$B$121,SUMIF($D$107:D113,D48+1,$Z$107:Z113),IF(AND(Q48=Háttér_listák!$B$126,Beruházási_ktg_input!S48=Háttér_listák!$B$129),Beruházási_ktg_input!N48,0))</f>
        <v>0</v>
      </c>
      <c r="AA48" s="51">
        <f>IF($B48=Háttér_listák!$B$121,SUMIF($D$107:D113,D48+1,$AA$107:AA113),IF(AND(Q48=Háttér_listák!$B$126,Beruházási_ktg_input!S48=Háttér_listák!$B$130),Beruházási_ktg_input!N48,0))</f>
        <v>0</v>
      </c>
      <c r="AB48" s="51">
        <f t="shared" si="8"/>
        <v>0</v>
      </c>
      <c r="AC48" s="51">
        <f t="shared" si="9"/>
        <v>0</v>
      </c>
      <c r="AD48" s="51">
        <f t="shared" si="10"/>
        <v>0</v>
      </c>
      <c r="AE48" s="68">
        <f t="shared" si="11"/>
        <v>0</v>
      </c>
      <c r="AF48" s="258"/>
      <c r="AG48" s="259"/>
      <c r="AH48" s="259"/>
      <c r="AI48" s="259"/>
      <c r="AJ48" s="260"/>
      <c r="AK48" s="70" t="str">
        <f>IF(SUM(AF48:AJ48)=0,"",IF(SUM(AF48:AJ48)=1,Háttér_listák!$B$133,Háttér_listák!$B$134))</f>
        <v/>
      </c>
      <c r="AL48" s="67">
        <f>IF($AE48=0,0,IF($B48=Háttér_listák!$B$122,Beruházási_ktg_input!$V48*Beruházási_ktg_input!AF48,""))</f>
        <v>0</v>
      </c>
      <c r="AM48" s="51">
        <f>IF($AE48=0,0,IF($B48=Háttér_listák!$B$122,Beruházási_ktg_input!$V48*Beruházási_ktg_input!AG48,""))</f>
        <v>0</v>
      </c>
      <c r="AN48" s="51">
        <f>IF($AE48=0,0,IF($B48=Háttér_listák!$B$122,Beruházási_ktg_input!$V48*Beruházási_ktg_input!AH48,""))</f>
        <v>0</v>
      </c>
      <c r="AO48" s="51">
        <f>IF($AE48=0,0,IF($B48=Háttér_listák!$B$122,Beruházási_ktg_input!$V48*Beruházási_ktg_input!AI48,""))</f>
        <v>0</v>
      </c>
      <c r="AP48" s="68">
        <f>IF($AE48=0,0,IF($B48=Háttér_listák!$B$122,Beruházási_ktg_input!$V48*Beruházási_ktg_input!AJ48,""))</f>
        <v>0</v>
      </c>
      <c r="AQ48" s="67">
        <f>IF($AE48=0,0,IF($B48=Háttér_listák!$B$122,Beruházási_ktg_input!$AD48*Beruházási_ktg_input!AF48,""))</f>
        <v>0</v>
      </c>
      <c r="AR48" s="51">
        <f>IF($AE48=0,0,IF($B48=Háttér_listák!$B$122,Beruházási_ktg_input!$AD48*Beruházási_ktg_input!AG48,""))</f>
        <v>0</v>
      </c>
      <c r="AS48" s="51">
        <f>IF($AE48=0,0,IF($B48=Háttér_listák!$B$122,Beruházási_ktg_input!$AD48*Beruházási_ktg_input!AH48,""))</f>
        <v>0</v>
      </c>
      <c r="AT48" s="51">
        <f>IF($AE48=0,0,IF($B48=Háttér_listák!$B$122,Beruházási_ktg_input!$AD48*Beruházási_ktg_input!AI48,""))</f>
        <v>0</v>
      </c>
      <c r="AU48" s="71">
        <f>IF($AE48=0,0,IF($B48=Háttér_listák!$B$122,Beruházási_ktg_input!$AD48*Beruházási_ktg_input!AJ48,""))</f>
        <v>0</v>
      </c>
      <c r="AV48" s="67">
        <f>IF($AE48=0,0,IF($B48=Háttér_listák!$B$122,($T48+$Y48)*AF48,""))</f>
        <v>0</v>
      </c>
      <c r="AW48" s="51">
        <f>IF($AE48=0,0,IF($B48=Háttér_listák!$B$122,($T48+$Y48)*AG48,""))</f>
        <v>0</v>
      </c>
      <c r="AX48" s="51">
        <f>IF($AE48=0,0,IF($B48=Háttér_listák!$B$122,($T48+$Y48)*AH48,""))</f>
        <v>0</v>
      </c>
      <c r="AY48" s="51">
        <f>IF($AE48=0,0,IF($B48=Háttér_listák!$B$122,($T48+$Y48)*AI48,""))</f>
        <v>0</v>
      </c>
      <c r="AZ48" s="68">
        <f>IF($AE48=0,0,IF($B48=Háttér_listák!$B$122,($T48+$Y48)*AJ48,""))</f>
        <v>0</v>
      </c>
    </row>
    <row r="49" spans="2:52">
      <c r="B49" s="251"/>
      <c r="C49" s="246">
        <f>IF(B49=Háttér_listák!$B$121,1,0)</f>
        <v>0</v>
      </c>
      <c r="D49" s="246">
        <f t="shared" si="6"/>
        <v>12</v>
      </c>
      <c r="E49" s="247"/>
      <c r="F49" s="248"/>
      <c r="G49" s="247"/>
      <c r="H49" s="248"/>
      <c r="I49" s="249"/>
      <c r="J49" s="561"/>
      <c r="K49" s="574">
        <f>IF(B49=Háttér_listák!$B$121,"",Beruházási_ktg_input!I49*Beruházási_ktg_input!J49)</f>
        <v>0</v>
      </c>
      <c r="L49" s="576">
        <f>IF(B49=Háttér_listák!$B$121,SUMIF(Beruházási_ktg_input!D49:$D$107,Beruházási_ktg_input!D49+1,Beruházási_ktg_input!L49:$L$107),Beruházási_ktg_input!$K49)</f>
        <v>0</v>
      </c>
      <c r="M49" s="570"/>
      <c r="N49" s="566">
        <v>0</v>
      </c>
      <c r="O49" s="559">
        <f>IF(B49=Háttér_listák!$B$121,SUMIF(Beruházási_ktg_input!$D$107:D114,Beruházási_ktg_input!D49+1,$O$107:O114),L49+N49)</f>
        <v>0</v>
      </c>
      <c r="P49" s="249">
        <v>0</v>
      </c>
      <c r="Q49" s="251"/>
      <c r="R49" s="248"/>
      <c r="S49" s="248"/>
      <c r="T49" s="67">
        <f>IF($B49=Háttér_listák!$B$121,SUMIF($D$107:D114,D49+1,$T$107:T114),IF(Q49=Háttér_listák!$B$125,Beruházási_ktg_input!L49,0))</f>
        <v>0</v>
      </c>
      <c r="U49" s="51">
        <f>IF($B49=Háttér_listák!$B$121,SUMIF($D$107:D114,D49+1,$U$107:U114),IF(AND(Q49=Háttér_listák!$B$125,Beruházási_ktg_input!S49=Háttér_listák!$B$130,Főoldal!$C$15="Igen"),Beruházási_ktg_input!N49,0))</f>
        <v>0</v>
      </c>
      <c r="V49" s="51">
        <f t="shared" si="7"/>
        <v>0</v>
      </c>
      <c r="W49" s="51">
        <f>IF($B49=Háttér_listák!$B$121,SUMIF($D$107:D114,D49+1,$W$107:W114),IF(AND(Q49=Háttér_listák!$B$125,Beruházási_ktg_input!S49=Háttér_listák!$B$130,Főoldal!$C$15="Nem"),Beruházási_ktg_input!N49,0))</f>
        <v>0</v>
      </c>
      <c r="X49" s="51">
        <f>IF($B49=Háttér_listák!$B$121,SUMIF($D$107:D114,D49+1,$X$107:X114),IF(AND(Q49=Háttér_listák!$B$125,Beruházási_ktg_input!S49=Háttér_listák!$B$129),Beruházási_ktg_input!N49,0))</f>
        <v>0</v>
      </c>
      <c r="Y49" s="51">
        <f>IF($B49=Háttér_listák!$B$121,SUMIF($D$107:D114,D49+1,$Y$107:Y114),IF(Q49=Háttér_listák!$B$126,Beruházási_ktg_input!L49,0))</f>
        <v>0</v>
      </c>
      <c r="Z49" s="51">
        <f>IF($B49=Háttér_listák!$B$121,SUMIF($D$107:D114,D49+1,$Z$107:Z114),IF(AND(Q49=Háttér_listák!$B$126,Beruházási_ktg_input!S49=Háttér_listák!$B$129),Beruházási_ktg_input!N49,0))</f>
        <v>0</v>
      </c>
      <c r="AA49" s="51">
        <f>IF($B49=Háttér_listák!$B$121,SUMIF($D$107:D114,D49+1,$AA$107:AA114),IF(AND(Q49=Háttér_listák!$B$126,Beruházási_ktg_input!S49=Háttér_listák!$B$130),Beruházási_ktg_input!N49,0))</f>
        <v>0</v>
      </c>
      <c r="AB49" s="51">
        <f t="shared" si="8"/>
        <v>0</v>
      </c>
      <c r="AC49" s="51">
        <f t="shared" si="9"/>
        <v>0</v>
      </c>
      <c r="AD49" s="51">
        <f t="shared" si="10"/>
        <v>0</v>
      </c>
      <c r="AE49" s="68">
        <f t="shared" si="11"/>
        <v>0</v>
      </c>
      <c r="AF49" s="258"/>
      <c r="AG49" s="259"/>
      <c r="AH49" s="259"/>
      <c r="AI49" s="259"/>
      <c r="AJ49" s="260"/>
      <c r="AK49" s="70" t="str">
        <f>IF(SUM(AF49:AJ49)=0,"",IF(SUM(AF49:AJ49)=1,Háttér_listák!$B$133,Háttér_listák!$B$134))</f>
        <v/>
      </c>
      <c r="AL49" s="67">
        <f>IF($AE49=0,0,IF($B49=Háttér_listák!$B$122,Beruházási_ktg_input!$V49*Beruházási_ktg_input!AF49,""))</f>
        <v>0</v>
      </c>
      <c r="AM49" s="51">
        <f>IF($AE49=0,0,IF($B49=Háttér_listák!$B$122,Beruházási_ktg_input!$V49*Beruházási_ktg_input!AG49,""))</f>
        <v>0</v>
      </c>
      <c r="AN49" s="51">
        <f>IF($AE49=0,0,IF($B49=Háttér_listák!$B$122,Beruházási_ktg_input!$V49*Beruházási_ktg_input!AH49,""))</f>
        <v>0</v>
      </c>
      <c r="AO49" s="51">
        <f>IF($AE49=0,0,IF($B49=Háttér_listák!$B$122,Beruházási_ktg_input!$V49*Beruházási_ktg_input!AI49,""))</f>
        <v>0</v>
      </c>
      <c r="AP49" s="68">
        <f>IF($AE49=0,0,IF($B49=Háttér_listák!$B$122,Beruházási_ktg_input!$V49*Beruházási_ktg_input!AJ49,""))</f>
        <v>0</v>
      </c>
      <c r="AQ49" s="67">
        <f>IF($AE49=0,0,IF($B49=Háttér_listák!$B$122,Beruházási_ktg_input!$AD49*Beruházási_ktg_input!AF49,""))</f>
        <v>0</v>
      </c>
      <c r="AR49" s="51">
        <f>IF($AE49=0,0,IF($B49=Háttér_listák!$B$122,Beruházási_ktg_input!$AD49*Beruházási_ktg_input!AG49,""))</f>
        <v>0</v>
      </c>
      <c r="AS49" s="51">
        <f>IF($AE49=0,0,IF($B49=Háttér_listák!$B$122,Beruházási_ktg_input!$AD49*Beruházási_ktg_input!AH49,""))</f>
        <v>0</v>
      </c>
      <c r="AT49" s="51">
        <f>IF($AE49=0,0,IF($B49=Háttér_listák!$B$122,Beruházási_ktg_input!$AD49*Beruházási_ktg_input!AI49,""))</f>
        <v>0</v>
      </c>
      <c r="AU49" s="71">
        <f>IF($AE49=0,0,IF($B49=Háttér_listák!$B$122,Beruházási_ktg_input!$AD49*Beruházási_ktg_input!AJ49,""))</f>
        <v>0</v>
      </c>
      <c r="AV49" s="67">
        <f>IF($AE49=0,0,IF($B49=Háttér_listák!$B$122,($T49+$Y49)*AF49,""))</f>
        <v>0</v>
      </c>
      <c r="AW49" s="51">
        <f>IF($AE49=0,0,IF($B49=Háttér_listák!$B$122,($T49+$Y49)*AG49,""))</f>
        <v>0</v>
      </c>
      <c r="AX49" s="51">
        <f>IF($AE49=0,0,IF($B49=Háttér_listák!$B$122,($T49+$Y49)*AH49,""))</f>
        <v>0</v>
      </c>
      <c r="AY49" s="51">
        <f>IF($AE49=0,0,IF($B49=Háttér_listák!$B$122,($T49+$Y49)*AI49,""))</f>
        <v>0</v>
      </c>
      <c r="AZ49" s="68">
        <f>IF($AE49=0,0,IF($B49=Háttér_listák!$B$122,($T49+$Y49)*AJ49,""))</f>
        <v>0</v>
      </c>
    </row>
    <row r="50" spans="2:52">
      <c r="B50" s="251"/>
      <c r="C50" s="246">
        <f>IF(B50=Háttér_listák!$B$121,1,0)</f>
        <v>0</v>
      </c>
      <c r="D50" s="246">
        <f t="shared" si="6"/>
        <v>12</v>
      </c>
      <c r="E50" s="247"/>
      <c r="F50" s="248"/>
      <c r="G50" s="247"/>
      <c r="H50" s="248"/>
      <c r="I50" s="249"/>
      <c r="J50" s="561"/>
      <c r="K50" s="574">
        <f>IF(B50=Háttér_listák!$B$121,"",Beruházási_ktg_input!I50*Beruházási_ktg_input!J50)</f>
        <v>0</v>
      </c>
      <c r="L50" s="576">
        <f>IF(B50=Háttér_listák!$B$121,SUMIF(Beruházási_ktg_input!D50:$D$107,Beruházási_ktg_input!D50+1,Beruházási_ktg_input!L50:$L$107),Beruházási_ktg_input!$K50)</f>
        <v>0</v>
      </c>
      <c r="M50" s="570"/>
      <c r="N50" s="566">
        <v>0</v>
      </c>
      <c r="O50" s="559">
        <f>IF(B50=Háttér_listák!$B$121,SUMIF(Beruházási_ktg_input!$D$107:D115,Beruházási_ktg_input!D50+1,$O$107:O115),L50+N50)</f>
        <v>0</v>
      </c>
      <c r="P50" s="249">
        <v>0</v>
      </c>
      <c r="Q50" s="251"/>
      <c r="R50" s="248"/>
      <c r="S50" s="248"/>
      <c r="T50" s="67">
        <f>IF($B50=Háttér_listák!$B$121,SUMIF($D$107:D115,D50+1,$T$107:T115),IF(Q50=Háttér_listák!$B$125,Beruházási_ktg_input!L50,0))</f>
        <v>0</v>
      </c>
      <c r="U50" s="51">
        <f>IF($B50=Háttér_listák!$B$121,SUMIF($D$107:D115,D50+1,$U$107:U115),IF(AND(Q50=Háttér_listák!$B$125,Beruházási_ktg_input!S50=Háttér_listák!$B$130,Főoldal!$C$15="Igen"),Beruházási_ktg_input!N50,0))</f>
        <v>0</v>
      </c>
      <c r="V50" s="51">
        <f t="shared" si="7"/>
        <v>0</v>
      </c>
      <c r="W50" s="51">
        <f>IF($B50=Háttér_listák!$B$121,SUMIF($D$107:D115,D50+1,$W$107:W115),IF(AND(Q50=Háttér_listák!$B$125,Beruházási_ktg_input!S50=Háttér_listák!$B$130,Főoldal!$C$15="Nem"),Beruházási_ktg_input!N50,0))</f>
        <v>0</v>
      </c>
      <c r="X50" s="51">
        <f>IF($B50=Háttér_listák!$B$121,SUMIF($D$107:D115,D50+1,$X$107:X115),IF(AND(Q50=Háttér_listák!$B$125,Beruházási_ktg_input!S50=Háttér_listák!$B$129),Beruházási_ktg_input!N50,0))</f>
        <v>0</v>
      </c>
      <c r="Y50" s="51">
        <f>IF($B50=Háttér_listák!$B$121,SUMIF($D$107:D115,D50+1,$Y$107:Y115),IF(Q50=Háttér_listák!$B$126,Beruházási_ktg_input!L50,0))</f>
        <v>0</v>
      </c>
      <c r="Z50" s="51">
        <f>IF($B50=Háttér_listák!$B$121,SUMIF($D$107:D115,D50+1,$Z$107:Z115),IF(AND(Q50=Háttér_listák!$B$126,Beruházási_ktg_input!S50=Háttér_listák!$B$129),Beruházási_ktg_input!N50,0))</f>
        <v>0</v>
      </c>
      <c r="AA50" s="51">
        <f>IF($B50=Háttér_listák!$B$121,SUMIF($D$107:D115,D50+1,$AA$107:AA115),IF(AND(Q50=Háttér_listák!$B$126,Beruházási_ktg_input!S50=Háttér_listák!$B$130),Beruházási_ktg_input!N50,0))</f>
        <v>0</v>
      </c>
      <c r="AB50" s="51">
        <f t="shared" si="8"/>
        <v>0</v>
      </c>
      <c r="AC50" s="51">
        <f t="shared" si="9"/>
        <v>0</v>
      </c>
      <c r="AD50" s="51">
        <f t="shared" si="10"/>
        <v>0</v>
      </c>
      <c r="AE50" s="68">
        <f t="shared" si="11"/>
        <v>0</v>
      </c>
      <c r="AF50" s="258"/>
      <c r="AG50" s="259"/>
      <c r="AH50" s="259"/>
      <c r="AI50" s="259"/>
      <c r="AJ50" s="260"/>
      <c r="AK50" s="70" t="str">
        <f>IF(SUM(AF50:AJ50)=0,"",IF(SUM(AF50:AJ50)=1,Háttér_listák!$B$133,Háttér_listák!$B$134))</f>
        <v/>
      </c>
      <c r="AL50" s="67">
        <f>IF($AE50=0,0,IF($B50=Háttér_listák!$B$122,Beruházási_ktg_input!$V50*Beruházási_ktg_input!AF50,""))</f>
        <v>0</v>
      </c>
      <c r="AM50" s="51">
        <f>IF($AE50=0,0,IF($B50=Háttér_listák!$B$122,Beruházási_ktg_input!$V50*Beruházási_ktg_input!AG50,""))</f>
        <v>0</v>
      </c>
      <c r="AN50" s="51">
        <f>IF($AE50=0,0,IF($B50=Háttér_listák!$B$122,Beruházási_ktg_input!$V50*Beruházási_ktg_input!AH50,""))</f>
        <v>0</v>
      </c>
      <c r="AO50" s="51">
        <f>IF($AE50=0,0,IF($B50=Háttér_listák!$B$122,Beruházási_ktg_input!$V50*Beruházási_ktg_input!AI50,""))</f>
        <v>0</v>
      </c>
      <c r="AP50" s="68">
        <f>IF($AE50=0,0,IF($B50=Háttér_listák!$B$122,Beruházási_ktg_input!$V50*Beruházási_ktg_input!AJ50,""))</f>
        <v>0</v>
      </c>
      <c r="AQ50" s="67">
        <f>IF($AE50=0,0,IF($B50=Háttér_listák!$B$122,Beruházási_ktg_input!$AD50*Beruházási_ktg_input!AF50,""))</f>
        <v>0</v>
      </c>
      <c r="AR50" s="51">
        <f>IF($AE50=0,0,IF($B50=Háttér_listák!$B$122,Beruházási_ktg_input!$AD50*Beruházási_ktg_input!AG50,""))</f>
        <v>0</v>
      </c>
      <c r="AS50" s="51">
        <f>IF($AE50=0,0,IF($B50=Háttér_listák!$B$122,Beruházási_ktg_input!$AD50*Beruházási_ktg_input!AH50,""))</f>
        <v>0</v>
      </c>
      <c r="AT50" s="51">
        <f>IF($AE50=0,0,IF($B50=Háttér_listák!$B$122,Beruházási_ktg_input!$AD50*Beruházási_ktg_input!AI50,""))</f>
        <v>0</v>
      </c>
      <c r="AU50" s="71">
        <f>IF($AE50=0,0,IF($B50=Háttér_listák!$B$122,Beruházási_ktg_input!$AD50*Beruházási_ktg_input!AJ50,""))</f>
        <v>0</v>
      </c>
      <c r="AV50" s="67">
        <f>IF($AE50=0,0,IF($B50=Háttér_listák!$B$122,($T50+$Y50)*AF50,""))</f>
        <v>0</v>
      </c>
      <c r="AW50" s="51">
        <f>IF($AE50=0,0,IF($B50=Háttér_listák!$B$122,($T50+$Y50)*AG50,""))</f>
        <v>0</v>
      </c>
      <c r="AX50" s="51">
        <f>IF($AE50=0,0,IF($B50=Háttér_listák!$B$122,($T50+$Y50)*AH50,""))</f>
        <v>0</v>
      </c>
      <c r="AY50" s="51">
        <f>IF($AE50=0,0,IF($B50=Háttér_listák!$B$122,($T50+$Y50)*AI50,""))</f>
        <v>0</v>
      </c>
      <c r="AZ50" s="68">
        <f>IF($AE50=0,0,IF($B50=Háttér_listák!$B$122,($T50+$Y50)*AJ50,""))</f>
        <v>0</v>
      </c>
    </row>
    <row r="51" spans="2:52">
      <c r="B51" s="251"/>
      <c r="C51" s="246">
        <f>IF(B51=Háttér_listák!$B$121,1,0)</f>
        <v>0</v>
      </c>
      <c r="D51" s="246">
        <f t="shared" si="6"/>
        <v>12</v>
      </c>
      <c r="E51" s="247"/>
      <c r="F51" s="248"/>
      <c r="G51" s="247"/>
      <c r="H51" s="248"/>
      <c r="I51" s="249"/>
      <c r="J51" s="561"/>
      <c r="K51" s="574">
        <f>IF(B51=Háttér_listák!$B$121,"",Beruházási_ktg_input!I51*Beruházási_ktg_input!J51)</f>
        <v>0</v>
      </c>
      <c r="L51" s="576">
        <f>IF(B51=Háttér_listák!$B$121,SUMIF(Beruházási_ktg_input!D51:$D$107,Beruházási_ktg_input!D51+1,Beruházási_ktg_input!L51:$L$107),Beruházási_ktg_input!$K51)</f>
        <v>0</v>
      </c>
      <c r="M51" s="570"/>
      <c r="N51" s="566">
        <v>0</v>
      </c>
      <c r="O51" s="559">
        <f>IF(B51=Háttér_listák!$B$121,SUMIF(Beruházási_ktg_input!$D$107:D116,Beruházási_ktg_input!D51+1,$O$107:O116),L51+N51)</f>
        <v>0</v>
      </c>
      <c r="P51" s="249">
        <v>0</v>
      </c>
      <c r="Q51" s="251"/>
      <c r="R51" s="248"/>
      <c r="S51" s="248"/>
      <c r="T51" s="67">
        <f>IF($B51=Háttér_listák!$B$121,SUMIF($D$107:D116,D51+1,$T$107:T116),IF(Q51=Háttér_listák!$B$125,Beruházási_ktg_input!L51,0))</f>
        <v>0</v>
      </c>
      <c r="U51" s="51">
        <f>IF($B51=Háttér_listák!$B$121,SUMIF($D$107:D116,D51+1,$U$107:U116),IF(AND(Q51=Háttér_listák!$B$125,Beruházási_ktg_input!S51=Háttér_listák!$B$130,Főoldal!$C$15="Igen"),Beruházási_ktg_input!N51,0))</f>
        <v>0</v>
      </c>
      <c r="V51" s="51">
        <f t="shared" si="7"/>
        <v>0</v>
      </c>
      <c r="W51" s="51">
        <f>IF($B51=Háttér_listák!$B$121,SUMIF($D$107:D116,D51+1,$W$107:W116),IF(AND(Q51=Háttér_listák!$B$125,Beruházási_ktg_input!S51=Háttér_listák!$B$130,Főoldal!$C$15="Nem"),Beruházási_ktg_input!N51,0))</f>
        <v>0</v>
      </c>
      <c r="X51" s="51">
        <f>IF($B51=Háttér_listák!$B$121,SUMIF($D$107:D116,D51+1,$X$107:X116),IF(AND(Q51=Háttér_listák!$B$125,Beruházási_ktg_input!S51=Háttér_listák!$B$129),Beruházási_ktg_input!N51,0))</f>
        <v>0</v>
      </c>
      <c r="Y51" s="51">
        <f>IF($B51=Háttér_listák!$B$121,SUMIF($D$107:D116,D51+1,$Y$107:Y116),IF(Q51=Háttér_listák!$B$126,Beruházási_ktg_input!L51,0))</f>
        <v>0</v>
      </c>
      <c r="Z51" s="51">
        <f>IF($B51=Háttér_listák!$B$121,SUMIF($D$107:D116,D51+1,$Z$107:Z116),IF(AND(Q51=Háttér_listák!$B$126,Beruházási_ktg_input!S51=Háttér_listák!$B$129),Beruházási_ktg_input!N51,0))</f>
        <v>0</v>
      </c>
      <c r="AA51" s="51">
        <f>IF($B51=Háttér_listák!$B$121,SUMIF($D$107:D116,D51+1,$AA$107:AA116),IF(AND(Q51=Háttér_listák!$B$126,Beruházási_ktg_input!S51=Háttér_listák!$B$130),Beruházási_ktg_input!N51,0))</f>
        <v>0</v>
      </c>
      <c r="AB51" s="51">
        <f t="shared" si="8"/>
        <v>0</v>
      </c>
      <c r="AC51" s="51">
        <f t="shared" si="9"/>
        <v>0</v>
      </c>
      <c r="AD51" s="51">
        <f t="shared" si="10"/>
        <v>0</v>
      </c>
      <c r="AE51" s="68">
        <f t="shared" si="11"/>
        <v>0</v>
      </c>
      <c r="AF51" s="258"/>
      <c r="AG51" s="259"/>
      <c r="AH51" s="259"/>
      <c r="AI51" s="259"/>
      <c r="AJ51" s="260"/>
      <c r="AK51" s="70" t="str">
        <f>IF(SUM(AF51:AJ51)=0,"",IF(SUM(AF51:AJ51)=1,Háttér_listák!$B$133,Háttér_listák!$B$134))</f>
        <v/>
      </c>
      <c r="AL51" s="67">
        <f>IF($AE51=0,0,IF($B51=Háttér_listák!$B$122,Beruházási_ktg_input!$V51*Beruházási_ktg_input!AF51,""))</f>
        <v>0</v>
      </c>
      <c r="AM51" s="51">
        <f>IF($AE51=0,0,IF($B51=Háttér_listák!$B$122,Beruházási_ktg_input!$V51*Beruházási_ktg_input!AG51,""))</f>
        <v>0</v>
      </c>
      <c r="AN51" s="51">
        <f>IF($AE51=0,0,IF($B51=Háttér_listák!$B$122,Beruházási_ktg_input!$V51*Beruházási_ktg_input!AH51,""))</f>
        <v>0</v>
      </c>
      <c r="AO51" s="51">
        <f>IF($AE51=0,0,IF($B51=Háttér_listák!$B$122,Beruházási_ktg_input!$V51*Beruházási_ktg_input!AI51,""))</f>
        <v>0</v>
      </c>
      <c r="AP51" s="68">
        <f>IF($AE51=0,0,IF($B51=Háttér_listák!$B$122,Beruházási_ktg_input!$V51*Beruházási_ktg_input!AJ51,""))</f>
        <v>0</v>
      </c>
      <c r="AQ51" s="67">
        <f>IF($AE51=0,0,IF($B51=Háttér_listák!$B$122,Beruházási_ktg_input!$AD51*Beruházási_ktg_input!AF51,""))</f>
        <v>0</v>
      </c>
      <c r="AR51" s="51">
        <f>IF($AE51=0,0,IF($B51=Háttér_listák!$B$122,Beruházási_ktg_input!$AD51*Beruházási_ktg_input!AG51,""))</f>
        <v>0</v>
      </c>
      <c r="AS51" s="51">
        <f>IF($AE51=0,0,IF($B51=Háttér_listák!$B$122,Beruházási_ktg_input!$AD51*Beruházási_ktg_input!AH51,""))</f>
        <v>0</v>
      </c>
      <c r="AT51" s="51">
        <f>IF($AE51=0,0,IF($B51=Háttér_listák!$B$122,Beruházási_ktg_input!$AD51*Beruházási_ktg_input!AI51,""))</f>
        <v>0</v>
      </c>
      <c r="AU51" s="71">
        <f>IF($AE51=0,0,IF($B51=Háttér_listák!$B$122,Beruházási_ktg_input!$AD51*Beruházási_ktg_input!AJ51,""))</f>
        <v>0</v>
      </c>
      <c r="AV51" s="67">
        <f>IF($AE51=0,0,IF($B51=Háttér_listák!$B$122,($T51+$Y51)*AF51,""))</f>
        <v>0</v>
      </c>
      <c r="AW51" s="51">
        <f>IF($AE51=0,0,IF($B51=Háttér_listák!$B$122,($T51+$Y51)*AG51,""))</f>
        <v>0</v>
      </c>
      <c r="AX51" s="51">
        <f>IF($AE51=0,0,IF($B51=Háttér_listák!$B$122,($T51+$Y51)*AH51,""))</f>
        <v>0</v>
      </c>
      <c r="AY51" s="51">
        <f>IF($AE51=0,0,IF($B51=Háttér_listák!$B$122,($T51+$Y51)*AI51,""))</f>
        <v>0</v>
      </c>
      <c r="AZ51" s="68">
        <f>IF($AE51=0,0,IF($B51=Háttér_listák!$B$122,($T51+$Y51)*AJ51,""))</f>
        <v>0</v>
      </c>
    </row>
    <row r="52" spans="2:52">
      <c r="B52" s="251"/>
      <c r="C52" s="246">
        <f>IF(B52=Háttér_listák!$B$121,1,0)</f>
        <v>0</v>
      </c>
      <c r="D52" s="246">
        <f t="shared" si="6"/>
        <v>12</v>
      </c>
      <c r="E52" s="247"/>
      <c r="F52" s="248"/>
      <c r="G52" s="247"/>
      <c r="H52" s="248"/>
      <c r="I52" s="249"/>
      <c r="J52" s="561"/>
      <c r="K52" s="574">
        <f>IF(B52=Háttér_listák!$B$121,"",Beruházási_ktg_input!I52*Beruházási_ktg_input!J52)</f>
        <v>0</v>
      </c>
      <c r="L52" s="576">
        <f>IF(B52=Háttér_listák!$B$121,SUMIF(Beruházási_ktg_input!D52:$D$107,Beruházási_ktg_input!D52+1,Beruházási_ktg_input!L52:$L$107),Beruházási_ktg_input!$K52)</f>
        <v>0</v>
      </c>
      <c r="M52" s="570"/>
      <c r="N52" s="566">
        <v>0</v>
      </c>
      <c r="O52" s="559">
        <f>IF(B52=Háttér_listák!$B$121,SUMIF(Beruházási_ktg_input!$D$107:D117,Beruházási_ktg_input!D52+1,$O$107:O117),L52+N52)</f>
        <v>0</v>
      </c>
      <c r="P52" s="249">
        <v>0</v>
      </c>
      <c r="Q52" s="251"/>
      <c r="R52" s="248"/>
      <c r="S52" s="248"/>
      <c r="T52" s="67">
        <f>IF($B52=Háttér_listák!$B$121,SUMIF($D$107:D117,D52+1,$T$107:T117),IF(Q52=Háttér_listák!$B$125,Beruházási_ktg_input!L52,0))</f>
        <v>0</v>
      </c>
      <c r="U52" s="51">
        <f>IF($B52=Háttér_listák!$B$121,SUMIF($D$107:D117,D52+1,$U$107:U117),IF(AND(Q52=Háttér_listák!$B$125,Beruházási_ktg_input!S52=Háttér_listák!$B$130,Főoldal!$C$15="Igen"),Beruházási_ktg_input!N52,0))</f>
        <v>0</v>
      </c>
      <c r="V52" s="51">
        <f t="shared" si="7"/>
        <v>0</v>
      </c>
      <c r="W52" s="51">
        <f>IF($B52=Háttér_listák!$B$121,SUMIF($D$107:D117,D52+1,$W$107:W117),IF(AND(Q52=Háttér_listák!$B$125,Beruházási_ktg_input!S52=Háttér_listák!$B$130,Főoldal!$C$15="Nem"),Beruházási_ktg_input!N52,0))</f>
        <v>0</v>
      </c>
      <c r="X52" s="51">
        <f>IF($B52=Háttér_listák!$B$121,SUMIF($D$107:D117,D52+1,$X$107:X117),IF(AND(Q52=Háttér_listák!$B$125,Beruházási_ktg_input!S52=Háttér_listák!$B$129),Beruházási_ktg_input!N52,0))</f>
        <v>0</v>
      </c>
      <c r="Y52" s="51">
        <f>IF($B52=Háttér_listák!$B$121,SUMIF($D$107:D117,D52+1,$Y$107:Y117),IF(Q52=Háttér_listák!$B$126,Beruházási_ktg_input!L52,0))</f>
        <v>0</v>
      </c>
      <c r="Z52" s="51">
        <f>IF($B52=Háttér_listák!$B$121,SUMIF($D$107:D117,D52+1,$Z$107:Z117),IF(AND(Q52=Háttér_listák!$B$126,Beruházási_ktg_input!S52=Háttér_listák!$B$129),Beruházási_ktg_input!N52,0))</f>
        <v>0</v>
      </c>
      <c r="AA52" s="51">
        <f>IF($B52=Háttér_listák!$B$121,SUMIF($D$107:D117,D52+1,$AA$107:AA117),IF(AND(Q52=Háttér_listák!$B$126,Beruházási_ktg_input!S52=Háttér_listák!$B$130),Beruházási_ktg_input!N52,0))</f>
        <v>0</v>
      </c>
      <c r="AB52" s="51">
        <f t="shared" si="8"/>
        <v>0</v>
      </c>
      <c r="AC52" s="51">
        <f t="shared" si="9"/>
        <v>0</v>
      </c>
      <c r="AD52" s="51">
        <f t="shared" si="10"/>
        <v>0</v>
      </c>
      <c r="AE52" s="68">
        <f t="shared" si="11"/>
        <v>0</v>
      </c>
      <c r="AF52" s="258"/>
      <c r="AG52" s="259"/>
      <c r="AH52" s="259"/>
      <c r="AI52" s="259"/>
      <c r="AJ52" s="260"/>
      <c r="AK52" s="70" t="str">
        <f>IF(SUM(AF52:AJ52)=0,"",IF(SUM(AF52:AJ52)=1,Háttér_listák!$B$133,Háttér_listák!$B$134))</f>
        <v/>
      </c>
      <c r="AL52" s="67">
        <f>IF($AE52=0,0,IF($B52=Háttér_listák!$B$122,Beruházási_ktg_input!$V52*Beruházási_ktg_input!AF52,""))</f>
        <v>0</v>
      </c>
      <c r="AM52" s="51">
        <f>IF($AE52=0,0,IF($B52=Háttér_listák!$B$122,Beruházási_ktg_input!$V52*Beruházási_ktg_input!AG52,""))</f>
        <v>0</v>
      </c>
      <c r="AN52" s="51">
        <f>IF($AE52=0,0,IF($B52=Háttér_listák!$B$122,Beruházási_ktg_input!$V52*Beruházási_ktg_input!AH52,""))</f>
        <v>0</v>
      </c>
      <c r="AO52" s="51">
        <f>IF($AE52=0,0,IF($B52=Háttér_listák!$B$122,Beruházási_ktg_input!$V52*Beruházási_ktg_input!AI52,""))</f>
        <v>0</v>
      </c>
      <c r="AP52" s="68">
        <f>IF($AE52=0,0,IF($B52=Háttér_listák!$B$122,Beruházási_ktg_input!$V52*Beruházási_ktg_input!AJ52,""))</f>
        <v>0</v>
      </c>
      <c r="AQ52" s="67">
        <f>IF($AE52=0,0,IF($B52=Háttér_listák!$B$122,Beruházási_ktg_input!$AD52*Beruházási_ktg_input!AF52,""))</f>
        <v>0</v>
      </c>
      <c r="AR52" s="51">
        <f>IF($AE52=0,0,IF($B52=Háttér_listák!$B$122,Beruházási_ktg_input!$AD52*Beruházási_ktg_input!AG52,""))</f>
        <v>0</v>
      </c>
      <c r="AS52" s="51">
        <f>IF($AE52=0,0,IF($B52=Háttér_listák!$B$122,Beruházási_ktg_input!$AD52*Beruházási_ktg_input!AH52,""))</f>
        <v>0</v>
      </c>
      <c r="AT52" s="51">
        <f>IF($AE52=0,0,IF($B52=Háttér_listák!$B$122,Beruházási_ktg_input!$AD52*Beruházási_ktg_input!AI52,""))</f>
        <v>0</v>
      </c>
      <c r="AU52" s="71">
        <f>IF($AE52=0,0,IF($B52=Háttér_listák!$B$122,Beruházási_ktg_input!$AD52*Beruházási_ktg_input!AJ52,""))</f>
        <v>0</v>
      </c>
      <c r="AV52" s="67">
        <f>IF($AE52=0,0,IF($B52=Háttér_listák!$B$122,($T52+$Y52)*AF52,""))</f>
        <v>0</v>
      </c>
      <c r="AW52" s="51">
        <f>IF($AE52=0,0,IF($B52=Háttér_listák!$B$122,($T52+$Y52)*AG52,""))</f>
        <v>0</v>
      </c>
      <c r="AX52" s="51">
        <f>IF($AE52=0,0,IF($B52=Háttér_listák!$B$122,($T52+$Y52)*AH52,""))</f>
        <v>0</v>
      </c>
      <c r="AY52" s="51">
        <f>IF($AE52=0,0,IF($B52=Háttér_listák!$B$122,($T52+$Y52)*AI52,""))</f>
        <v>0</v>
      </c>
      <c r="AZ52" s="68">
        <f>IF($AE52=0,0,IF($B52=Háttér_listák!$B$122,($T52+$Y52)*AJ52,""))</f>
        <v>0</v>
      </c>
    </row>
    <row r="53" spans="2:52">
      <c r="B53" s="251"/>
      <c r="C53" s="246">
        <f>IF(B53=Háttér_listák!$B$121,1,0)</f>
        <v>0</v>
      </c>
      <c r="D53" s="246">
        <f t="shared" si="6"/>
        <v>12</v>
      </c>
      <c r="E53" s="247"/>
      <c r="F53" s="248"/>
      <c r="G53" s="247"/>
      <c r="H53" s="248"/>
      <c r="I53" s="249"/>
      <c r="J53" s="561"/>
      <c r="K53" s="574">
        <f>IF(B53=Háttér_listák!$B$121,"",Beruházási_ktg_input!I53*Beruházási_ktg_input!J53)</f>
        <v>0</v>
      </c>
      <c r="L53" s="576">
        <f>IF(B53=Háttér_listák!$B$121,SUMIF(Beruházási_ktg_input!D53:$D$107,Beruházási_ktg_input!D53+1,Beruházási_ktg_input!L53:$L$107),Beruházási_ktg_input!$K53)</f>
        <v>0</v>
      </c>
      <c r="M53" s="570"/>
      <c r="N53" s="566">
        <v>0</v>
      </c>
      <c r="O53" s="559">
        <f>IF(B53=Háttér_listák!$B$121,SUMIF(Beruházási_ktg_input!$D$107:D118,Beruházási_ktg_input!D53+1,$O$107:O118),L53+N53)</f>
        <v>0</v>
      </c>
      <c r="P53" s="249">
        <v>0</v>
      </c>
      <c r="Q53" s="251"/>
      <c r="R53" s="248"/>
      <c r="S53" s="248"/>
      <c r="T53" s="67">
        <f>IF($B53=Háttér_listák!$B$121,SUMIF($D$107:D118,D53+1,$T$107:T118),IF(Q53=Háttér_listák!$B$125,Beruházási_ktg_input!L53,0))</f>
        <v>0</v>
      </c>
      <c r="U53" s="51">
        <f>IF($B53=Háttér_listák!$B$121,SUMIF($D$107:D118,D53+1,$U$107:U118),IF(AND(Q53=Háttér_listák!$B$125,Beruházási_ktg_input!S53=Háttér_listák!$B$130,Főoldal!$C$15="Igen"),Beruházási_ktg_input!N53,0))</f>
        <v>0</v>
      </c>
      <c r="V53" s="51">
        <f t="shared" si="7"/>
        <v>0</v>
      </c>
      <c r="W53" s="51">
        <f>IF($B53=Háttér_listák!$B$121,SUMIF($D$107:D118,D53+1,$W$107:W118),IF(AND(Q53=Háttér_listák!$B$125,Beruházási_ktg_input!S53=Háttér_listák!$B$130,Főoldal!$C$15="Nem"),Beruházási_ktg_input!N53,0))</f>
        <v>0</v>
      </c>
      <c r="X53" s="51">
        <f>IF($B53=Háttér_listák!$B$121,SUMIF($D$107:D118,D53+1,$X$107:X118),IF(AND(Q53=Háttér_listák!$B$125,Beruházási_ktg_input!S53=Háttér_listák!$B$129),Beruházási_ktg_input!N53,0))</f>
        <v>0</v>
      </c>
      <c r="Y53" s="51">
        <f>IF($B53=Háttér_listák!$B$121,SUMIF($D$107:D118,D53+1,$Y$107:Y118),IF(Q53=Háttér_listák!$B$126,Beruházási_ktg_input!L53,0))</f>
        <v>0</v>
      </c>
      <c r="Z53" s="51">
        <f>IF($B53=Háttér_listák!$B$121,SUMIF($D$107:D118,D53+1,$Z$107:Z118),IF(AND(Q53=Háttér_listák!$B$126,Beruházási_ktg_input!S53=Háttér_listák!$B$129),Beruházási_ktg_input!N53,0))</f>
        <v>0</v>
      </c>
      <c r="AA53" s="51">
        <f>IF($B53=Háttér_listák!$B$121,SUMIF($D$107:D118,D53+1,$AA$107:AA118),IF(AND(Q53=Háttér_listák!$B$126,Beruházási_ktg_input!S53=Háttér_listák!$B$130),Beruházási_ktg_input!N53,0))</f>
        <v>0</v>
      </c>
      <c r="AB53" s="51">
        <f t="shared" si="8"/>
        <v>0</v>
      </c>
      <c r="AC53" s="51">
        <f t="shared" si="9"/>
        <v>0</v>
      </c>
      <c r="AD53" s="51">
        <f t="shared" si="10"/>
        <v>0</v>
      </c>
      <c r="AE53" s="68">
        <f t="shared" si="11"/>
        <v>0</v>
      </c>
      <c r="AF53" s="258"/>
      <c r="AG53" s="259"/>
      <c r="AH53" s="259"/>
      <c r="AI53" s="259"/>
      <c r="AJ53" s="260"/>
      <c r="AK53" s="70" t="str">
        <f>IF(SUM(AF53:AJ53)=0,"",IF(SUM(AF53:AJ53)=1,Háttér_listák!$B$133,Háttér_listák!$B$134))</f>
        <v/>
      </c>
      <c r="AL53" s="67">
        <f>IF($AE53=0,0,IF($B53=Háttér_listák!$B$122,Beruházási_ktg_input!$V53*Beruházási_ktg_input!AF53,""))</f>
        <v>0</v>
      </c>
      <c r="AM53" s="51">
        <f>IF($AE53=0,0,IF($B53=Háttér_listák!$B$122,Beruházási_ktg_input!$V53*Beruházási_ktg_input!AG53,""))</f>
        <v>0</v>
      </c>
      <c r="AN53" s="51">
        <f>IF($AE53=0,0,IF($B53=Háttér_listák!$B$122,Beruházási_ktg_input!$V53*Beruházási_ktg_input!AH53,""))</f>
        <v>0</v>
      </c>
      <c r="AO53" s="51">
        <f>IF($AE53=0,0,IF($B53=Háttér_listák!$B$122,Beruházási_ktg_input!$V53*Beruházási_ktg_input!AI53,""))</f>
        <v>0</v>
      </c>
      <c r="AP53" s="68">
        <f>IF($AE53=0,0,IF($B53=Háttér_listák!$B$122,Beruházási_ktg_input!$V53*Beruházási_ktg_input!AJ53,""))</f>
        <v>0</v>
      </c>
      <c r="AQ53" s="67">
        <f>IF($AE53=0,0,IF($B53=Háttér_listák!$B$122,Beruházási_ktg_input!$AD53*Beruházási_ktg_input!AF53,""))</f>
        <v>0</v>
      </c>
      <c r="AR53" s="51">
        <f>IF($AE53=0,0,IF($B53=Háttér_listák!$B$122,Beruházási_ktg_input!$AD53*Beruházási_ktg_input!AG53,""))</f>
        <v>0</v>
      </c>
      <c r="AS53" s="51">
        <f>IF($AE53=0,0,IF($B53=Háttér_listák!$B$122,Beruházási_ktg_input!$AD53*Beruházási_ktg_input!AH53,""))</f>
        <v>0</v>
      </c>
      <c r="AT53" s="51">
        <f>IF($AE53=0,0,IF($B53=Háttér_listák!$B$122,Beruházási_ktg_input!$AD53*Beruházási_ktg_input!AI53,""))</f>
        <v>0</v>
      </c>
      <c r="AU53" s="71">
        <f>IF($AE53=0,0,IF($B53=Háttér_listák!$B$122,Beruházási_ktg_input!$AD53*Beruházási_ktg_input!AJ53,""))</f>
        <v>0</v>
      </c>
      <c r="AV53" s="67">
        <f>IF($AE53=0,0,IF($B53=Háttér_listák!$B$122,($T53+$Y53)*AF53,""))</f>
        <v>0</v>
      </c>
      <c r="AW53" s="51">
        <f>IF($AE53=0,0,IF($B53=Háttér_listák!$B$122,($T53+$Y53)*AG53,""))</f>
        <v>0</v>
      </c>
      <c r="AX53" s="51">
        <f>IF($AE53=0,0,IF($B53=Háttér_listák!$B$122,($T53+$Y53)*AH53,""))</f>
        <v>0</v>
      </c>
      <c r="AY53" s="51">
        <f>IF($AE53=0,0,IF($B53=Háttér_listák!$B$122,($T53+$Y53)*AI53,""))</f>
        <v>0</v>
      </c>
      <c r="AZ53" s="68">
        <f>IF($AE53=0,0,IF($B53=Háttér_listák!$B$122,($T53+$Y53)*AJ53,""))</f>
        <v>0</v>
      </c>
    </row>
    <row r="54" spans="2:52">
      <c r="B54" s="251"/>
      <c r="C54" s="246">
        <f>IF(B54=Háttér_listák!$B$121,1,0)</f>
        <v>0</v>
      </c>
      <c r="D54" s="246">
        <f t="shared" si="6"/>
        <v>12</v>
      </c>
      <c r="E54" s="247"/>
      <c r="F54" s="248"/>
      <c r="G54" s="247"/>
      <c r="H54" s="248"/>
      <c r="I54" s="249"/>
      <c r="J54" s="561"/>
      <c r="K54" s="574">
        <f>IF(B54=Háttér_listák!$B$121,"",Beruházási_ktg_input!I54*Beruházási_ktg_input!J54)</f>
        <v>0</v>
      </c>
      <c r="L54" s="576">
        <f>IF(B54=Háttér_listák!$B$121,SUMIF(Beruházási_ktg_input!D54:$D$107,Beruházási_ktg_input!D54+1,Beruházási_ktg_input!L54:$L$107),Beruházási_ktg_input!$K54)</f>
        <v>0</v>
      </c>
      <c r="M54" s="570"/>
      <c r="N54" s="566">
        <v>0</v>
      </c>
      <c r="O54" s="559">
        <f>IF(B54=Háttér_listák!$B$121,SUMIF(Beruházási_ktg_input!$D$107:D119,Beruházási_ktg_input!D54+1,$O$107:O119),L54+N54)</f>
        <v>0</v>
      </c>
      <c r="P54" s="249">
        <v>0</v>
      </c>
      <c r="Q54" s="251"/>
      <c r="R54" s="248"/>
      <c r="S54" s="248"/>
      <c r="T54" s="67">
        <f>IF($B54=Háttér_listák!$B$121,SUMIF($D$107:D119,D54+1,$T$107:T119),IF(Q54=Háttér_listák!$B$125,Beruházási_ktg_input!L54,0))</f>
        <v>0</v>
      </c>
      <c r="U54" s="51">
        <f>IF($B54=Háttér_listák!$B$121,SUMIF($D$107:D119,D54+1,$U$107:U119),IF(AND(Q54=Háttér_listák!$B$125,Beruházási_ktg_input!S54=Háttér_listák!$B$130,Főoldal!$C$15="Igen"),Beruházási_ktg_input!N54,0))</f>
        <v>0</v>
      </c>
      <c r="V54" s="51">
        <f t="shared" si="7"/>
        <v>0</v>
      </c>
      <c r="W54" s="51">
        <f>IF($B54=Háttér_listák!$B$121,SUMIF($D$107:D119,D54+1,$W$107:W119),IF(AND(Q54=Háttér_listák!$B$125,Beruházási_ktg_input!S54=Háttér_listák!$B$130,Főoldal!$C$15="Nem"),Beruházási_ktg_input!N54,0))</f>
        <v>0</v>
      </c>
      <c r="X54" s="51">
        <f>IF($B54=Háttér_listák!$B$121,SUMIF($D$107:D119,D54+1,$X$107:X119),IF(AND(Q54=Háttér_listák!$B$125,Beruházási_ktg_input!S54=Háttér_listák!$B$129),Beruházási_ktg_input!N54,0))</f>
        <v>0</v>
      </c>
      <c r="Y54" s="51">
        <f>IF($B54=Háttér_listák!$B$121,SUMIF($D$107:D119,D54+1,$Y$107:Y119),IF(Q54=Háttér_listák!$B$126,Beruházási_ktg_input!L54,0))</f>
        <v>0</v>
      </c>
      <c r="Z54" s="51">
        <f>IF($B54=Háttér_listák!$B$121,SUMIF($D$107:D119,D54+1,$Z$107:Z119),IF(AND(Q54=Háttér_listák!$B$126,Beruházási_ktg_input!S54=Háttér_listák!$B$129),Beruházási_ktg_input!N54,0))</f>
        <v>0</v>
      </c>
      <c r="AA54" s="51">
        <f>IF($B54=Háttér_listák!$B$121,SUMIF($D$107:D119,D54+1,$AA$107:AA119),IF(AND(Q54=Háttér_listák!$B$126,Beruházási_ktg_input!S54=Háttér_listák!$B$130),Beruházási_ktg_input!N54,0))</f>
        <v>0</v>
      </c>
      <c r="AB54" s="51">
        <f t="shared" si="8"/>
        <v>0</v>
      </c>
      <c r="AC54" s="51">
        <f t="shared" si="9"/>
        <v>0</v>
      </c>
      <c r="AD54" s="51">
        <f t="shared" si="10"/>
        <v>0</v>
      </c>
      <c r="AE54" s="68">
        <f t="shared" si="11"/>
        <v>0</v>
      </c>
      <c r="AF54" s="258"/>
      <c r="AG54" s="259"/>
      <c r="AH54" s="259"/>
      <c r="AI54" s="259"/>
      <c r="AJ54" s="260"/>
      <c r="AK54" s="70" t="str">
        <f>IF(SUM(AF54:AJ54)=0,"",IF(SUM(AF54:AJ54)=1,Háttér_listák!$B$133,Háttér_listák!$B$134))</f>
        <v/>
      </c>
      <c r="AL54" s="67">
        <f>IF($AE54=0,0,IF($B54=Háttér_listák!$B$122,Beruházási_ktg_input!$V54*Beruházási_ktg_input!AF54,""))</f>
        <v>0</v>
      </c>
      <c r="AM54" s="51">
        <f>IF($AE54=0,0,IF($B54=Háttér_listák!$B$122,Beruházási_ktg_input!$V54*Beruházási_ktg_input!AG54,""))</f>
        <v>0</v>
      </c>
      <c r="AN54" s="51">
        <f>IF($AE54=0,0,IF($B54=Háttér_listák!$B$122,Beruházási_ktg_input!$V54*Beruházási_ktg_input!AH54,""))</f>
        <v>0</v>
      </c>
      <c r="AO54" s="51">
        <f>IF($AE54=0,0,IF($B54=Háttér_listák!$B$122,Beruházási_ktg_input!$V54*Beruházási_ktg_input!AI54,""))</f>
        <v>0</v>
      </c>
      <c r="AP54" s="68">
        <f>IF($AE54=0,0,IF($B54=Háttér_listák!$B$122,Beruházási_ktg_input!$V54*Beruházási_ktg_input!AJ54,""))</f>
        <v>0</v>
      </c>
      <c r="AQ54" s="67">
        <f>IF($AE54=0,0,IF($B54=Háttér_listák!$B$122,Beruházási_ktg_input!$AD54*Beruházási_ktg_input!AF54,""))</f>
        <v>0</v>
      </c>
      <c r="AR54" s="51">
        <f>IF($AE54=0,0,IF($B54=Háttér_listák!$B$122,Beruházási_ktg_input!$AD54*Beruházási_ktg_input!AG54,""))</f>
        <v>0</v>
      </c>
      <c r="AS54" s="51">
        <f>IF($AE54=0,0,IF($B54=Háttér_listák!$B$122,Beruházási_ktg_input!$AD54*Beruházási_ktg_input!AH54,""))</f>
        <v>0</v>
      </c>
      <c r="AT54" s="51">
        <f>IF($AE54=0,0,IF($B54=Háttér_listák!$B$122,Beruházási_ktg_input!$AD54*Beruházási_ktg_input!AI54,""))</f>
        <v>0</v>
      </c>
      <c r="AU54" s="71">
        <f>IF($AE54=0,0,IF($B54=Háttér_listák!$B$122,Beruházási_ktg_input!$AD54*Beruházási_ktg_input!AJ54,""))</f>
        <v>0</v>
      </c>
      <c r="AV54" s="67">
        <f>IF($AE54=0,0,IF($B54=Háttér_listák!$B$122,($T54+$Y54)*AF54,""))</f>
        <v>0</v>
      </c>
      <c r="AW54" s="51">
        <f>IF($AE54=0,0,IF($B54=Háttér_listák!$B$122,($T54+$Y54)*AG54,""))</f>
        <v>0</v>
      </c>
      <c r="AX54" s="51">
        <f>IF($AE54=0,0,IF($B54=Háttér_listák!$B$122,($T54+$Y54)*AH54,""))</f>
        <v>0</v>
      </c>
      <c r="AY54" s="51">
        <f>IF($AE54=0,0,IF($B54=Háttér_listák!$B$122,($T54+$Y54)*AI54,""))</f>
        <v>0</v>
      </c>
      <c r="AZ54" s="68">
        <f>IF($AE54=0,0,IF($B54=Háttér_listák!$B$122,($T54+$Y54)*AJ54,""))</f>
        <v>0</v>
      </c>
    </row>
    <row r="55" spans="2:52">
      <c r="B55" s="251"/>
      <c r="C55" s="246">
        <f>IF(B55=Háttér_listák!$B$121,1,0)</f>
        <v>0</v>
      </c>
      <c r="D55" s="246">
        <f t="shared" si="6"/>
        <v>12</v>
      </c>
      <c r="E55" s="247"/>
      <c r="F55" s="248"/>
      <c r="G55" s="247"/>
      <c r="H55" s="248"/>
      <c r="I55" s="249"/>
      <c r="J55" s="561"/>
      <c r="K55" s="574">
        <f>IF(B55=Háttér_listák!$B$121,"",Beruházási_ktg_input!I55*Beruházási_ktg_input!J55)</f>
        <v>0</v>
      </c>
      <c r="L55" s="576">
        <f>IF(B55=Háttér_listák!$B$121,SUMIF(Beruházási_ktg_input!D55:$D$107,Beruházási_ktg_input!D55+1,Beruházási_ktg_input!L55:$L$107),Beruházási_ktg_input!$K55)</f>
        <v>0</v>
      </c>
      <c r="M55" s="570"/>
      <c r="N55" s="566">
        <v>0</v>
      </c>
      <c r="O55" s="559">
        <f>IF(B55=Háttér_listák!$B$121,SUMIF(Beruházási_ktg_input!$D$107:D120,Beruházási_ktg_input!D55+1,$O$107:O120),L55+N55)</f>
        <v>0</v>
      </c>
      <c r="P55" s="249">
        <v>0</v>
      </c>
      <c r="Q55" s="251"/>
      <c r="R55" s="248"/>
      <c r="S55" s="248"/>
      <c r="T55" s="67">
        <f>IF($B55=Háttér_listák!$B$121,SUMIF($D$107:D120,D55+1,$T$107:T120),IF(Q55=Háttér_listák!$B$125,Beruházási_ktg_input!L55,0))</f>
        <v>0</v>
      </c>
      <c r="U55" s="51">
        <f>IF($B55=Háttér_listák!$B$121,SUMIF($D$107:D120,D55+1,$U$107:U120),IF(AND(Q55=Háttér_listák!$B$125,Beruházási_ktg_input!S55=Háttér_listák!$B$130,Főoldal!$C$15="Igen"),Beruházási_ktg_input!N55,0))</f>
        <v>0</v>
      </c>
      <c r="V55" s="51">
        <f t="shared" si="7"/>
        <v>0</v>
      </c>
      <c r="W55" s="51">
        <f>IF($B55=Háttér_listák!$B$121,SUMIF($D$107:D120,D55+1,$W$107:W120),IF(AND(Q55=Háttér_listák!$B$125,Beruházási_ktg_input!S55=Háttér_listák!$B$130,Főoldal!$C$15="Nem"),Beruházási_ktg_input!N55,0))</f>
        <v>0</v>
      </c>
      <c r="X55" s="51">
        <f>IF($B55=Háttér_listák!$B$121,SUMIF($D$107:D120,D55+1,$X$107:X120),IF(AND(Q55=Háttér_listák!$B$125,Beruházási_ktg_input!S55=Háttér_listák!$B$129),Beruházási_ktg_input!N55,0))</f>
        <v>0</v>
      </c>
      <c r="Y55" s="51">
        <f>IF($B55=Háttér_listák!$B$121,SUMIF($D$107:D120,D55+1,$Y$107:Y120),IF(Q55=Háttér_listák!$B$126,Beruházási_ktg_input!L55,0))</f>
        <v>0</v>
      </c>
      <c r="Z55" s="51">
        <f>IF($B55=Háttér_listák!$B$121,SUMIF($D$107:D120,D55+1,$Z$107:Z120),IF(AND(Q55=Háttér_listák!$B$126,Beruházási_ktg_input!S55=Háttér_listák!$B$129),Beruházási_ktg_input!N55,0))</f>
        <v>0</v>
      </c>
      <c r="AA55" s="51">
        <f>IF($B55=Háttér_listák!$B$121,SUMIF($D$107:D120,D55+1,$AA$107:AA120),IF(AND(Q55=Háttér_listák!$B$126,Beruházási_ktg_input!S55=Háttér_listák!$B$130),Beruházási_ktg_input!N55,0))</f>
        <v>0</v>
      </c>
      <c r="AB55" s="51">
        <f t="shared" si="8"/>
        <v>0</v>
      </c>
      <c r="AC55" s="51">
        <f t="shared" si="9"/>
        <v>0</v>
      </c>
      <c r="AD55" s="51">
        <f t="shared" si="10"/>
        <v>0</v>
      </c>
      <c r="AE55" s="68">
        <f t="shared" si="11"/>
        <v>0</v>
      </c>
      <c r="AF55" s="258"/>
      <c r="AG55" s="259"/>
      <c r="AH55" s="259"/>
      <c r="AI55" s="259"/>
      <c r="AJ55" s="260"/>
      <c r="AK55" s="70" t="str">
        <f>IF(SUM(AF55:AJ55)=0,"",IF(SUM(AF55:AJ55)=1,Háttér_listák!$B$133,Háttér_listák!$B$134))</f>
        <v/>
      </c>
      <c r="AL55" s="67">
        <f>IF($AE55=0,0,IF($B55=Háttér_listák!$B$122,Beruházási_ktg_input!$V55*Beruházási_ktg_input!AF55,""))</f>
        <v>0</v>
      </c>
      <c r="AM55" s="51">
        <f>IF($AE55=0,0,IF($B55=Háttér_listák!$B$122,Beruházási_ktg_input!$V55*Beruházási_ktg_input!AG55,""))</f>
        <v>0</v>
      </c>
      <c r="AN55" s="51">
        <f>IF($AE55=0,0,IF($B55=Háttér_listák!$B$122,Beruházási_ktg_input!$V55*Beruházási_ktg_input!AH55,""))</f>
        <v>0</v>
      </c>
      <c r="AO55" s="51">
        <f>IF($AE55=0,0,IF($B55=Háttér_listák!$B$122,Beruházási_ktg_input!$V55*Beruházási_ktg_input!AI55,""))</f>
        <v>0</v>
      </c>
      <c r="AP55" s="68">
        <f>IF($AE55=0,0,IF($B55=Háttér_listák!$B$122,Beruházási_ktg_input!$V55*Beruházási_ktg_input!AJ55,""))</f>
        <v>0</v>
      </c>
      <c r="AQ55" s="67">
        <f>IF($AE55=0,0,IF($B55=Háttér_listák!$B$122,Beruházási_ktg_input!$AD55*Beruházási_ktg_input!AF55,""))</f>
        <v>0</v>
      </c>
      <c r="AR55" s="51">
        <f>IF($AE55=0,0,IF($B55=Háttér_listák!$B$122,Beruházási_ktg_input!$AD55*Beruházási_ktg_input!AG55,""))</f>
        <v>0</v>
      </c>
      <c r="AS55" s="51">
        <f>IF($AE55=0,0,IF($B55=Háttér_listák!$B$122,Beruházási_ktg_input!$AD55*Beruházási_ktg_input!AH55,""))</f>
        <v>0</v>
      </c>
      <c r="AT55" s="51">
        <f>IF($AE55=0,0,IF($B55=Háttér_listák!$B$122,Beruházási_ktg_input!$AD55*Beruházási_ktg_input!AI55,""))</f>
        <v>0</v>
      </c>
      <c r="AU55" s="71">
        <f>IF($AE55=0,0,IF($B55=Háttér_listák!$B$122,Beruházási_ktg_input!$AD55*Beruházási_ktg_input!AJ55,""))</f>
        <v>0</v>
      </c>
      <c r="AV55" s="67">
        <f>IF($AE55=0,0,IF($B55=Háttér_listák!$B$122,($T55+$Y55)*AF55,""))</f>
        <v>0</v>
      </c>
      <c r="AW55" s="51">
        <f>IF($AE55=0,0,IF($B55=Háttér_listák!$B$122,($T55+$Y55)*AG55,""))</f>
        <v>0</v>
      </c>
      <c r="AX55" s="51">
        <f>IF($AE55=0,0,IF($B55=Háttér_listák!$B$122,($T55+$Y55)*AH55,""))</f>
        <v>0</v>
      </c>
      <c r="AY55" s="51">
        <f>IF($AE55=0,0,IF($B55=Háttér_listák!$B$122,($T55+$Y55)*AI55,""))</f>
        <v>0</v>
      </c>
      <c r="AZ55" s="68">
        <f>IF($AE55=0,0,IF($B55=Háttér_listák!$B$122,($T55+$Y55)*AJ55,""))</f>
        <v>0</v>
      </c>
    </row>
    <row r="56" spans="2:52">
      <c r="B56" s="251"/>
      <c r="C56" s="246">
        <f>IF(B56=Háttér_listák!$B$121,1,0)</f>
        <v>0</v>
      </c>
      <c r="D56" s="246">
        <f t="shared" si="6"/>
        <v>12</v>
      </c>
      <c r="E56" s="247"/>
      <c r="F56" s="248"/>
      <c r="G56" s="247"/>
      <c r="H56" s="248"/>
      <c r="I56" s="249"/>
      <c r="J56" s="561"/>
      <c r="K56" s="574">
        <f>IF(B56=Háttér_listák!$B$121,"",Beruházási_ktg_input!I56*Beruházási_ktg_input!J56)</f>
        <v>0</v>
      </c>
      <c r="L56" s="576">
        <f>IF(B56=Háttér_listák!$B$121,SUMIF(Beruházási_ktg_input!D56:$D$107,Beruházási_ktg_input!D56+1,Beruházási_ktg_input!L56:$L$107),Beruházási_ktg_input!$K56)</f>
        <v>0</v>
      </c>
      <c r="M56" s="570"/>
      <c r="N56" s="566">
        <v>0</v>
      </c>
      <c r="O56" s="559">
        <f>IF(B56=Háttér_listák!$B$121,SUMIF(Beruházási_ktg_input!$D$107:D121,Beruházási_ktg_input!D56+1,$O$107:O121),L56+N56)</f>
        <v>0</v>
      </c>
      <c r="P56" s="249">
        <v>0</v>
      </c>
      <c r="Q56" s="251"/>
      <c r="R56" s="248"/>
      <c r="S56" s="248"/>
      <c r="T56" s="67">
        <f>IF($B56=Háttér_listák!$B$121,SUMIF($D$107:D121,D56+1,$T$107:T121),IF(Q56=Háttér_listák!$B$125,Beruházási_ktg_input!L56,0))</f>
        <v>0</v>
      </c>
      <c r="U56" s="51">
        <f>IF($B56=Háttér_listák!$B$121,SUMIF($D$107:D121,D56+1,$U$107:U121),IF(AND(Q56=Háttér_listák!$B$125,Beruházási_ktg_input!S56=Háttér_listák!$B$130,Főoldal!$C$15="Igen"),Beruházási_ktg_input!N56,0))</f>
        <v>0</v>
      </c>
      <c r="V56" s="51">
        <f t="shared" si="7"/>
        <v>0</v>
      </c>
      <c r="W56" s="51">
        <f>IF($B56=Háttér_listák!$B$121,SUMIF($D$107:D121,D56+1,$W$107:W121),IF(AND(Q56=Háttér_listák!$B$125,Beruházási_ktg_input!S56=Háttér_listák!$B$130,Főoldal!$C$15="Nem"),Beruházási_ktg_input!N56,0))</f>
        <v>0</v>
      </c>
      <c r="X56" s="51">
        <f>IF($B56=Háttér_listák!$B$121,SUMIF($D$107:D121,D56+1,$X$107:X121),IF(AND(Q56=Háttér_listák!$B$125,Beruházási_ktg_input!S56=Háttér_listák!$B$129),Beruházási_ktg_input!N56,0))</f>
        <v>0</v>
      </c>
      <c r="Y56" s="51">
        <f>IF($B56=Háttér_listák!$B$121,SUMIF($D$107:D121,D56+1,$Y$107:Y121),IF(Q56=Háttér_listák!$B$126,Beruházási_ktg_input!L56,0))</f>
        <v>0</v>
      </c>
      <c r="Z56" s="51">
        <f>IF($B56=Háttér_listák!$B$121,SUMIF($D$107:D121,D56+1,$Z$107:Z121),IF(AND(Q56=Háttér_listák!$B$126,Beruházási_ktg_input!S56=Háttér_listák!$B$129),Beruházási_ktg_input!N56,0))</f>
        <v>0</v>
      </c>
      <c r="AA56" s="51">
        <f>IF($B56=Háttér_listák!$B$121,SUMIF($D$107:D121,D56+1,$AA$107:AA121),IF(AND(Q56=Háttér_listák!$B$126,Beruházási_ktg_input!S56=Háttér_listák!$B$130),Beruházási_ktg_input!N56,0))</f>
        <v>0</v>
      </c>
      <c r="AB56" s="51">
        <f t="shared" si="8"/>
        <v>0</v>
      </c>
      <c r="AC56" s="51">
        <f t="shared" si="9"/>
        <v>0</v>
      </c>
      <c r="AD56" s="51">
        <f t="shared" si="10"/>
        <v>0</v>
      </c>
      <c r="AE56" s="68">
        <f t="shared" si="11"/>
        <v>0</v>
      </c>
      <c r="AF56" s="258"/>
      <c r="AG56" s="259"/>
      <c r="AH56" s="259"/>
      <c r="AI56" s="259"/>
      <c r="AJ56" s="260"/>
      <c r="AK56" s="70" t="str">
        <f>IF(SUM(AF56:AJ56)=0,"",IF(SUM(AF56:AJ56)=1,Háttér_listák!$B$133,Háttér_listák!$B$134))</f>
        <v/>
      </c>
      <c r="AL56" s="67">
        <f>IF($AE56=0,0,IF($B56=Háttér_listák!$B$122,Beruházási_ktg_input!$V56*Beruházási_ktg_input!AF56,""))</f>
        <v>0</v>
      </c>
      <c r="AM56" s="51">
        <f>IF($AE56=0,0,IF($B56=Háttér_listák!$B$122,Beruházási_ktg_input!$V56*Beruházási_ktg_input!AG56,""))</f>
        <v>0</v>
      </c>
      <c r="AN56" s="51">
        <f>IF($AE56=0,0,IF($B56=Háttér_listák!$B$122,Beruházási_ktg_input!$V56*Beruházási_ktg_input!AH56,""))</f>
        <v>0</v>
      </c>
      <c r="AO56" s="51">
        <f>IF($AE56=0,0,IF($B56=Háttér_listák!$B$122,Beruházási_ktg_input!$V56*Beruházási_ktg_input!AI56,""))</f>
        <v>0</v>
      </c>
      <c r="AP56" s="68">
        <f>IF($AE56=0,0,IF($B56=Háttér_listák!$B$122,Beruházási_ktg_input!$V56*Beruházási_ktg_input!AJ56,""))</f>
        <v>0</v>
      </c>
      <c r="AQ56" s="67">
        <f>IF($AE56=0,0,IF($B56=Háttér_listák!$B$122,Beruházási_ktg_input!$AD56*Beruházási_ktg_input!AF56,""))</f>
        <v>0</v>
      </c>
      <c r="AR56" s="51">
        <f>IF($AE56=0,0,IF($B56=Háttér_listák!$B$122,Beruházási_ktg_input!$AD56*Beruházási_ktg_input!AG56,""))</f>
        <v>0</v>
      </c>
      <c r="AS56" s="51">
        <f>IF($AE56=0,0,IF($B56=Háttér_listák!$B$122,Beruházási_ktg_input!$AD56*Beruházási_ktg_input!AH56,""))</f>
        <v>0</v>
      </c>
      <c r="AT56" s="51">
        <f>IF($AE56=0,0,IF($B56=Háttér_listák!$B$122,Beruházási_ktg_input!$AD56*Beruházási_ktg_input!AI56,""))</f>
        <v>0</v>
      </c>
      <c r="AU56" s="71">
        <f>IF($AE56=0,0,IF($B56=Háttér_listák!$B$122,Beruházási_ktg_input!$AD56*Beruházási_ktg_input!AJ56,""))</f>
        <v>0</v>
      </c>
      <c r="AV56" s="67">
        <f>IF($AE56=0,0,IF($B56=Háttér_listák!$B$122,($T56+$Y56)*AF56,""))</f>
        <v>0</v>
      </c>
      <c r="AW56" s="51">
        <f>IF($AE56=0,0,IF($B56=Háttér_listák!$B$122,($T56+$Y56)*AG56,""))</f>
        <v>0</v>
      </c>
      <c r="AX56" s="51">
        <f>IF($AE56=0,0,IF($B56=Háttér_listák!$B$122,($T56+$Y56)*AH56,""))</f>
        <v>0</v>
      </c>
      <c r="AY56" s="51">
        <f>IF($AE56=0,0,IF($B56=Háttér_listák!$B$122,($T56+$Y56)*AI56,""))</f>
        <v>0</v>
      </c>
      <c r="AZ56" s="68">
        <f>IF($AE56=0,0,IF($B56=Háttér_listák!$B$122,($T56+$Y56)*AJ56,""))</f>
        <v>0</v>
      </c>
    </row>
    <row r="57" spans="2:52">
      <c r="B57" s="251"/>
      <c r="C57" s="246">
        <f>IF(B57=Háttér_listák!$B$121,1,0)</f>
        <v>0</v>
      </c>
      <c r="D57" s="246">
        <f t="shared" si="6"/>
        <v>12</v>
      </c>
      <c r="E57" s="247"/>
      <c r="F57" s="248"/>
      <c r="G57" s="247"/>
      <c r="H57" s="248"/>
      <c r="I57" s="249"/>
      <c r="J57" s="561"/>
      <c r="K57" s="574">
        <f>IF(B57=Háttér_listák!$B$121,"",Beruházási_ktg_input!I57*Beruházási_ktg_input!J57)</f>
        <v>0</v>
      </c>
      <c r="L57" s="576">
        <f>IF(B57=Háttér_listák!$B$121,SUMIF(Beruházási_ktg_input!D57:$D$107,Beruházási_ktg_input!D57+1,Beruházási_ktg_input!L57:$L$107),Beruházási_ktg_input!$K57)</f>
        <v>0</v>
      </c>
      <c r="M57" s="570"/>
      <c r="N57" s="566">
        <v>0</v>
      </c>
      <c r="O57" s="559">
        <f>IF(B57=Háttér_listák!$B$121,SUMIF(Beruházási_ktg_input!$D$107:D122,Beruházási_ktg_input!D57+1,$O$107:O122),L57+N57)</f>
        <v>0</v>
      </c>
      <c r="P57" s="249">
        <v>0</v>
      </c>
      <c r="Q57" s="251"/>
      <c r="R57" s="248"/>
      <c r="S57" s="248"/>
      <c r="T57" s="67">
        <f>IF($B57=Háttér_listák!$B$121,SUMIF($D$107:D122,D57+1,$T$107:T122),IF(Q57=Háttér_listák!$B$125,Beruházási_ktg_input!L57,0))</f>
        <v>0</v>
      </c>
      <c r="U57" s="51">
        <f>IF($B57=Háttér_listák!$B$121,SUMIF($D$107:D122,D57+1,$U$107:U122),IF(AND(Q57=Háttér_listák!$B$125,Beruházási_ktg_input!S57=Háttér_listák!$B$130,Főoldal!$C$15="Igen"),Beruházási_ktg_input!N57,0))</f>
        <v>0</v>
      </c>
      <c r="V57" s="51">
        <f t="shared" si="7"/>
        <v>0</v>
      </c>
      <c r="W57" s="51">
        <f>IF($B57=Háttér_listák!$B$121,SUMIF($D$107:D122,D57+1,$W$107:W122),IF(AND(Q57=Háttér_listák!$B$125,Beruházási_ktg_input!S57=Háttér_listák!$B$130,Főoldal!$C$15="Nem"),Beruházási_ktg_input!N57,0))</f>
        <v>0</v>
      </c>
      <c r="X57" s="51">
        <f>IF($B57=Háttér_listák!$B$121,SUMIF($D$107:D122,D57+1,$X$107:X122),IF(AND(Q57=Háttér_listák!$B$125,Beruházási_ktg_input!S57=Háttér_listák!$B$129),Beruházási_ktg_input!N57,0))</f>
        <v>0</v>
      </c>
      <c r="Y57" s="51">
        <f>IF($B57=Háttér_listák!$B$121,SUMIF($D$107:D122,D57+1,$Y$107:Y122),IF(Q57=Háttér_listák!$B$126,Beruházási_ktg_input!L57,0))</f>
        <v>0</v>
      </c>
      <c r="Z57" s="51">
        <f>IF($B57=Háttér_listák!$B$121,SUMIF($D$107:D122,D57+1,$Z$107:Z122),IF(AND(Q57=Háttér_listák!$B$126,Beruházási_ktg_input!S57=Háttér_listák!$B$129),Beruházási_ktg_input!N57,0))</f>
        <v>0</v>
      </c>
      <c r="AA57" s="51">
        <f>IF($B57=Háttér_listák!$B$121,SUMIF($D$107:D122,D57+1,$AA$107:AA122),IF(AND(Q57=Háttér_listák!$B$126,Beruházási_ktg_input!S57=Háttér_listák!$B$130),Beruházási_ktg_input!N57,0))</f>
        <v>0</v>
      </c>
      <c r="AB57" s="51">
        <f t="shared" si="8"/>
        <v>0</v>
      </c>
      <c r="AC57" s="51">
        <f t="shared" si="9"/>
        <v>0</v>
      </c>
      <c r="AD57" s="51">
        <f t="shared" si="10"/>
        <v>0</v>
      </c>
      <c r="AE57" s="68">
        <f t="shared" si="11"/>
        <v>0</v>
      </c>
      <c r="AF57" s="258"/>
      <c r="AG57" s="259"/>
      <c r="AH57" s="259"/>
      <c r="AI57" s="259"/>
      <c r="AJ57" s="260"/>
      <c r="AK57" s="70" t="str">
        <f>IF(SUM(AF57:AJ57)=0,"",IF(SUM(AF57:AJ57)=1,Háttér_listák!$B$133,Háttér_listák!$B$134))</f>
        <v/>
      </c>
      <c r="AL57" s="67">
        <f>IF($AE57=0,0,IF($B57=Háttér_listák!$B$122,Beruházási_ktg_input!$V57*Beruházási_ktg_input!AF57,""))</f>
        <v>0</v>
      </c>
      <c r="AM57" s="51">
        <f>IF($AE57=0,0,IF($B57=Háttér_listák!$B$122,Beruházási_ktg_input!$V57*Beruházási_ktg_input!AG57,""))</f>
        <v>0</v>
      </c>
      <c r="AN57" s="51">
        <f>IF($AE57=0,0,IF($B57=Háttér_listák!$B$122,Beruházási_ktg_input!$V57*Beruházási_ktg_input!AH57,""))</f>
        <v>0</v>
      </c>
      <c r="AO57" s="51">
        <f>IF($AE57=0,0,IF($B57=Háttér_listák!$B$122,Beruházási_ktg_input!$V57*Beruházási_ktg_input!AI57,""))</f>
        <v>0</v>
      </c>
      <c r="AP57" s="68">
        <f>IF($AE57=0,0,IF($B57=Háttér_listák!$B$122,Beruházási_ktg_input!$V57*Beruházási_ktg_input!AJ57,""))</f>
        <v>0</v>
      </c>
      <c r="AQ57" s="67">
        <f>IF($AE57=0,0,IF($B57=Háttér_listák!$B$122,Beruházási_ktg_input!$AD57*Beruházási_ktg_input!AF57,""))</f>
        <v>0</v>
      </c>
      <c r="AR57" s="51">
        <f>IF($AE57=0,0,IF($B57=Háttér_listák!$B$122,Beruházási_ktg_input!$AD57*Beruházási_ktg_input!AG57,""))</f>
        <v>0</v>
      </c>
      <c r="AS57" s="51">
        <f>IF($AE57=0,0,IF($B57=Háttér_listák!$B$122,Beruházási_ktg_input!$AD57*Beruházási_ktg_input!AH57,""))</f>
        <v>0</v>
      </c>
      <c r="AT57" s="51">
        <f>IF($AE57=0,0,IF($B57=Háttér_listák!$B$122,Beruházási_ktg_input!$AD57*Beruházási_ktg_input!AI57,""))</f>
        <v>0</v>
      </c>
      <c r="AU57" s="71">
        <f>IF($AE57=0,0,IF($B57=Háttér_listák!$B$122,Beruházási_ktg_input!$AD57*Beruházási_ktg_input!AJ57,""))</f>
        <v>0</v>
      </c>
      <c r="AV57" s="67">
        <f>IF($AE57=0,0,IF($B57=Háttér_listák!$B$122,($T57+$Y57)*AF57,""))</f>
        <v>0</v>
      </c>
      <c r="AW57" s="51">
        <f>IF($AE57=0,0,IF($B57=Háttér_listák!$B$122,($T57+$Y57)*AG57,""))</f>
        <v>0</v>
      </c>
      <c r="AX57" s="51">
        <f>IF($AE57=0,0,IF($B57=Háttér_listák!$B$122,($T57+$Y57)*AH57,""))</f>
        <v>0</v>
      </c>
      <c r="AY57" s="51">
        <f>IF($AE57=0,0,IF($B57=Háttér_listák!$B$122,($T57+$Y57)*AI57,""))</f>
        <v>0</v>
      </c>
      <c r="AZ57" s="68">
        <f>IF($AE57=0,0,IF($B57=Háttér_listák!$B$122,($T57+$Y57)*AJ57,""))</f>
        <v>0</v>
      </c>
    </row>
    <row r="58" spans="2:52">
      <c r="B58" s="251"/>
      <c r="C58" s="246">
        <f>IF(B58=Háttér_listák!$B$121,1,0)</f>
        <v>0</v>
      </c>
      <c r="D58" s="246">
        <f t="shared" si="6"/>
        <v>12</v>
      </c>
      <c r="E58" s="247"/>
      <c r="F58" s="248"/>
      <c r="G58" s="247"/>
      <c r="H58" s="248"/>
      <c r="I58" s="249"/>
      <c r="J58" s="561"/>
      <c r="K58" s="574">
        <f>IF(B58=Háttér_listák!$B$121,"",Beruházási_ktg_input!I58*Beruházási_ktg_input!J58)</f>
        <v>0</v>
      </c>
      <c r="L58" s="576">
        <f>IF(B58=Háttér_listák!$B$121,SUMIF(Beruházási_ktg_input!D58:$D$107,Beruházási_ktg_input!D58+1,Beruházási_ktg_input!L58:$L$107),Beruházási_ktg_input!$K58)</f>
        <v>0</v>
      </c>
      <c r="M58" s="570"/>
      <c r="N58" s="566">
        <v>0</v>
      </c>
      <c r="O58" s="559">
        <f>IF(B58=Háttér_listák!$B$121,SUMIF(Beruházási_ktg_input!$D$107:D123,Beruházási_ktg_input!D58+1,$O$107:O123),L58+N58)</f>
        <v>0</v>
      </c>
      <c r="P58" s="249">
        <v>0</v>
      </c>
      <c r="Q58" s="251"/>
      <c r="R58" s="248"/>
      <c r="S58" s="248"/>
      <c r="T58" s="67">
        <f>IF($B58=Háttér_listák!$B$121,SUMIF($D$107:D123,D58+1,$T$107:T123),IF(Q58=Háttér_listák!$B$125,Beruházási_ktg_input!L58,0))</f>
        <v>0</v>
      </c>
      <c r="U58" s="51">
        <f>IF($B58=Háttér_listák!$B$121,SUMIF($D$107:D123,D58+1,$U$107:U123),IF(AND(Q58=Háttér_listák!$B$125,Beruházási_ktg_input!S58=Háttér_listák!$B$130,Főoldal!$C$15="Igen"),Beruházási_ktg_input!N58,0))</f>
        <v>0</v>
      </c>
      <c r="V58" s="51">
        <f t="shared" si="7"/>
        <v>0</v>
      </c>
      <c r="W58" s="51">
        <f>IF($B58=Háttér_listák!$B$121,SUMIF($D$107:D123,D58+1,$W$107:W123),IF(AND(Q58=Háttér_listák!$B$125,Beruházási_ktg_input!S58=Háttér_listák!$B$130,Főoldal!$C$15="Nem"),Beruházási_ktg_input!N58,0))</f>
        <v>0</v>
      </c>
      <c r="X58" s="51">
        <f>IF($B58=Háttér_listák!$B$121,SUMIF($D$107:D123,D58+1,$X$107:X123),IF(AND(Q58=Háttér_listák!$B$125,Beruházási_ktg_input!S58=Háttér_listák!$B$129),Beruházási_ktg_input!N58,0))</f>
        <v>0</v>
      </c>
      <c r="Y58" s="51">
        <f>IF($B58=Háttér_listák!$B$121,SUMIF($D$107:D123,D58+1,$Y$107:Y123),IF(Q58=Háttér_listák!$B$126,Beruházási_ktg_input!L58,0))</f>
        <v>0</v>
      </c>
      <c r="Z58" s="51">
        <f>IF($B58=Háttér_listák!$B$121,SUMIF($D$107:D123,D58+1,$Z$107:Z123),IF(AND(Q58=Háttér_listák!$B$126,Beruházási_ktg_input!S58=Háttér_listák!$B$129),Beruházási_ktg_input!N58,0))</f>
        <v>0</v>
      </c>
      <c r="AA58" s="51">
        <f>IF($B58=Háttér_listák!$B$121,SUMIF($D$107:D123,D58+1,$AA$107:AA123),IF(AND(Q58=Háttér_listák!$B$126,Beruházási_ktg_input!S58=Háttér_listák!$B$130),Beruházási_ktg_input!N58,0))</f>
        <v>0</v>
      </c>
      <c r="AB58" s="51">
        <f t="shared" si="8"/>
        <v>0</v>
      </c>
      <c r="AC58" s="51">
        <f t="shared" si="9"/>
        <v>0</v>
      </c>
      <c r="AD58" s="51">
        <f t="shared" si="10"/>
        <v>0</v>
      </c>
      <c r="AE58" s="68">
        <f t="shared" si="11"/>
        <v>0</v>
      </c>
      <c r="AF58" s="258"/>
      <c r="AG58" s="259"/>
      <c r="AH58" s="259"/>
      <c r="AI58" s="259"/>
      <c r="AJ58" s="260"/>
      <c r="AK58" s="70" t="str">
        <f>IF(SUM(AF58:AJ58)=0,"",IF(SUM(AF58:AJ58)=1,Háttér_listák!$B$133,Háttér_listák!$B$134))</f>
        <v/>
      </c>
      <c r="AL58" s="67">
        <f>IF($AE58=0,0,IF($B58=Háttér_listák!$B$122,Beruházási_ktg_input!$V58*Beruházási_ktg_input!AF58,""))</f>
        <v>0</v>
      </c>
      <c r="AM58" s="51">
        <f>IF($AE58=0,0,IF($B58=Háttér_listák!$B$122,Beruházási_ktg_input!$V58*Beruházási_ktg_input!AG58,""))</f>
        <v>0</v>
      </c>
      <c r="AN58" s="51">
        <f>IF($AE58=0,0,IF($B58=Háttér_listák!$B$122,Beruházási_ktg_input!$V58*Beruházási_ktg_input!AH58,""))</f>
        <v>0</v>
      </c>
      <c r="AO58" s="51">
        <f>IF($AE58=0,0,IF($B58=Háttér_listák!$B$122,Beruházási_ktg_input!$V58*Beruházási_ktg_input!AI58,""))</f>
        <v>0</v>
      </c>
      <c r="AP58" s="68">
        <f>IF($AE58=0,0,IF($B58=Háttér_listák!$B$122,Beruházási_ktg_input!$V58*Beruházási_ktg_input!AJ58,""))</f>
        <v>0</v>
      </c>
      <c r="AQ58" s="67">
        <f>IF($AE58=0,0,IF($B58=Háttér_listák!$B$122,Beruházási_ktg_input!$AD58*Beruházási_ktg_input!AF58,""))</f>
        <v>0</v>
      </c>
      <c r="AR58" s="51">
        <f>IF($AE58=0,0,IF($B58=Háttér_listák!$B$122,Beruházási_ktg_input!$AD58*Beruházási_ktg_input!AG58,""))</f>
        <v>0</v>
      </c>
      <c r="AS58" s="51">
        <f>IF($AE58=0,0,IF($B58=Háttér_listák!$B$122,Beruházási_ktg_input!$AD58*Beruházási_ktg_input!AH58,""))</f>
        <v>0</v>
      </c>
      <c r="AT58" s="51">
        <f>IF($AE58=0,0,IF($B58=Háttér_listák!$B$122,Beruházási_ktg_input!$AD58*Beruházási_ktg_input!AI58,""))</f>
        <v>0</v>
      </c>
      <c r="AU58" s="71">
        <f>IF($AE58=0,0,IF($B58=Háttér_listák!$B$122,Beruházási_ktg_input!$AD58*Beruházási_ktg_input!AJ58,""))</f>
        <v>0</v>
      </c>
      <c r="AV58" s="67">
        <f>IF($AE58=0,0,IF($B58=Háttér_listák!$B$122,($T58+$Y58)*AF58,""))</f>
        <v>0</v>
      </c>
      <c r="AW58" s="51">
        <f>IF($AE58=0,0,IF($B58=Háttér_listák!$B$122,($T58+$Y58)*AG58,""))</f>
        <v>0</v>
      </c>
      <c r="AX58" s="51">
        <f>IF($AE58=0,0,IF($B58=Háttér_listák!$B$122,($T58+$Y58)*AH58,""))</f>
        <v>0</v>
      </c>
      <c r="AY58" s="51">
        <f>IF($AE58=0,0,IF($B58=Háttér_listák!$B$122,($T58+$Y58)*AI58,""))</f>
        <v>0</v>
      </c>
      <c r="AZ58" s="68">
        <f>IF($AE58=0,0,IF($B58=Háttér_listák!$B$122,($T58+$Y58)*AJ58,""))</f>
        <v>0</v>
      </c>
    </row>
    <row r="59" spans="2:52">
      <c r="B59" s="251"/>
      <c r="C59" s="246">
        <f>IF(B59=Háttér_listák!$B$121,1,0)</f>
        <v>0</v>
      </c>
      <c r="D59" s="246">
        <f t="shared" si="6"/>
        <v>12</v>
      </c>
      <c r="E59" s="247"/>
      <c r="F59" s="248"/>
      <c r="G59" s="247"/>
      <c r="H59" s="248"/>
      <c r="I59" s="249"/>
      <c r="J59" s="561"/>
      <c r="K59" s="574">
        <f>IF(B59=Háttér_listák!$B$121,"",Beruházási_ktg_input!I59*Beruházási_ktg_input!J59)</f>
        <v>0</v>
      </c>
      <c r="L59" s="576">
        <f>IF(B59=Háttér_listák!$B$121,SUMIF(Beruházási_ktg_input!D59:$D$107,Beruházási_ktg_input!D59+1,Beruházási_ktg_input!L59:$L$107),Beruházási_ktg_input!$K59)</f>
        <v>0</v>
      </c>
      <c r="M59" s="570"/>
      <c r="N59" s="566">
        <v>0</v>
      </c>
      <c r="O59" s="559">
        <f>IF(B59=Háttér_listák!$B$121,SUMIF(Beruházási_ktg_input!$D$107:D124,Beruházási_ktg_input!D59+1,$O$107:O124),L59+N59)</f>
        <v>0</v>
      </c>
      <c r="P59" s="249">
        <v>0</v>
      </c>
      <c r="Q59" s="251"/>
      <c r="R59" s="248"/>
      <c r="S59" s="248"/>
      <c r="T59" s="67">
        <f>IF($B59=Háttér_listák!$B$121,SUMIF($D$107:D124,D59+1,$T$107:T124),IF(Q59=Háttér_listák!$B$125,Beruházási_ktg_input!L59,0))</f>
        <v>0</v>
      </c>
      <c r="U59" s="51">
        <f>IF($B59=Háttér_listák!$B$121,SUMIF($D$107:D124,D59+1,$U$107:U124),IF(AND(Q59=Háttér_listák!$B$125,Beruházási_ktg_input!S59=Háttér_listák!$B$130,Főoldal!$C$15="Igen"),Beruházási_ktg_input!N59,0))</f>
        <v>0</v>
      </c>
      <c r="V59" s="51">
        <f t="shared" si="7"/>
        <v>0</v>
      </c>
      <c r="W59" s="51">
        <f>IF($B59=Háttér_listák!$B$121,SUMIF($D$107:D124,D59+1,$W$107:W124),IF(AND(Q59=Háttér_listák!$B$125,Beruházási_ktg_input!S59=Háttér_listák!$B$130,Főoldal!$C$15="Nem"),Beruházási_ktg_input!N59,0))</f>
        <v>0</v>
      </c>
      <c r="X59" s="51">
        <f>IF($B59=Háttér_listák!$B$121,SUMIF($D$107:D124,D59+1,$X$107:X124),IF(AND(Q59=Háttér_listák!$B$125,Beruházási_ktg_input!S59=Háttér_listák!$B$129),Beruházási_ktg_input!N59,0))</f>
        <v>0</v>
      </c>
      <c r="Y59" s="51">
        <f>IF($B59=Háttér_listák!$B$121,SUMIF($D$107:D124,D59+1,$Y$107:Y124),IF(Q59=Háttér_listák!$B$126,Beruházási_ktg_input!L59,0))</f>
        <v>0</v>
      </c>
      <c r="Z59" s="51">
        <f>IF($B59=Háttér_listák!$B$121,SUMIF($D$107:D124,D59+1,$Z$107:Z124),IF(AND(Q59=Háttér_listák!$B$126,Beruházási_ktg_input!S59=Háttér_listák!$B$129),Beruházási_ktg_input!N59,0))</f>
        <v>0</v>
      </c>
      <c r="AA59" s="51">
        <f>IF($B59=Háttér_listák!$B$121,SUMIF($D$107:D124,D59+1,$AA$107:AA124),IF(AND(Q59=Háttér_listák!$B$126,Beruházási_ktg_input!S59=Háttér_listák!$B$130),Beruházási_ktg_input!N59,0))</f>
        <v>0</v>
      </c>
      <c r="AB59" s="51">
        <f t="shared" si="8"/>
        <v>0</v>
      </c>
      <c r="AC59" s="51">
        <f t="shared" si="9"/>
        <v>0</v>
      </c>
      <c r="AD59" s="51">
        <f t="shared" si="10"/>
        <v>0</v>
      </c>
      <c r="AE59" s="68">
        <f t="shared" si="11"/>
        <v>0</v>
      </c>
      <c r="AF59" s="258"/>
      <c r="AG59" s="259"/>
      <c r="AH59" s="259"/>
      <c r="AI59" s="259"/>
      <c r="AJ59" s="260"/>
      <c r="AK59" s="70" t="str">
        <f>IF(SUM(AF59:AJ59)=0,"",IF(SUM(AF59:AJ59)=1,Háttér_listák!$B$133,Háttér_listák!$B$134))</f>
        <v/>
      </c>
      <c r="AL59" s="67">
        <f>IF($AE59=0,0,IF($B59=Háttér_listák!$B$122,Beruházási_ktg_input!$V59*Beruházási_ktg_input!AF59,""))</f>
        <v>0</v>
      </c>
      <c r="AM59" s="51">
        <f>IF($AE59=0,0,IF($B59=Háttér_listák!$B$122,Beruházási_ktg_input!$V59*Beruházási_ktg_input!AG59,""))</f>
        <v>0</v>
      </c>
      <c r="AN59" s="51">
        <f>IF($AE59=0,0,IF($B59=Háttér_listák!$B$122,Beruházási_ktg_input!$V59*Beruházási_ktg_input!AH59,""))</f>
        <v>0</v>
      </c>
      <c r="AO59" s="51">
        <f>IF($AE59=0,0,IF($B59=Háttér_listák!$B$122,Beruházási_ktg_input!$V59*Beruházási_ktg_input!AI59,""))</f>
        <v>0</v>
      </c>
      <c r="AP59" s="68">
        <f>IF($AE59=0,0,IF($B59=Háttér_listák!$B$122,Beruházási_ktg_input!$V59*Beruházási_ktg_input!AJ59,""))</f>
        <v>0</v>
      </c>
      <c r="AQ59" s="67">
        <f>IF($AE59=0,0,IF($B59=Háttér_listák!$B$122,Beruházási_ktg_input!$AD59*Beruházási_ktg_input!AF59,""))</f>
        <v>0</v>
      </c>
      <c r="AR59" s="51">
        <f>IF($AE59=0,0,IF($B59=Háttér_listák!$B$122,Beruházási_ktg_input!$AD59*Beruházási_ktg_input!AG59,""))</f>
        <v>0</v>
      </c>
      <c r="AS59" s="51">
        <f>IF($AE59=0,0,IF($B59=Háttér_listák!$B$122,Beruházási_ktg_input!$AD59*Beruházási_ktg_input!AH59,""))</f>
        <v>0</v>
      </c>
      <c r="AT59" s="51">
        <f>IF($AE59=0,0,IF($B59=Háttér_listák!$B$122,Beruházási_ktg_input!$AD59*Beruházási_ktg_input!AI59,""))</f>
        <v>0</v>
      </c>
      <c r="AU59" s="71">
        <f>IF($AE59=0,0,IF($B59=Háttér_listák!$B$122,Beruházási_ktg_input!$AD59*Beruházási_ktg_input!AJ59,""))</f>
        <v>0</v>
      </c>
      <c r="AV59" s="67">
        <f>IF($AE59=0,0,IF($B59=Háttér_listák!$B$122,($T59+$Y59)*AF59,""))</f>
        <v>0</v>
      </c>
      <c r="AW59" s="51">
        <f>IF($AE59=0,0,IF($B59=Háttér_listák!$B$122,($T59+$Y59)*AG59,""))</f>
        <v>0</v>
      </c>
      <c r="AX59" s="51">
        <f>IF($AE59=0,0,IF($B59=Háttér_listák!$B$122,($T59+$Y59)*AH59,""))</f>
        <v>0</v>
      </c>
      <c r="AY59" s="51">
        <f>IF($AE59=0,0,IF($B59=Háttér_listák!$B$122,($T59+$Y59)*AI59,""))</f>
        <v>0</v>
      </c>
      <c r="AZ59" s="68">
        <f>IF($AE59=0,0,IF($B59=Háttér_listák!$B$122,($T59+$Y59)*AJ59,""))</f>
        <v>0</v>
      </c>
    </row>
    <row r="60" spans="2:52">
      <c r="B60" s="251"/>
      <c r="C60" s="246">
        <f>IF(B60=Háttér_listák!$B$121,1,0)</f>
        <v>0</v>
      </c>
      <c r="D60" s="246">
        <f t="shared" si="6"/>
        <v>12</v>
      </c>
      <c r="E60" s="247"/>
      <c r="F60" s="248"/>
      <c r="G60" s="247"/>
      <c r="H60" s="248"/>
      <c r="I60" s="249"/>
      <c r="J60" s="561"/>
      <c r="K60" s="574">
        <f>IF(B60=Háttér_listák!$B$121,"",Beruházási_ktg_input!I60*Beruházási_ktg_input!J60)</f>
        <v>0</v>
      </c>
      <c r="L60" s="576">
        <f>IF(B60=Háttér_listák!$B$121,SUMIF(Beruházási_ktg_input!D60:$D$107,Beruházási_ktg_input!D60+1,Beruházási_ktg_input!L60:$L$107),Beruházási_ktg_input!$K60)</f>
        <v>0</v>
      </c>
      <c r="M60" s="570"/>
      <c r="N60" s="566">
        <v>0</v>
      </c>
      <c r="O60" s="559">
        <f>IF(B60=Háttér_listák!$B$121,SUMIF(Beruházási_ktg_input!$D$107:D125,Beruházási_ktg_input!D60+1,$O$107:O125),L60+N60)</f>
        <v>0</v>
      </c>
      <c r="P60" s="249">
        <v>0</v>
      </c>
      <c r="Q60" s="251"/>
      <c r="R60" s="248"/>
      <c r="S60" s="248"/>
      <c r="T60" s="67">
        <f>IF($B60=Háttér_listák!$B$121,SUMIF($D$107:D125,D60+1,$T$107:T125),IF(Q60=Háttér_listák!$B$125,Beruházási_ktg_input!L60,0))</f>
        <v>0</v>
      </c>
      <c r="U60" s="51">
        <f>IF($B60=Háttér_listák!$B$121,SUMIF($D$107:D125,D60+1,$U$107:U125),IF(AND(Q60=Háttér_listák!$B$125,Beruházási_ktg_input!S60=Háttér_listák!$B$130,Főoldal!$C$15="Igen"),Beruházási_ktg_input!N60,0))</f>
        <v>0</v>
      </c>
      <c r="V60" s="51">
        <f t="shared" si="7"/>
        <v>0</v>
      </c>
      <c r="W60" s="51">
        <f>IF($B60=Háttér_listák!$B$121,SUMIF($D$107:D125,D60+1,$W$107:W125),IF(AND(Q60=Háttér_listák!$B$125,Beruházási_ktg_input!S60=Háttér_listák!$B$130,Főoldal!$C$15="Nem"),Beruházási_ktg_input!N60,0))</f>
        <v>0</v>
      </c>
      <c r="X60" s="51">
        <f>IF($B60=Háttér_listák!$B$121,SUMIF($D$107:D125,D60+1,$X$107:X125),IF(AND(Q60=Háttér_listák!$B$125,Beruházási_ktg_input!S60=Háttér_listák!$B$129),Beruházási_ktg_input!N60,0))</f>
        <v>0</v>
      </c>
      <c r="Y60" s="51">
        <f>IF($B60=Háttér_listák!$B$121,SUMIF($D$107:D125,D60+1,$Y$107:Y125),IF(Q60=Háttér_listák!$B$126,Beruházási_ktg_input!L60,0))</f>
        <v>0</v>
      </c>
      <c r="Z60" s="51">
        <f>IF($B60=Háttér_listák!$B$121,SUMIF($D$107:D125,D60+1,$Z$107:Z125),IF(AND(Q60=Háttér_listák!$B$126,Beruházási_ktg_input!S60=Háttér_listák!$B$129),Beruházási_ktg_input!N60,0))</f>
        <v>0</v>
      </c>
      <c r="AA60" s="51">
        <f>IF($B60=Háttér_listák!$B$121,SUMIF($D$107:D125,D60+1,$AA$107:AA125),IF(AND(Q60=Háttér_listák!$B$126,Beruházási_ktg_input!S60=Háttér_listák!$B$130),Beruházási_ktg_input!N60,0))</f>
        <v>0</v>
      </c>
      <c r="AB60" s="51">
        <f t="shared" si="8"/>
        <v>0</v>
      </c>
      <c r="AC60" s="51">
        <f t="shared" si="9"/>
        <v>0</v>
      </c>
      <c r="AD60" s="51">
        <f t="shared" si="10"/>
        <v>0</v>
      </c>
      <c r="AE60" s="68">
        <f t="shared" si="11"/>
        <v>0</v>
      </c>
      <c r="AF60" s="258"/>
      <c r="AG60" s="259"/>
      <c r="AH60" s="259"/>
      <c r="AI60" s="259"/>
      <c r="AJ60" s="260"/>
      <c r="AK60" s="70" t="str">
        <f>IF(SUM(AF60:AJ60)=0,"",IF(SUM(AF60:AJ60)=1,Háttér_listák!$B$133,Háttér_listák!$B$134))</f>
        <v/>
      </c>
      <c r="AL60" s="67">
        <f>IF($AE60=0,0,IF($B60=Háttér_listák!$B$122,Beruházási_ktg_input!$V60*Beruházási_ktg_input!AF60,""))</f>
        <v>0</v>
      </c>
      <c r="AM60" s="51">
        <f>IF($AE60=0,0,IF($B60=Háttér_listák!$B$122,Beruházási_ktg_input!$V60*Beruházási_ktg_input!AG60,""))</f>
        <v>0</v>
      </c>
      <c r="AN60" s="51">
        <f>IF($AE60=0,0,IF($B60=Háttér_listák!$B$122,Beruházási_ktg_input!$V60*Beruházási_ktg_input!AH60,""))</f>
        <v>0</v>
      </c>
      <c r="AO60" s="51">
        <f>IF($AE60=0,0,IF($B60=Háttér_listák!$B$122,Beruházási_ktg_input!$V60*Beruházási_ktg_input!AI60,""))</f>
        <v>0</v>
      </c>
      <c r="AP60" s="68">
        <f>IF($AE60=0,0,IF($B60=Háttér_listák!$B$122,Beruházási_ktg_input!$V60*Beruházási_ktg_input!AJ60,""))</f>
        <v>0</v>
      </c>
      <c r="AQ60" s="67">
        <f>IF($AE60=0,0,IF($B60=Háttér_listák!$B$122,Beruházási_ktg_input!$AD60*Beruházási_ktg_input!AF60,""))</f>
        <v>0</v>
      </c>
      <c r="AR60" s="51">
        <f>IF($AE60=0,0,IF($B60=Háttér_listák!$B$122,Beruházási_ktg_input!$AD60*Beruházási_ktg_input!AG60,""))</f>
        <v>0</v>
      </c>
      <c r="AS60" s="51">
        <f>IF($AE60=0,0,IF($B60=Háttér_listák!$B$122,Beruházási_ktg_input!$AD60*Beruházási_ktg_input!AH60,""))</f>
        <v>0</v>
      </c>
      <c r="AT60" s="51">
        <f>IF($AE60=0,0,IF($B60=Háttér_listák!$B$122,Beruházási_ktg_input!$AD60*Beruházási_ktg_input!AI60,""))</f>
        <v>0</v>
      </c>
      <c r="AU60" s="71">
        <f>IF($AE60=0,0,IF($B60=Háttér_listák!$B$122,Beruházási_ktg_input!$AD60*Beruházási_ktg_input!AJ60,""))</f>
        <v>0</v>
      </c>
      <c r="AV60" s="67">
        <f>IF($AE60=0,0,IF($B60=Háttér_listák!$B$122,($T60+$Y60)*AF60,""))</f>
        <v>0</v>
      </c>
      <c r="AW60" s="51">
        <f>IF($AE60=0,0,IF($B60=Háttér_listák!$B$122,($T60+$Y60)*AG60,""))</f>
        <v>0</v>
      </c>
      <c r="AX60" s="51">
        <f>IF($AE60=0,0,IF($B60=Háttér_listák!$B$122,($T60+$Y60)*AH60,""))</f>
        <v>0</v>
      </c>
      <c r="AY60" s="51">
        <f>IF($AE60=0,0,IF($B60=Háttér_listák!$B$122,($T60+$Y60)*AI60,""))</f>
        <v>0</v>
      </c>
      <c r="AZ60" s="68">
        <f>IF($AE60=0,0,IF($B60=Háttér_listák!$B$122,($T60+$Y60)*AJ60,""))</f>
        <v>0</v>
      </c>
    </row>
    <row r="61" spans="2:52">
      <c r="B61" s="251"/>
      <c r="C61" s="246">
        <f>IF(B61=Háttér_listák!$B$121,1,0)</f>
        <v>0</v>
      </c>
      <c r="D61" s="246">
        <f t="shared" si="6"/>
        <v>12</v>
      </c>
      <c r="E61" s="247"/>
      <c r="F61" s="248"/>
      <c r="G61" s="247"/>
      <c r="H61" s="248"/>
      <c r="I61" s="249"/>
      <c r="J61" s="561"/>
      <c r="K61" s="574">
        <f>IF(B61=Háttér_listák!$B$121,"",Beruházási_ktg_input!I61*Beruházási_ktg_input!J61)</f>
        <v>0</v>
      </c>
      <c r="L61" s="576">
        <f>IF(B61=Háttér_listák!$B$121,SUMIF(Beruházási_ktg_input!D61:$D$107,Beruházási_ktg_input!D61+1,Beruházási_ktg_input!L61:$L$107),Beruházási_ktg_input!$K61)</f>
        <v>0</v>
      </c>
      <c r="M61" s="570"/>
      <c r="N61" s="566">
        <v>0</v>
      </c>
      <c r="O61" s="559">
        <f>IF(B61=Háttér_listák!$B$121,SUMIF(Beruházási_ktg_input!$D$107:D126,Beruházási_ktg_input!D61+1,$O$107:O126),L61+N61)</f>
        <v>0</v>
      </c>
      <c r="P61" s="249">
        <v>0</v>
      </c>
      <c r="Q61" s="251"/>
      <c r="R61" s="248"/>
      <c r="S61" s="248"/>
      <c r="T61" s="67">
        <f>IF($B61=Háttér_listák!$B$121,SUMIF($D$107:D126,D61+1,$T$107:T126),IF(Q61=Háttér_listák!$B$125,Beruházási_ktg_input!L61,0))</f>
        <v>0</v>
      </c>
      <c r="U61" s="51">
        <f>IF($B61=Háttér_listák!$B$121,SUMIF($D$107:D126,D61+1,$U$107:U126),IF(AND(Q61=Háttér_listák!$B$125,Beruházási_ktg_input!S61=Háttér_listák!$B$130,Főoldal!$C$15="Igen"),Beruházási_ktg_input!N61,0))</f>
        <v>0</v>
      </c>
      <c r="V61" s="51">
        <f t="shared" si="7"/>
        <v>0</v>
      </c>
      <c r="W61" s="51">
        <f>IF($B61=Háttér_listák!$B$121,SUMIF($D$107:D126,D61+1,$W$107:W126),IF(AND(Q61=Háttér_listák!$B$125,Beruházási_ktg_input!S61=Háttér_listák!$B$130,Főoldal!$C$15="Nem"),Beruházási_ktg_input!N61,0))</f>
        <v>0</v>
      </c>
      <c r="X61" s="51">
        <f>IF($B61=Háttér_listák!$B$121,SUMIF($D$107:D126,D61+1,$X$107:X126),IF(AND(Q61=Háttér_listák!$B$125,Beruházási_ktg_input!S61=Háttér_listák!$B$129),Beruházási_ktg_input!N61,0))</f>
        <v>0</v>
      </c>
      <c r="Y61" s="51">
        <f>IF($B61=Háttér_listák!$B$121,SUMIF($D$107:D126,D61+1,$Y$107:Y126),IF(Q61=Háttér_listák!$B$126,Beruházási_ktg_input!L61,0))</f>
        <v>0</v>
      </c>
      <c r="Z61" s="51">
        <f>IF($B61=Háttér_listák!$B$121,SUMIF($D$107:D126,D61+1,$Z$107:Z126),IF(AND(Q61=Háttér_listák!$B$126,Beruházási_ktg_input!S61=Háttér_listák!$B$129),Beruházási_ktg_input!N61,0))</f>
        <v>0</v>
      </c>
      <c r="AA61" s="51">
        <f>IF($B61=Háttér_listák!$B$121,SUMIF($D$107:D126,D61+1,$AA$107:AA126),IF(AND(Q61=Háttér_listák!$B$126,Beruházási_ktg_input!S61=Háttér_listák!$B$130),Beruházási_ktg_input!N61,0))</f>
        <v>0</v>
      </c>
      <c r="AB61" s="51">
        <f t="shared" si="8"/>
        <v>0</v>
      </c>
      <c r="AC61" s="51">
        <f t="shared" si="9"/>
        <v>0</v>
      </c>
      <c r="AD61" s="51">
        <f t="shared" si="10"/>
        <v>0</v>
      </c>
      <c r="AE61" s="68">
        <f t="shared" si="11"/>
        <v>0</v>
      </c>
      <c r="AF61" s="258"/>
      <c r="AG61" s="259"/>
      <c r="AH61" s="259"/>
      <c r="AI61" s="259"/>
      <c r="AJ61" s="260"/>
      <c r="AK61" s="70" t="str">
        <f>IF(SUM(AF61:AJ61)=0,"",IF(SUM(AF61:AJ61)=1,Háttér_listák!$B$133,Háttér_listák!$B$134))</f>
        <v/>
      </c>
      <c r="AL61" s="67">
        <f>IF($AE61=0,0,IF($B61=Háttér_listák!$B$122,Beruházási_ktg_input!$V61*Beruházási_ktg_input!AF61,""))</f>
        <v>0</v>
      </c>
      <c r="AM61" s="51">
        <f>IF($AE61=0,0,IF($B61=Háttér_listák!$B$122,Beruházási_ktg_input!$V61*Beruházási_ktg_input!AG61,""))</f>
        <v>0</v>
      </c>
      <c r="AN61" s="51">
        <f>IF($AE61=0,0,IF($B61=Háttér_listák!$B$122,Beruházási_ktg_input!$V61*Beruházási_ktg_input!AH61,""))</f>
        <v>0</v>
      </c>
      <c r="AO61" s="51">
        <f>IF($AE61=0,0,IF($B61=Háttér_listák!$B$122,Beruházási_ktg_input!$V61*Beruházási_ktg_input!AI61,""))</f>
        <v>0</v>
      </c>
      <c r="AP61" s="68">
        <f>IF($AE61=0,0,IF($B61=Háttér_listák!$B$122,Beruházási_ktg_input!$V61*Beruházási_ktg_input!AJ61,""))</f>
        <v>0</v>
      </c>
      <c r="AQ61" s="67">
        <f>IF($AE61=0,0,IF($B61=Háttér_listák!$B$122,Beruházási_ktg_input!$AD61*Beruházási_ktg_input!AF61,""))</f>
        <v>0</v>
      </c>
      <c r="AR61" s="51">
        <f>IF($AE61=0,0,IF($B61=Háttér_listák!$B$122,Beruházási_ktg_input!$AD61*Beruházási_ktg_input!AG61,""))</f>
        <v>0</v>
      </c>
      <c r="AS61" s="51">
        <f>IF($AE61=0,0,IF($B61=Háttér_listák!$B$122,Beruházási_ktg_input!$AD61*Beruházási_ktg_input!AH61,""))</f>
        <v>0</v>
      </c>
      <c r="AT61" s="51">
        <f>IF($AE61=0,0,IF($B61=Háttér_listák!$B$122,Beruházási_ktg_input!$AD61*Beruházási_ktg_input!AI61,""))</f>
        <v>0</v>
      </c>
      <c r="AU61" s="71">
        <f>IF($AE61=0,0,IF($B61=Háttér_listák!$B$122,Beruházási_ktg_input!$AD61*Beruházási_ktg_input!AJ61,""))</f>
        <v>0</v>
      </c>
      <c r="AV61" s="67">
        <f>IF($AE61=0,0,IF($B61=Háttér_listák!$B$122,($T61+$Y61)*AF61,""))</f>
        <v>0</v>
      </c>
      <c r="AW61" s="51">
        <f>IF($AE61=0,0,IF($B61=Háttér_listák!$B$122,($T61+$Y61)*AG61,""))</f>
        <v>0</v>
      </c>
      <c r="AX61" s="51">
        <f>IF($AE61=0,0,IF($B61=Háttér_listák!$B$122,($T61+$Y61)*AH61,""))</f>
        <v>0</v>
      </c>
      <c r="AY61" s="51">
        <f>IF($AE61=0,0,IF($B61=Háttér_listák!$B$122,($T61+$Y61)*AI61,""))</f>
        <v>0</v>
      </c>
      <c r="AZ61" s="68">
        <f>IF($AE61=0,0,IF($B61=Háttér_listák!$B$122,($T61+$Y61)*AJ61,""))</f>
        <v>0</v>
      </c>
    </row>
    <row r="62" spans="2:52">
      <c r="B62" s="251"/>
      <c r="C62" s="246">
        <f>IF(B62=Háttér_listák!$B$121,1,0)</f>
        <v>0</v>
      </c>
      <c r="D62" s="246">
        <f t="shared" si="6"/>
        <v>12</v>
      </c>
      <c r="E62" s="247"/>
      <c r="F62" s="248"/>
      <c r="G62" s="247"/>
      <c r="H62" s="248"/>
      <c r="I62" s="249"/>
      <c r="J62" s="561"/>
      <c r="K62" s="574">
        <f>IF(B62=Háttér_listák!$B$121,"",Beruházási_ktg_input!I62*Beruházási_ktg_input!J62)</f>
        <v>0</v>
      </c>
      <c r="L62" s="576">
        <f>IF(B62=Háttér_listák!$B$121,SUMIF(Beruházási_ktg_input!D62:$D$107,Beruházási_ktg_input!D62+1,Beruházási_ktg_input!L62:$L$107),Beruházási_ktg_input!$K62)</f>
        <v>0</v>
      </c>
      <c r="M62" s="570"/>
      <c r="N62" s="566">
        <v>0</v>
      </c>
      <c r="O62" s="559">
        <f>IF(B62=Háttér_listák!$B$121,SUMIF(Beruházási_ktg_input!$D$107:D127,Beruházási_ktg_input!D62+1,$O$107:O127),L62+N62)</f>
        <v>0</v>
      </c>
      <c r="P62" s="249">
        <v>0</v>
      </c>
      <c r="Q62" s="251"/>
      <c r="R62" s="248"/>
      <c r="S62" s="248"/>
      <c r="T62" s="67">
        <f>IF($B62=Háttér_listák!$B$121,SUMIF($D$107:D127,D62+1,$T$107:T127),IF(Q62=Háttér_listák!$B$125,Beruházási_ktg_input!L62,0))</f>
        <v>0</v>
      </c>
      <c r="U62" s="51">
        <f>IF($B62=Háttér_listák!$B$121,SUMIF($D$107:D127,D62+1,$U$107:U127),IF(AND(Q62=Háttér_listák!$B$125,Beruházási_ktg_input!S62=Háttér_listák!$B$130,Főoldal!$C$15="Igen"),Beruházási_ktg_input!N62,0))</f>
        <v>0</v>
      </c>
      <c r="V62" s="51">
        <f t="shared" si="7"/>
        <v>0</v>
      </c>
      <c r="W62" s="51">
        <f>IF($B62=Háttér_listák!$B$121,SUMIF($D$107:D127,D62+1,$W$107:W127),IF(AND(Q62=Háttér_listák!$B$125,Beruházási_ktg_input!S62=Háttér_listák!$B$130,Főoldal!$C$15="Nem"),Beruházási_ktg_input!N62,0))</f>
        <v>0</v>
      </c>
      <c r="X62" s="51">
        <f>IF($B62=Háttér_listák!$B$121,SUMIF($D$107:D127,D62+1,$X$107:X127),IF(AND(Q62=Háttér_listák!$B$125,Beruházási_ktg_input!S62=Háttér_listák!$B$129),Beruházási_ktg_input!N62,0))</f>
        <v>0</v>
      </c>
      <c r="Y62" s="51">
        <f>IF($B62=Háttér_listák!$B$121,SUMIF($D$107:D127,D62+1,$Y$107:Y127),IF(Q62=Háttér_listák!$B$126,Beruházási_ktg_input!L62,0))</f>
        <v>0</v>
      </c>
      <c r="Z62" s="51">
        <f>IF($B62=Háttér_listák!$B$121,SUMIF($D$107:D127,D62+1,$Z$107:Z127),IF(AND(Q62=Háttér_listák!$B$126,Beruházási_ktg_input!S62=Háttér_listák!$B$129),Beruházási_ktg_input!N62,0))</f>
        <v>0</v>
      </c>
      <c r="AA62" s="51">
        <f>IF($B62=Háttér_listák!$B$121,SUMIF($D$107:D127,D62+1,$AA$107:AA127),IF(AND(Q62=Háttér_listák!$B$126,Beruházási_ktg_input!S62=Háttér_listák!$B$130),Beruházási_ktg_input!N62,0))</f>
        <v>0</v>
      </c>
      <c r="AB62" s="51">
        <f t="shared" si="8"/>
        <v>0</v>
      </c>
      <c r="AC62" s="51">
        <f t="shared" si="9"/>
        <v>0</v>
      </c>
      <c r="AD62" s="51">
        <f t="shared" si="10"/>
        <v>0</v>
      </c>
      <c r="AE62" s="68">
        <f t="shared" si="11"/>
        <v>0</v>
      </c>
      <c r="AF62" s="258"/>
      <c r="AG62" s="259"/>
      <c r="AH62" s="259"/>
      <c r="AI62" s="259"/>
      <c r="AJ62" s="260"/>
      <c r="AK62" s="70" t="str">
        <f>IF(SUM(AF62:AJ62)=0,"",IF(SUM(AF62:AJ62)=1,Háttér_listák!$B$133,Háttér_listák!$B$134))</f>
        <v/>
      </c>
      <c r="AL62" s="67">
        <f>IF($AE62=0,0,IF($B62=Háttér_listák!$B$122,Beruházási_ktg_input!$V62*Beruházási_ktg_input!AF62,""))</f>
        <v>0</v>
      </c>
      <c r="AM62" s="51">
        <f>IF($AE62=0,0,IF($B62=Háttér_listák!$B$122,Beruházási_ktg_input!$V62*Beruházási_ktg_input!AG62,""))</f>
        <v>0</v>
      </c>
      <c r="AN62" s="51">
        <f>IF($AE62=0,0,IF($B62=Háttér_listák!$B$122,Beruházási_ktg_input!$V62*Beruházási_ktg_input!AH62,""))</f>
        <v>0</v>
      </c>
      <c r="AO62" s="51">
        <f>IF($AE62=0,0,IF($B62=Háttér_listák!$B$122,Beruházási_ktg_input!$V62*Beruházási_ktg_input!AI62,""))</f>
        <v>0</v>
      </c>
      <c r="AP62" s="68">
        <f>IF($AE62=0,0,IF($B62=Háttér_listák!$B$122,Beruházási_ktg_input!$V62*Beruházási_ktg_input!AJ62,""))</f>
        <v>0</v>
      </c>
      <c r="AQ62" s="67">
        <f>IF($AE62=0,0,IF($B62=Háttér_listák!$B$122,Beruházási_ktg_input!$AD62*Beruházási_ktg_input!AF62,""))</f>
        <v>0</v>
      </c>
      <c r="AR62" s="51">
        <f>IF($AE62=0,0,IF($B62=Háttér_listák!$B$122,Beruházási_ktg_input!$AD62*Beruházási_ktg_input!AG62,""))</f>
        <v>0</v>
      </c>
      <c r="AS62" s="51">
        <f>IF($AE62=0,0,IF($B62=Háttér_listák!$B$122,Beruházási_ktg_input!$AD62*Beruházási_ktg_input!AH62,""))</f>
        <v>0</v>
      </c>
      <c r="AT62" s="51">
        <f>IF($AE62=0,0,IF($B62=Háttér_listák!$B$122,Beruházási_ktg_input!$AD62*Beruházási_ktg_input!AI62,""))</f>
        <v>0</v>
      </c>
      <c r="AU62" s="71">
        <f>IF($AE62=0,0,IF($B62=Háttér_listák!$B$122,Beruházási_ktg_input!$AD62*Beruházási_ktg_input!AJ62,""))</f>
        <v>0</v>
      </c>
      <c r="AV62" s="67">
        <f>IF($AE62=0,0,IF($B62=Háttér_listák!$B$122,($T62+$Y62)*AF62,""))</f>
        <v>0</v>
      </c>
      <c r="AW62" s="51">
        <f>IF($AE62=0,0,IF($B62=Háttér_listák!$B$122,($T62+$Y62)*AG62,""))</f>
        <v>0</v>
      </c>
      <c r="AX62" s="51">
        <f>IF($AE62=0,0,IF($B62=Háttér_listák!$B$122,($T62+$Y62)*AH62,""))</f>
        <v>0</v>
      </c>
      <c r="AY62" s="51">
        <f>IF($AE62=0,0,IF($B62=Háttér_listák!$B$122,($T62+$Y62)*AI62,""))</f>
        <v>0</v>
      </c>
      <c r="AZ62" s="68">
        <f>IF($AE62=0,0,IF($B62=Háttér_listák!$B$122,($T62+$Y62)*AJ62,""))</f>
        <v>0</v>
      </c>
    </row>
    <row r="63" spans="2:52">
      <c r="B63" s="251"/>
      <c r="C63" s="246">
        <f>IF(B63=Háttér_listák!$B$121,1,0)</f>
        <v>0</v>
      </c>
      <c r="D63" s="246">
        <f t="shared" si="6"/>
        <v>12</v>
      </c>
      <c r="E63" s="247"/>
      <c r="F63" s="248"/>
      <c r="G63" s="247"/>
      <c r="H63" s="248"/>
      <c r="I63" s="249"/>
      <c r="J63" s="561"/>
      <c r="K63" s="574">
        <f>IF(B63=Háttér_listák!$B$121,"",Beruházási_ktg_input!I63*Beruházási_ktg_input!J63)</f>
        <v>0</v>
      </c>
      <c r="L63" s="576">
        <f>IF(B63=Háttér_listák!$B$121,SUMIF(Beruházási_ktg_input!D63:$D$107,Beruházási_ktg_input!D63+1,Beruházási_ktg_input!L63:$L$107),Beruházási_ktg_input!$K63)</f>
        <v>0</v>
      </c>
      <c r="M63" s="570"/>
      <c r="N63" s="566">
        <v>0</v>
      </c>
      <c r="O63" s="559">
        <f>IF(B63=Háttér_listák!$B$121,SUMIF(Beruházási_ktg_input!$D$107:D128,Beruházási_ktg_input!D63+1,$O$107:O128),L63+N63)</f>
        <v>0</v>
      </c>
      <c r="P63" s="249">
        <v>0</v>
      </c>
      <c r="Q63" s="251"/>
      <c r="R63" s="248"/>
      <c r="S63" s="248"/>
      <c r="T63" s="67">
        <f>IF($B63=Háttér_listák!$B$121,SUMIF($D$107:D128,D63+1,$T$107:T128),IF(Q63=Háttér_listák!$B$125,Beruházási_ktg_input!L63,0))</f>
        <v>0</v>
      </c>
      <c r="U63" s="51">
        <f>IF($B63=Háttér_listák!$B$121,SUMIF($D$107:D128,D63+1,$U$107:U128),IF(AND(Q63=Háttér_listák!$B$125,Beruházási_ktg_input!S63=Háttér_listák!$B$130,Főoldal!$C$15="Igen"),Beruházási_ktg_input!N63,0))</f>
        <v>0</v>
      </c>
      <c r="V63" s="51">
        <f t="shared" si="7"/>
        <v>0</v>
      </c>
      <c r="W63" s="51">
        <f>IF($B63=Háttér_listák!$B$121,SUMIF($D$107:D128,D63+1,$W$107:W128),IF(AND(Q63=Háttér_listák!$B$125,Beruházási_ktg_input!S63=Háttér_listák!$B$130,Főoldal!$C$15="Nem"),Beruházási_ktg_input!N63,0))</f>
        <v>0</v>
      </c>
      <c r="X63" s="51">
        <f>IF($B63=Háttér_listák!$B$121,SUMIF($D$107:D128,D63+1,$X$107:X128),IF(AND(Q63=Háttér_listák!$B$125,Beruházási_ktg_input!S63=Háttér_listák!$B$129),Beruházási_ktg_input!N63,0))</f>
        <v>0</v>
      </c>
      <c r="Y63" s="51">
        <f>IF($B63=Háttér_listák!$B$121,SUMIF($D$107:D128,D63+1,$Y$107:Y128),IF(Q63=Háttér_listák!$B$126,Beruházási_ktg_input!L63,0))</f>
        <v>0</v>
      </c>
      <c r="Z63" s="51">
        <f>IF($B63=Háttér_listák!$B$121,SUMIF($D$107:D128,D63+1,$Z$107:Z128),IF(AND(Q63=Háttér_listák!$B$126,Beruházási_ktg_input!S63=Háttér_listák!$B$129),Beruházási_ktg_input!N63,0))</f>
        <v>0</v>
      </c>
      <c r="AA63" s="51">
        <f>IF($B63=Háttér_listák!$B$121,SUMIF($D$107:D128,D63+1,$AA$107:AA128),IF(AND(Q63=Háttér_listák!$B$126,Beruházási_ktg_input!S63=Háttér_listák!$B$130),Beruházási_ktg_input!N63,0))</f>
        <v>0</v>
      </c>
      <c r="AB63" s="51">
        <f t="shared" si="8"/>
        <v>0</v>
      </c>
      <c r="AC63" s="51">
        <f t="shared" si="9"/>
        <v>0</v>
      </c>
      <c r="AD63" s="51">
        <f t="shared" si="10"/>
        <v>0</v>
      </c>
      <c r="AE63" s="68">
        <f t="shared" si="11"/>
        <v>0</v>
      </c>
      <c r="AF63" s="258"/>
      <c r="AG63" s="259"/>
      <c r="AH63" s="259"/>
      <c r="AI63" s="259"/>
      <c r="AJ63" s="260"/>
      <c r="AK63" s="70" t="str">
        <f>IF(SUM(AF63:AJ63)=0,"",IF(SUM(AF63:AJ63)=1,Háttér_listák!$B$133,Háttér_listák!$B$134))</f>
        <v/>
      </c>
      <c r="AL63" s="67">
        <f>IF($AE63=0,0,IF($B63=Háttér_listák!$B$122,Beruházási_ktg_input!$V63*Beruházási_ktg_input!AF63,""))</f>
        <v>0</v>
      </c>
      <c r="AM63" s="51">
        <f>IF($AE63=0,0,IF($B63=Háttér_listák!$B$122,Beruházási_ktg_input!$V63*Beruházási_ktg_input!AG63,""))</f>
        <v>0</v>
      </c>
      <c r="AN63" s="51">
        <f>IF($AE63=0,0,IF($B63=Háttér_listák!$B$122,Beruházási_ktg_input!$V63*Beruházási_ktg_input!AH63,""))</f>
        <v>0</v>
      </c>
      <c r="AO63" s="51">
        <f>IF($AE63=0,0,IF($B63=Háttér_listák!$B$122,Beruházási_ktg_input!$V63*Beruházási_ktg_input!AI63,""))</f>
        <v>0</v>
      </c>
      <c r="AP63" s="68">
        <f>IF($AE63=0,0,IF($B63=Háttér_listák!$B$122,Beruházási_ktg_input!$V63*Beruházási_ktg_input!AJ63,""))</f>
        <v>0</v>
      </c>
      <c r="AQ63" s="67">
        <f>IF($AE63=0,0,IF($B63=Háttér_listák!$B$122,Beruházási_ktg_input!$AD63*Beruházási_ktg_input!AF63,""))</f>
        <v>0</v>
      </c>
      <c r="AR63" s="51">
        <f>IF($AE63=0,0,IF($B63=Háttér_listák!$B$122,Beruházási_ktg_input!$AD63*Beruházási_ktg_input!AG63,""))</f>
        <v>0</v>
      </c>
      <c r="AS63" s="51">
        <f>IF($AE63=0,0,IF($B63=Háttér_listák!$B$122,Beruházási_ktg_input!$AD63*Beruházási_ktg_input!AH63,""))</f>
        <v>0</v>
      </c>
      <c r="AT63" s="51">
        <f>IF($AE63=0,0,IF($B63=Háttér_listák!$B$122,Beruházási_ktg_input!$AD63*Beruházási_ktg_input!AI63,""))</f>
        <v>0</v>
      </c>
      <c r="AU63" s="71">
        <f>IF($AE63=0,0,IF($B63=Háttér_listák!$B$122,Beruházási_ktg_input!$AD63*Beruházási_ktg_input!AJ63,""))</f>
        <v>0</v>
      </c>
      <c r="AV63" s="67">
        <f>IF($AE63=0,0,IF($B63=Háttér_listák!$B$122,($T63+$Y63)*AF63,""))</f>
        <v>0</v>
      </c>
      <c r="AW63" s="51">
        <f>IF($AE63=0,0,IF($B63=Háttér_listák!$B$122,($T63+$Y63)*AG63,""))</f>
        <v>0</v>
      </c>
      <c r="AX63" s="51">
        <f>IF($AE63=0,0,IF($B63=Háttér_listák!$B$122,($T63+$Y63)*AH63,""))</f>
        <v>0</v>
      </c>
      <c r="AY63" s="51">
        <f>IF($AE63=0,0,IF($B63=Háttér_listák!$B$122,($T63+$Y63)*AI63,""))</f>
        <v>0</v>
      </c>
      <c r="AZ63" s="68">
        <f>IF($AE63=0,0,IF($B63=Háttér_listák!$B$122,($T63+$Y63)*AJ63,""))</f>
        <v>0</v>
      </c>
    </row>
    <row r="64" spans="2:52">
      <c r="B64" s="251"/>
      <c r="C64" s="246">
        <f>IF(B64=Háttér_listák!$B$121,1,0)</f>
        <v>0</v>
      </c>
      <c r="D64" s="246">
        <f t="shared" si="6"/>
        <v>12</v>
      </c>
      <c r="E64" s="247"/>
      <c r="F64" s="248"/>
      <c r="G64" s="247"/>
      <c r="H64" s="248"/>
      <c r="I64" s="249"/>
      <c r="J64" s="561"/>
      <c r="K64" s="574">
        <f>IF(B64=Háttér_listák!$B$121,"",Beruházási_ktg_input!I64*Beruházási_ktg_input!J64)</f>
        <v>0</v>
      </c>
      <c r="L64" s="576">
        <f>IF(B64=Háttér_listák!$B$121,SUMIF(Beruházási_ktg_input!D64:$D$107,Beruházási_ktg_input!D64+1,Beruházási_ktg_input!L64:$L$107),Beruházási_ktg_input!$K64)</f>
        <v>0</v>
      </c>
      <c r="M64" s="570"/>
      <c r="N64" s="566">
        <v>0</v>
      </c>
      <c r="O64" s="559">
        <f>IF(B64=Háttér_listák!$B$121,SUMIF(Beruházási_ktg_input!$D$107:D129,Beruházási_ktg_input!D64+1,$O$107:O129),L64+N64)</f>
        <v>0</v>
      </c>
      <c r="P64" s="249">
        <v>0</v>
      </c>
      <c r="Q64" s="251"/>
      <c r="R64" s="248"/>
      <c r="S64" s="248"/>
      <c r="T64" s="67">
        <f>IF($B64=Háttér_listák!$B$121,SUMIF($D$107:D129,D64+1,$T$107:T129),IF(Q64=Háttér_listák!$B$125,Beruházási_ktg_input!L64,0))</f>
        <v>0</v>
      </c>
      <c r="U64" s="51">
        <f>IF($B64=Háttér_listák!$B$121,SUMIF($D$107:D129,D64+1,$U$107:U129),IF(AND(Q64=Háttér_listák!$B$125,Beruházási_ktg_input!S64=Háttér_listák!$B$130,Főoldal!$C$15="Igen"),Beruházási_ktg_input!N64,0))</f>
        <v>0</v>
      </c>
      <c r="V64" s="51">
        <f t="shared" si="7"/>
        <v>0</v>
      </c>
      <c r="W64" s="51">
        <f>IF($B64=Háttér_listák!$B$121,SUMIF($D$107:D129,D64+1,$W$107:W129),IF(AND(Q64=Háttér_listák!$B$125,Beruházási_ktg_input!S64=Háttér_listák!$B$130,Főoldal!$C$15="Nem"),Beruházási_ktg_input!N64,0))</f>
        <v>0</v>
      </c>
      <c r="X64" s="51">
        <f>IF($B64=Háttér_listák!$B$121,SUMIF($D$107:D129,D64+1,$X$107:X129),IF(AND(Q64=Háttér_listák!$B$125,Beruházási_ktg_input!S64=Háttér_listák!$B$129),Beruházási_ktg_input!N64,0))</f>
        <v>0</v>
      </c>
      <c r="Y64" s="51">
        <f>IF($B64=Háttér_listák!$B$121,SUMIF($D$107:D129,D64+1,$Y$107:Y129),IF(Q64=Háttér_listák!$B$126,Beruházási_ktg_input!L64,0))</f>
        <v>0</v>
      </c>
      <c r="Z64" s="51">
        <f>IF($B64=Háttér_listák!$B$121,SUMIF($D$107:D129,D64+1,$Z$107:Z129),IF(AND(Q64=Háttér_listák!$B$126,Beruházási_ktg_input!S64=Háttér_listák!$B$129),Beruházási_ktg_input!N64,0))</f>
        <v>0</v>
      </c>
      <c r="AA64" s="51">
        <f>IF($B64=Háttér_listák!$B$121,SUMIF($D$107:D129,D64+1,$AA$107:AA129),IF(AND(Q64=Háttér_listák!$B$126,Beruházási_ktg_input!S64=Háttér_listák!$B$130),Beruházási_ktg_input!N64,0))</f>
        <v>0</v>
      </c>
      <c r="AB64" s="51">
        <f t="shared" si="8"/>
        <v>0</v>
      </c>
      <c r="AC64" s="51">
        <f t="shared" si="9"/>
        <v>0</v>
      </c>
      <c r="AD64" s="51">
        <f t="shared" si="10"/>
        <v>0</v>
      </c>
      <c r="AE64" s="68">
        <f t="shared" si="11"/>
        <v>0</v>
      </c>
      <c r="AF64" s="258"/>
      <c r="AG64" s="259"/>
      <c r="AH64" s="259"/>
      <c r="AI64" s="259"/>
      <c r="AJ64" s="260"/>
      <c r="AK64" s="70" t="str">
        <f>IF(SUM(AF64:AJ64)=0,"",IF(SUM(AF64:AJ64)=1,Háttér_listák!$B$133,Háttér_listák!$B$134))</f>
        <v/>
      </c>
      <c r="AL64" s="67">
        <f>IF($AE64=0,0,IF($B64=Háttér_listák!$B$122,Beruházási_ktg_input!$V64*Beruházási_ktg_input!AF64,""))</f>
        <v>0</v>
      </c>
      <c r="AM64" s="51">
        <f>IF($AE64=0,0,IF($B64=Háttér_listák!$B$122,Beruházási_ktg_input!$V64*Beruházási_ktg_input!AG64,""))</f>
        <v>0</v>
      </c>
      <c r="AN64" s="51">
        <f>IF($AE64=0,0,IF($B64=Háttér_listák!$B$122,Beruházási_ktg_input!$V64*Beruházási_ktg_input!AH64,""))</f>
        <v>0</v>
      </c>
      <c r="AO64" s="51">
        <f>IF($AE64=0,0,IF($B64=Háttér_listák!$B$122,Beruházási_ktg_input!$V64*Beruházási_ktg_input!AI64,""))</f>
        <v>0</v>
      </c>
      <c r="AP64" s="68">
        <f>IF($AE64=0,0,IF($B64=Háttér_listák!$B$122,Beruházási_ktg_input!$V64*Beruházási_ktg_input!AJ64,""))</f>
        <v>0</v>
      </c>
      <c r="AQ64" s="67">
        <f>IF($AE64=0,0,IF($B64=Háttér_listák!$B$122,Beruházási_ktg_input!$AD64*Beruházási_ktg_input!AF64,""))</f>
        <v>0</v>
      </c>
      <c r="AR64" s="51">
        <f>IF($AE64=0,0,IF($B64=Háttér_listák!$B$122,Beruházási_ktg_input!$AD64*Beruházási_ktg_input!AG64,""))</f>
        <v>0</v>
      </c>
      <c r="AS64" s="51">
        <f>IF($AE64=0,0,IF($B64=Háttér_listák!$B$122,Beruházási_ktg_input!$AD64*Beruházási_ktg_input!AH64,""))</f>
        <v>0</v>
      </c>
      <c r="AT64" s="51">
        <f>IF($AE64=0,0,IF($B64=Háttér_listák!$B$122,Beruházási_ktg_input!$AD64*Beruházási_ktg_input!AI64,""))</f>
        <v>0</v>
      </c>
      <c r="AU64" s="71">
        <f>IF($AE64=0,0,IF($B64=Háttér_listák!$B$122,Beruházási_ktg_input!$AD64*Beruházási_ktg_input!AJ64,""))</f>
        <v>0</v>
      </c>
      <c r="AV64" s="67">
        <f>IF($AE64=0,0,IF($B64=Háttér_listák!$B$122,($T64+$Y64)*AF64,""))</f>
        <v>0</v>
      </c>
      <c r="AW64" s="51">
        <f>IF($AE64=0,0,IF($B64=Háttér_listák!$B$122,($T64+$Y64)*AG64,""))</f>
        <v>0</v>
      </c>
      <c r="AX64" s="51">
        <f>IF($AE64=0,0,IF($B64=Háttér_listák!$B$122,($T64+$Y64)*AH64,""))</f>
        <v>0</v>
      </c>
      <c r="AY64" s="51">
        <f>IF($AE64=0,0,IF($B64=Háttér_listák!$B$122,($T64+$Y64)*AI64,""))</f>
        <v>0</v>
      </c>
      <c r="AZ64" s="68">
        <f>IF($AE64=0,0,IF($B64=Háttér_listák!$B$122,($T64+$Y64)*AJ64,""))</f>
        <v>0</v>
      </c>
    </row>
    <row r="65" spans="2:52">
      <c r="B65" s="251"/>
      <c r="C65" s="246">
        <f>IF(B65=Háttér_listák!$B$121,1,0)</f>
        <v>0</v>
      </c>
      <c r="D65" s="246">
        <f t="shared" si="6"/>
        <v>12</v>
      </c>
      <c r="E65" s="247"/>
      <c r="F65" s="248"/>
      <c r="G65" s="247"/>
      <c r="H65" s="248"/>
      <c r="I65" s="249"/>
      <c r="J65" s="561"/>
      <c r="K65" s="574">
        <f>IF(B65=Háttér_listák!$B$121,"",Beruházási_ktg_input!I65*Beruházási_ktg_input!J65)</f>
        <v>0</v>
      </c>
      <c r="L65" s="576">
        <f>IF(B65=Háttér_listák!$B$121,SUMIF(Beruházási_ktg_input!D65:$D$107,Beruházási_ktg_input!D65+1,Beruházási_ktg_input!L65:$L$107),Beruházási_ktg_input!$K65)</f>
        <v>0</v>
      </c>
      <c r="M65" s="570"/>
      <c r="N65" s="566">
        <v>0</v>
      </c>
      <c r="O65" s="559">
        <f>IF(B65=Háttér_listák!$B$121,SUMIF(Beruházási_ktg_input!$D$107:D130,Beruházási_ktg_input!D65+1,$O$107:O130),L65+N65)</f>
        <v>0</v>
      </c>
      <c r="P65" s="249">
        <v>0</v>
      </c>
      <c r="Q65" s="251"/>
      <c r="R65" s="248"/>
      <c r="S65" s="248"/>
      <c r="T65" s="67">
        <f>IF($B65=Háttér_listák!$B$121,SUMIF($D$107:D130,D65+1,$T$107:T130),IF(Q65=Háttér_listák!$B$125,Beruházási_ktg_input!L65,0))</f>
        <v>0</v>
      </c>
      <c r="U65" s="51">
        <f>IF($B65=Háttér_listák!$B$121,SUMIF($D$107:D130,D65+1,$U$107:U130),IF(AND(Q65=Háttér_listák!$B$125,Beruházási_ktg_input!S65=Háttér_listák!$B$130,Főoldal!$C$15="Igen"),Beruházási_ktg_input!N65,0))</f>
        <v>0</v>
      </c>
      <c r="V65" s="51">
        <f t="shared" si="7"/>
        <v>0</v>
      </c>
      <c r="W65" s="51">
        <f>IF($B65=Háttér_listák!$B$121,SUMIF($D$107:D130,D65+1,$W$107:W130),IF(AND(Q65=Háttér_listák!$B$125,Beruházási_ktg_input!S65=Háttér_listák!$B$130,Főoldal!$C$15="Nem"),Beruházási_ktg_input!N65,0))</f>
        <v>0</v>
      </c>
      <c r="X65" s="51">
        <f>IF($B65=Háttér_listák!$B$121,SUMIF($D$107:D130,D65+1,$X$107:X130),IF(AND(Q65=Háttér_listák!$B$125,Beruházási_ktg_input!S65=Háttér_listák!$B$129),Beruházási_ktg_input!N65,0))</f>
        <v>0</v>
      </c>
      <c r="Y65" s="51">
        <f>IF($B65=Háttér_listák!$B$121,SUMIF($D$107:D130,D65+1,$Y$107:Y130),IF(Q65=Háttér_listák!$B$126,Beruházási_ktg_input!L65,0))</f>
        <v>0</v>
      </c>
      <c r="Z65" s="51">
        <f>IF($B65=Háttér_listák!$B$121,SUMIF($D$107:D130,D65+1,$Z$107:Z130),IF(AND(Q65=Háttér_listák!$B$126,Beruházási_ktg_input!S65=Háttér_listák!$B$129),Beruházási_ktg_input!N65,0))</f>
        <v>0</v>
      </c>
      <c r="AA65" s="51">
        <f>IF($B65=Háttér_listák!$B$121,SUMIF($D$107:D130,D65+1,$AA$107:AA130),IF(AND(Q65=Háttér_listák!$B$126,Beruházási_ktg_input!S65=Háttér_listák!$B$130),Beruházási_ktg_input!N65,0))</f>
        <v>0</v>
      </c>
      <c r="AB65" s="51">
        <f t="shared" si="8"/>
        <v>0</v>
      </c>
      <c r="AC65" s="51">
        <f t="shared" si="9"/>
        <v>0</v>
      </c>
      <c r="AD65" s="51">
        <f t="shared" si="10"/>
        <v>0</v>
      </c>
      <c r="AE65" s="68">
        <f t="shared" si="11"/>
        <v>0</v>
      </c>
      <c r="AF65" s="258"/>
      <c r="AG65" s="259"/>
      <c r="AH65" s="259"/>
      <c r="AI65" s="259"/>
      <c r="AJ65" s="260"/>
      <c r="AK65" s="70" t="str">
        <f>IF(SUM(AF65:AJ65)=0,"",IF(SUM(AF65:AJ65)=1,Háttér_listák!$B$133,Háttér_listák!$B$134))</f>
        <v/>
      </c>
      <c r="AL65" s="67">
        <f>IF($AE65=0,0,IF($B65=Háttér_listák!$B$122,Beruházási_ktg_input!$V65*Beruházási_ktg_input!AF65,""))</f>
        <v>0</v>
      </c>
      <c r="AM65" s="51">
        <f>IF($AE65=0,0,IF($B65=Háttér_listák!$B$122,Beruházási_ktg_input!$V65*Beruházási_ktg_input!AG65,""))</f>
        <v>0</v>
      </c>
      <c r="AN65" s="51">
        <f>IF($AE65=0,0,IF($B65=Háttér_listák!$B$122,Beruházási_ktg_input!$V65*Beruházási_ktg_input!AH65,""))</f>
        <v>0</v>
      </c>
      <c r="AO65" s="51">
        <f>IF($AE65=0,0,IF($B65=Háttér_listák!$B$122,Beruházási_ktg_input!$V65*Beruházási_ktg_input!AI65,""))</f>
        <v>0</v>
      </c>
      <c r="AP65" s="68">
        <f>IF($AE65=0,0,IF($B65=Háttér_listák!$B$122,Beruházási_ktg_input!$V65*Beruházási_ktg_input!AJ65,""))</f>
        <v>0</v>
      </c>
      <c r="AQ65" s="67">
        <f>IF($AE65=0,0,IF($B65=Háttér_listák!$B$122,Beruházási_ktg_input!$AD65*Beruházási_ktg_input!AF65,""))</f>
        <v>0</v>
      </c>
      <c r="AR65" s="51">
        <f>IF($AE65=0,0,IF($B65=Háttér_listák!$B$122,Beruházási_ktg_input!$AD65*Beruházási_ktg_input!AG65,""))</f>
        <v>0</v>
      </c>
      <c r="AS65" s="51">
        <f>IF($AE65=0,0,IF($B65=Háttér_listák!$B$122,Beruházási_ktg_input!$AD65*Beruházási_ktg_input!AH65,""))</f>
        <v>0</v>
      </c>
      <c r="AT65" s="51">
        <f>IF($AE65=0,0,IF($B65=Háttér_listák!$B$122,Beruházási_ktg_input!$AD65*Beruházási_ktg_input!AI65,""))</f>
        <v>0</v>
      </c>
      <c r="AU65" s="71">
        <f>IF($AE65=0,0,IF($B65=Háttér_listák!$B$122,Beruházási_ktg_input!$AD65*Beruházási_ktg_input!AJ65,""))</f>
        <v>0</v>
      </c>
      <c r="AV65" s="67">
        <f>IF($AE65=0,0,IF($B65=Háttér_listák!$B$122,($T65+$Y65)*AF65,""))</f>
        <v>0</v>
      </c>
      <c r="AW65" s="51">
        <f>IF($AE65=0,0,IF($B65=Háttér_listák!$B$122,($T65+$Y65)*AG65,""))</f>
        <v>0</v>
      </c>
      <c r="AX65" s="51">
        <f>IF($AE65=0,0,IF($B65=Háttér_listák!$B$122,($T65+$Y65)*AH65,""))</f>
        <v>0</v>
      </c>
      <c r="AY65" s="51">
        <f>IF($AE65=0,0,IF($B65=Háttér_listák!$B$122,($T65+$Y65)*AI65,""))</f>
        <v>0</v>
      </c>
      <c r="AZ65" s="68">
        <f>IF($AE65=0,0,IF($B65=Háttér_listák!$B$122,($T65+$Y65)*AJ65,""))</f>
        <v>0</v>
      </c>
    </row>
    <row r="66" spans="2:52">
      <c r="B66" s="251"/>
      <c r="C66" s="246">
        <f>IF(B66=Háttér_listák!$B$121,1,0)</f>
        <v>0</v>
      </c>
      <c r="D66" s="246">
        <f t="shared" si="6"/>
        <v>12</v>
      </c>
      <c r="E66" s="247"/>
      <c r="F66" s="248"/>
      <c r="G66" s="247"/>
      <c r="H66" s="248"/>
      <c r="I66" s="249"/>
      <c r="J66" s="561"/>
      <c r="K66" s="574">
        <f>IF(B66=Háttér_listák!$B$121,"",Beruházási_ktg_input!I66*Beruházási_ktg_input!J66)</f>
        <v>0</v>
      </c>
      <c r="L66" s="576">
        <f>IF(B66=Háttér_listák!$B$121,SUMIF(Beruházási_ktg_input!D66:$D$107,Beruházási_ktg_input!D66+1,Beruházási_ktg_input!L66:$L$107),Beruházási_ktg_input!$K66)</f>
        <v>0</v>
      </c>
      <c r="M66" s="570"/>
      <c r="N66" s="566">
        <v>0</v>
      </c>
      <c r="O66" s="559">
        <f>IF(B66=Háttér_listák!$B$121,SUMIF(Beruházási_ktg_input!$D$107:D131,Beruházási_ktg_input!D66+1,$O$107:O131),L66+N66)</f>
        <v>0</v>
      </c>
      <c r="P66" s="249">
        <v>0</v>
      </c>
      <c r="Q66" s="251"/>
      <c r="R66" s="248"/>
      <c r="S66" s="248"/>
      <c r="T66" s="67">
        <f>IF($B66=Háttér_listák!$B$121,SUMIF($D$107:D131,D66+1,$T$107:T131),IF(Q66=Háttér_listák!$B$125,Beruházási_ktg_input!L66,0))</f>
        <v>0</v>
      </c>
      <c r="U66" s="51">
        <f>IF($B66=Háttér_listák!$B$121,SUMIF($D$107:D131,D66+1,$U$107:U131),IF(AND(Q66=Háttér_listák!$B$125,Beruházási_ktg_input!S66=Háttér_listák!$B$130,Főoldal!$C$15="Igen"),Beruházási_ktg_input!N66,0))</f>
        <v>0</v>
      </c>
      <c r="V66" s="51">
        <f t="shared" si="7"/>
        <v>0</v>
      </c>
      <c r="W66" s="51">
        <f>IF($B66=Háttér_listák!$B$121,SUMIF($D$107:D131,D66+1,$W$107:W131),IF(AND(Q66=Háttér_listák!$B$125,Beruházási_ktg_input!S66=Háttér_listák!$B$130,Főoldal!$C$15="Nem"),Beruházási_ktg_input!N66,0))</f>
        <v>0</v>
      </c>
      <c r="X66" s="51">
        <f>IF($B66=Háttér_listák!$B$121,SUMIF($D$107:D131,D66+1,$X$107:X131),IF(AND(Q66=Háttér_listák!$B$125,Beruházási_ktg_input!S66=Háttér_listák!$B$129),Beruházási_ktg_input!N66,0))</f>
        <v>0</v>
      </c>
      <c r="Y66" s="51">
        <f>IF($B66=Háttér_listák!$B$121,SUMIF($D$107:D131,D66+1,$Y$107:Y131),IF(Q66=Háttér_listák!$B$126,Beruházási_ktg_input!L66,0))</f>
        <v>0</v>
      </c>
      <c r="Z66" s="51">
        <f>IF($B66=Háttér_listák!$B$121,SUMIF($D$107:D131,D66+1,$Z$107:Z131),IF(AND(Q66=Háttér_listák!$B$126,Beruházási_ktg_input!S66=Háttér_listák!$B$129),Beruházási_ktg_input!N66,0))</f>
        <v>0</v>
      </c>
      <c r="AA66" s="51">
        <f>IF($B66=Háttér_listák!$B$121,SUMIF($D$107:D131,D66+1,$AA$107:AA131),IF(AND(Q66=Háttér_listák!$B$126,Beruházási_ktg_input!S66=Háttér_listák!$B$130),Beruházási_ktg_input!N66,0))</f>
        <v>0</v>
      </c>
      <c r="AB66" s="51">
        <f t="shared" si="8"/>
        <v>0</v>
      </c>
      <c r="AC66" s="51">
        <f t="shared" si="9"/>
        <v>0</v>
      </c>
      <c r="AD66" s="51">
        <f t="shared" si="10"/>
        <v>0</v>
      </c>
      <c r="AE66" s="68">
        <f t="shared" si="11"/>
        <v>0</v>
      </c>
      <c r="AF66" s="258"/>
      <c r="AG66" s="259"/>
      <c r="AH66" s="259"/>
      <c r="AI66" s="259"/>
      <c r="AJ66" s="260"/>
      <c r="AK66" s="70" t="str">
        <f>IF(SUM(AF66:AJ66)=0,"",IF(SUM(AF66:AJ66)=1,Háttér_listák!$B$133,Háttér_listák!$B$134))</f>
        <v/>
      </c>
      <c r="AL66" s="67">
        <f>IF($AE66=0,0,IF($B66=Háttér_listák!$B$122,Beruházási_ktg_input!$V66*Beruházási_ktg_input!AF66,""))</f>
        <v>0</v>
      </c>
      <c r="AM66" s="51">
        <f>IF($AE66=0,0,IF($B66=Háttér_listák!$B$122,Beruházási_ktg_input!$V66*Beruházási_ktg_input!AG66,""))</f>
        <v>0</v>
      </c>
      <c r="AN66" s="51">
        <f>IF($AE66=0,0,IF($B66=Háttér_listák!$B$122,Beruházási_ktg_input!$V66*Beruházási_ktg_input!AH66,""))</f>
        <v>0</v>
      </c>
      <c r="AO66" s="51">
        <f>IF($AE66=0,0,IF($B66=Háttér_listák!$B$122,Beruházási_ktg_input!$V66*Beruházási_ktg_input!AI66,""))</f>
        <v>0</v>
      </c>
      <c r="AP66" s="68">
        <f>IF($AE66=0,0,IF($B66=Háttér_listák!$B$122,Beruházási_ktg_input!$V66*Beruházási_ktg_input!AJ66,""))</f>
        <v>0</v>
      </c>
      <c r="AQ66" s="67">
        <f>IF($AE66=0,0,IF($B66=Háttér_listák!$B$122,Beruházási_ktg_input!$AD66*Beruházási_ktg_input!AF66,""))</f>
        <v>0</v>
      </c>
      <c r="AR66" s="51">
        <f>IF($AE66=0,0,IF($B66=Háttér_listák!$B$122,Beruházási_ktg_input!$AD66*Beruházási_ktg_input!AG66,""))</f>
        <v>0</v>
      </c>
      <c r="AS66" s="51">
        <f>IF($AE66=0,0,IF($B66=Háttér_listák!$B$122,Beruházási_ktg_input!$AD66*Beruházási_ktg_input!AH66,""))</f>
        <v>0</v>
      </c>
      <c r="AT66" s="51">
        <f>IF($AE66=0,0,IF($B66=Háttér_listák!$B$122,Beruházási_ktg_input!$AD66*Beruházási_ktg_input!AI66,""))</f>
        <v>0</v>
      </c>
      <c r="AU66" s="71">
        <f>IF($AE66=0,0,IF($B66=Háttér_listák!$B$122,Beruházási_ktg_input!$AD66*Beruházási_ktg_input!AJ66,""))</f>
        <v>0</v>
      </c>
      <c r="AV66" s="67">
        <f>IF($AE66=0,0,IF($B66=Háttér_listák!$B$122,($T66+$Y66)*AF66,""))</f>
        <v>0</v>
      </c>
      <c r="AW66" s="51">
        <f>IF($AE66=0,0,IF($B66=Háttér_listák!$B$122,($T66+$Y66)*AG66,""))</f>
        <v>0</v>
      </c>
      <c r="AX66" s="51">
        <f>IF($AE66=0,0,IF($B66=Háttér_listák!$B$122,($T66+$Y66)*AH66,""))</f>
        <v>0</v>
      </c>
      <c r="AY66" s="51">
        <f>IF($AE66=0,0,IF($B66=Háttér_listák!$B$122,($T66+$Y66)*AI66,""))</f>
        <v>0</v>
      </c>
      <c r="AZ66" s="68">
        <f>IF($AE66=0,0,IF($B66=Háttér_listák!$B$122,($T66+$Y66)*AJ66,""))</f>
        <v>0</v>
      </c>
    </row>
    <row r="67" spans="2:52">
      <c r="B67" s="251"/>
      <c r="C67" s="246">
        <f>IF(B67=Háttér_listák!$B$121,1,0)</f>
        <v>0</v>
      </c>
      <c r="D67" s="246">
        <f t="shared" si="6"/>
        <v>12</v>
      </c>
      <c r="E67" s="247"/>
      <c r="F67" s="248"/>
      <c r="G67" s="247"/>
      <c r="H67" s="248"/>
      <c r="I67" s="249"/>
      <c r="J67" s="561"/>
      <c r="K67" s="574">
        <f>IF(B67=Háttér_listák!$B$121,"",Beruházási_ktg_input!I67*Beruházási_ktg_input!J67)</f>
        <v>0</v>
      </c>
      <c r="L67" s="576">
        <f>IF(B67=Háttér_listák!$B$121,SUMIF(Beruházási_ktg_input!D67:$D$107,Beruházási_ktg_input!D67+1,Beruházási_ktg_input!L67:$L$107),Beruházási_ktg_input!$K67)</f>
        <v>0</v>
      </c>
      <c r="M67" s="570"/>
      <c r="N67" s="566">
        <v>0</v>
      </c>
      <c r="O67" s="559">
        <f>IF(B67=Háttér_listák!$B$121,SUMIF(Beruházási_ktg_input!$D$107:D132,Beruházási_ktg_input!D67+1,$O$107:O132),L67+N67)</f>
        <v>0</v>
      </c>
      <c r="P67" s="249">
        <v>0</v>
      </c>
      <c r="Q67" s="251"/>
      <c r="R67" s="248"/>
      <c r="S67" s="248"/>
      <c r="T67" s="67">
        <f>IF($B67=Háttér_listák!$B$121,SUMIF($D$107:D132,D67+1,$T$107:T132),IF(Q67=Háttér_listák!$B$125,Beruházási_ktg_input!L67,0))</f>
        <v>0</v>
      </c>
      <c r="U67" s="51">
        <f>IF($B67=Háttér_listák!$B$121,SUMIF($D$107:D132,D67+1,$U$107:U132),IF(AND(Q67=Háttér_listák!$B$125,Beruházási_ktg_input!S67=Háttér_listák!$B$130,Főoldal!$C$15="Igen"),Beruházási_ktg_input!N67,0))</f>
        <v>0</v>
      </c>
      <c r="V67" s="51">
        <f t="shared" si="7"/>
        <v>0</v>
      </c>
      <c r="W67" s="51">
        <f>IF($B67=Háttér_listák!$B$121,SUMIF($D$107:D132,D67+1,$W$107:W132),IF(AND(Q67=Háttér_listák!$B$125,Beruházási_ktg_input!S67=Háttér_listák!$B$130,Főoldal!$C$15="Nem"),Beruházási_ktg_input!N67,0))</f>
        <v>0</v>
      </c>
      <c r="X67" s="51">
        <f>IF($B67=Háttér_listák!$B$121,SUMIF($D$107:D132,D67+1,$X$107:X132),IF(AND(Q67=Háttér_listák!$B$125,Beruházási_ktg_input!S67=Háttér_listák!$B$129),Beruházási_ktg_input!N67,0))</f>
        <v>0</v>
      </c>
      <c r="Y67" s="51">
        <f>IF($B67=Háttér_listák!$B$121,SUMIF($D$107:D132,D67+1,$Y$107:Y132),IF(Q67=Háttér_listák!$B$126,Beruházási_ktg_input!L67,0))</f>
        <v>0</v>
      </c>
      <c r="Z67" s="51">
        <f>IF($B67=Háttér_listák!$B$121,SUMIF($D$107:D132,D67+1,$Z$107:Z132),IF(AND(Q67=Háttér_listák!$B$126,Beruházási_ktg_input!S67=Háttér_listák!$B$129),Beruházási_ktg_input!N67,0))</f>
        <v>0</v>
      </c>
      <c r="AA67" s="51">
        <f>IF($B67=Háttér_listák!$B$121,SUMIF($D$107:D132,D67+1,$AA$107:AA132),IF(AND(Q67=Háttér_listák!$B$126,Beruházási_ktg_input!S67=Háttér_listák!$B$130),Beruházási_ktg_input!N67,0))</f>
        <v>0</v>
      </c>
      <c r="AB67" s="51">
        <f t="shared" si="8"/>
        <v>0</v>
      </c>
      <c r="AC67" s="51">
        <f t="shared" si="9"/>
        <v>0</v>
      </c>
      <c r="AD67" s="51">
        <f t="shared" si="10"/>
        <v>0</v>
      </c>
      <c r="AE67" s="68">
        <f t="shared" si="11"/>
        <v>0</v>
      </c>
      <c r="AF67" s="258"/>
      <c r="AG67" s="259"/>
      <c r="AH67" s="259"/>
      <c r="AI67" s="259"/>
      <c r="AJ67" s="260"/>
      <c r="AK67" s="70" t="str">
        <f>IF(SUM(AF67:AJ67)=0,"",IF(SUM(AF67:AJ67)=1,Háttér_listák!$B$133,Háttér_listák!$B$134))</f>
        <v/>
      </c>
      <c r="AL67" s="67">
        <f>IF($AE67=0,0,IF($B67=Háttér_listák!$B$122,Beruházási_ktg_input!$V67*Beruházási_ktg_input!AF67,""))</f>
        <v>0</v>
      </c>
      <c r="AM67" s="51">
        <f>IF($AE67=0,0,IF($B67=Háttér_listák!$B$122,Beruházási_ktg_input!$V67*Beruházási_ktg_input!AG67,""))</f>
        <v>0</v>
      </c>
      <c r="AN67" s="51">
        <f>IF($AE67=0,0,IF($B67=Háttér_listák!$B$122,Beruházási_ktg_input!$V67*Beruházási_ktg_input!AH67,""))</f>
        <v>0</v>
      </c>
      <c r="AO67" s="51">
        <f>IF($AE67=0,0,IF($B67=Háttér_listák!$B$122,Beruházási_ktg_input!$V67*Beruházási_ktg_input!AI67,""))</f>
        <v>0</v>
      </c>
      <c r="AP67" s="68">
        <f>IF($AE67=0,0,IF($B67=Háttér_listák!$B$122,Beruházási_ktg_input!$V67*Beruházási_ktg_input!AJ67,""))</f>
        <v>0</v>
      </c>
      <c r="AQ67" s="67">
        <f>IF($AE67=0,0,IF($B67=Háttér_listák!$B$122,Beruházási_ktg_input!$AD67*Beruházási_ktg_input!AF67,""))</f>
        <v>0</v>
      </c>
      <c r="AR67" s="51">
        <f>IF($AE67=0,0,IF($B67=Háttér_listák!$B$122,Beruházási_ktg_input!$AD67*Beruházási_ktg_input!AG67,""))</f>
        <v>0</v>
      </c>
      <c r="AS67" s="51">
        <f>IF($AE67=0,0,IF($B67=Háttér_listák!$B$122,Beruházási_ktg_input!$AD67*Beruházási_ktg_input!AH67,""))</f>
        <v>0</v>
      </c>
      <c r="AT67" s="51">
        <f>IF($AE67=0,0,IF($B67=Háttér_listák!$B$122,Beruházási_ktg_input!$AD67*Beruházási_ktg_input!AI67,""))</f>
        <v>0</v>
      </c>
      <c r="AU67" s="71">
        <f>IF($AE67=0,0,IF($B67=Háttér_listák!$B$122,Beruházási_ktg_input!$AD67*Beruházási_ktg_input!AJ67,""))</f>
        <v>0</v>
      </c>
      <c r="AV67" s="67">
        <f>IF($AE67=0,0,IF($B67=Háttér_listák!$B$122,($T67+$Y67)*AF67,""))</f>
        <v>0</v>
      </c>
      <c r="AW67" s="51">
        <f>IF($AE67=0,0,IF($B67=Háttér_listák!$B$122,($T67+$Y67)*AG67,""))</f>
        <v>0</v>
      </c>
      <c r="AX67" s="51">
        <f>IF($AE67=0,0,IF($B67=Háttér_listák!$B$122,($T67+$Y67)*AH67,""))</f>
        <v>0</v>
      </c>
      <c r="AY67" s="51">
        <f>IF($AE67=0,0,IF($B67=Háttér_listák!$B$122,($T67+$Y67)*AI67,""))</f>
        <v>0</v>
      </c>
      <c r="AZ67" s="68">
        <f>IF($AE67=0,0,IF($B67=Háttér_listák!$B$122,($T67+$Y67)*AJ67,""))</f>
        <v>0</v>
      </c>
    </row>
    <row r="68" spans="2:52">
      <c r="B68" s="251"/>
      <c r="C68" s="246">
        <f>IF(B68=Háttér_listák!$B$121,1,0)</f>
        <v>0</v>
      </c>
      <c r="D68" s="246">
        <f t="shared" si="6"/>
        <v>12</v>
      </c>
      <c r="E68" s="247"/>
      <c r="F68" s="248"/>
      <c r="G68" s="247"/>
      <c r="H68" s="248"/>
      <c r="I68" s="249"/>
      <c r="J68" s="561"/>
      <c r="K68" s="574">
        <f>IF(B68=Háttér_listák!$B$121,"",Beruházási_ktg_input!I68*Beruházási_ktg_input!J68)</f>
        <v>0</v>
      </c>
      <c r="L68" s="576">
        <f>IF(B68=Háttér_listák!$B$121,SUMIF(Beruházási_ktg_input!D68:$D$107,Beruházási_ktg_input!D68+1,Beruházási_ktg_input!L68:$L$107),Beruházási_ktg_input!$K68)</f>
        <v>0</v>
      </c>
      <c r="M68" s="570"/>
      <c r="N68" s="566">
        <v>0</v>
      </c>
      <c r="O68" s="559">
        <f>IF(B68=Háttér_listák!$B$121,SUMIF(Beruházási_ktg_input!$D$107:D133,Beruházási_ktg_input!D68+1,$O$107:O133),L68+N68)</f>
        <v>0</v>
      </c>
      <c r="P68" s="249">
        <v>0</v>
      </c>
      <c r="Q68" s="251"/>
      <c r="R68" s="248"/>
      <c r="S68" s="248"/>
      <c r="T68" s="67">
        <f>IF($B68=Háttér_listák!$B$121,SUMIF($D$107:D133,D68+1,$T$107:T133),IF(Q68=Háttér_listák!$B$125,Beruházási_ktg_input!L68,0))</f>
        <v>0</v>
      </c>
      <c r="U68" s="51">
        <f>IF($B68=Háttér_listák!$B$121,SUMIF($D$107:D133,D68+1,$U$107:U133),IF(AND(Q68=Háttér_listák!$B$125,Beruházási_ktg_input!S68=Háttér_listák!$B$130,Főoldal!$C$15="Igen"),Beruházási_ktg_input!N68,0))</f>
        <v>0</v>
      </c>
      <c r="V68" s="51">
        <f t="shared" si="7"/>
        <v>0</v>
      </c>
      <c r="W68" s="51">
        <f>IF($B68=Háttér_listák!$B$121,SUMIF($D$107:D133,D68+1,$W$107:W133),IF(AND(Q68=Háttér_listák!$B$125,Beruházási_ktg_input!S68=Háttér_listák!$B$130,Főoldal!$C$15="Nem"),Beruházási_ktg_input!N68,0))</f>
        <v>0</v>
      </c>
      <c r="X68" s="51">
        <f>IF($B68=Háttér_listák!$B$121,SUMIF($D$107:D133,D68+1,$X$107:X133),IF(AND(Q68=Háttér_listák!$B$125,Beruházási_ktg_input!S68=Háttér_listák!$B$129),Beruházási_ktg_input!N68,0))</f>
        <v>0</v>
      </c>
      <c r="Y68" s="51">
        <f>IF($B68=Háttér_listák!$B$121,SUMIF($D$107:D133,D68+1,$Y$107:Y133),IF(Q68=Háttér_listák!$B$126,Beruházási_ktg_input!L68,0))</f>
        <v>0</v>
      </c>
      <c r="Z68" s="51">
        <f>IF($B68=Háttér_listák!$B$121,SUMIF($D$107:D133,D68+1,$Z$107:Z133),IF(AND(Q68=Háttér_listák!$B$126,Beruházási_ktg_input!S68=Háttér_listák!$B$129),Beruházási_ktg_input!N68,0))</f>
        <v>0</v>
      </c>
      <c r="AA68" s="51">
        <f>IF($B68=Háttér_listák!$B$121,SUMIF($D$107:D133,D68+1,$AA$107:AA133),IF(AND(Q68=Háttér_listák!$B$126,Beruházási_ktg_input!S68=Háttér_listák!$B$130),Beruházási_ktg_input!N68,0))</f>
        <v>0</v>
      </c>
      <c r="AB68" s="51">
        <f t="shared" si="8"/>
        <v>0</v>
      </c>
      <c r="AC68" s="51">
        <f t="shared" si="9"/>
        <v>0</v>
      </c>
      <c r="AD68" s="51">
        <f t="shared" si="10"/>
        <v>0</v>
      </c>
      <c r="AE68" s="68">
        <f t="shared" si="11"/>
        <v>0</v>
      </c>
      <c r="AF68" s="258"/>
      <c r="AG68" s="259"/>
      <c r="AH68" s="259"/>
      <c r="AI68" s="259"/>
      <c r="AJ68" s="260"/>
      <c r="AK68" s="70" t="str">
        <f>IF(SUM(AF68:AJ68)=0,"",IF(SUM(AF68:AJ68)=1,Háttér_listák!$B$133,Háttér_listák!$B$134))</f>
        <v/>
      </c>
      <c r="AL68" s="67">
        <f>IF($AE68=0,0,IF($B68=Háttér_listák!$B$122,Beruházási_ktg_input!$V68*Beruházási_ktg_input!AF68,""))</f>
        <v>0</v>
      </c>
      <c r="AM68" s="51">
        <f>IF($AE68=0,0,IF($B68=Háttér_listák!$B$122,Beruházási_ktg_input!$V68*Beruházási_ktg_input!AG68,""))</f>
        <v>0</v>
      </c>
      <c r="AN68" s="51">
        <f>IF($AE68=0,0,IF($B68=Háttér_listák!$B$122,Beruházási_ktg_input!$V68*Beruházási_ktg_input!AH68,""))</f>
        <v>0</v>
      </c>
      <c r="AO68" s="51">
        <f>IF($AE68=0,0,IF($B68=Háttér_listák!$B$122,Beruházási_ktg_input!$V68*Beruházási_ktg_input!AI68,""))</f>
        <v>0</v>
      </c>
      <c r="AP68" s="68">
        <f>IF($AE68=0,0,IF($B68=Háttér_listák!$B$122,Beruházási_ktg_input!$V68*Beruházási_ktg_input!AJ68,""))</f>
        <v>0</v>
      </c>
      <c r="AQ68" s="67">
        <f>IF($AE68=0,0,IF($B68=Háttér_listák!$B$122,Beruházási_ktg_input!$AD68*Beruházási_ktg_input!AF68,""))</f>
        <v>0</v>
      </c>
      <c r="AR68" s="51">
        <f>IF($AE68=0,0,IF($B68=Háttér_listák!$B$122,Beruházási_ktg_input!$AD68*Beruházási_ktg_input!AG68,""))</f>
        <v>0</v>
      </c>
      <c r="AS68" s="51">
        <f>IF($AE68=0,0,IF($B68=Háttér_listák!$B$122,Beruházási_ktg_input!$AD68*Beruházási_ktg_input!AH68,""))</f>
        <v>0</v>
      </c>
      <c r="AT68" s="51">
        <f>IF($AE68=0,0,IF($B68=Háttér_listák!$B$122,Beruházási_ktg_input!$AD68*Beruházási_ktg_input!AI68,""))</f>
        <v>0</v>
      </c>
      <c r="AU68" s="71">
        <f>IF($AE68=0,0,IF($B68=Háttér_listák!$B$122,Beruházási_ktg_input!$AD68*Beruházási_ktg_input!AJ68,""))</f>
        <v>0</v>
      </c>
      <c r="AV68" s="67">
        <f>IF($AE68=0,0,IF($B68=Háttér_listák!$B$122,($T68+$Y68)*AF68,""))</f>
        <v>0</v>
      </c>
      <c r="AW68" s="51">
        <f>IF($AE68=0,0,IF($B68=Háttér_listák!$B$122,($T68+$Y68)*AG68,""))</f>
        <v>0</v>
      </c>
      <c r="AX68" s="51">
        <f>IF($AE68=0,0,IF($B68=Háttér_listák!$B$122,($T68+$Y68)*AH68,""))</f>
        <v>0</v>
      </c>
      <c r="AY68" s="51">
        <f>IF($AE68=0,0,IF($B68=Háttér_listák!$B$122,($T68+$Y68)*AI68,""))</f>
        <v>0</v>
      </c>
      <c r="AZ68" s="68">
        <f>IF($AE68=0,0,IF($B68=Háttér_listák!$B$122,($T68+$Y68)*AJ68,""))</f>
        <v>0</v>
      </c>
    </row>
    <row r="69" spans="2:52">
      <c r="B69" s="251"/>
      <c r="C69" s="246">
        <f>IF(B69=Háttér_listák!$B$121,1,0)</f>
        <v>0</v>
      </c>
      <c r="D69" s="246">
        <f t="shared" si="6"/>
        <v>12</v>
      </c>
      <c r="E69" s="247"/>
      <c r="F69" s="248"/>
      <c r="G69" s="247"/>
      <c r="H69" s="248"/>
      <c r="I69" s="249"/>
      <c r="J69" s="561"/>
      <c r="K69" s="574">
        <f>IF(B69=Háttér_listák!$B$121,"",Beruházási_ktg_input!I69*Beruházási_ktg_input!J69)</f>
        <v>0</v>
      </c>
      <c r="L69" s="576">
        <f>IF(B69=Háttér_listák!$B$121,SUMIF(Beruházási_ktg_input!D69:$D$107,Beruházási_ktg_input!D69+1,Beruházási_ktg_input!L69:$L$107),Beruházási_ktg_input!$K69)</f>
        <v>0</v>
      </c>
      <c r="M69" s="570"/>
      <c r="N69" s="566">
        <v>0</v>
      </c>
      <c r="O69" s="559">
        <f>IF(B69=Háttér_listák!$B$121,SUMIF(Beruházási_ktg_input!$D$107:D134,Beruházási_ktg_input!D69+1,$O$107:O134),L69+N69)</f>
        <v>0</v>
      </c>
      <c r="P69" s="249">
        <v>0</v>
      </c>
      <c r="Q69" s="251"/>
      <c r="R69" s="248"/>
      <c r="S69" s="248"/>
      <c r="T69" s="67">
        <f>IF($B69=Háttér_listák!$B$121,SUMIF($D$107:D134,D69+1,$T$107:T134),IF(Q69=Háttér_listák!$B$125,Beruházási_ktg_input!L69,0))</f>
        <v>0</v>
      </c>
      <c r="U69" s="51">
        <f>IF($B69=Háttér_listák!$B$121,SUMIF($D$107:D134,D69+1,$U$107:U134),IF(AND(Q69=Háttér_listák!$B$125,Beruházási_ktg_input!S69=Háttér_listák!$B$130,Főoldal!$C$15="Igen"),Beruházási_ktg_input!N69,0))</f>
        <v>0</v>
      </c>
      <c r="V69" s="51">
        <f t="shared" si="7"/>
        <v>0</v>
      </c>
      <c r="W69" s="51">
        <f>IF($B69=Háttér_listák!$B$121,SUMIF($D$107:D134,D69+1,$W$107:W134),IF(AND(Q69=Háttér_listák!$B$125,Beruházási_ktg_input!S69=Háttér_listák!$B$130,Főoldal!$C$15="Nem"),Beruházási_ktg_input!N69,0))</f>
        <v>0</v>
      </c>
      <c r="X69" s="51">
        <f>IF($B69=Háttér_listák!$B$121,SUMIF($D$107:D134,D69+1,$X$107:X134),IF(AND(Q69=Háttér_listák!$B$125,Beruházási_ktg_input!S69=Háttér_listák!$B$129),Beruházási_ktg_input!N69,0))</f>
        <v>0</v>
      </c>
      <c r="Y69" s="51">
        <f>IF($B69=Háttér_listák!$B$121,SUMIF($D$107:D134,D69+1,$Y$107:Y134),IF(Q69=Háttér_listák!$B$126,Beruházási_ktg_input!L69,0))</f>
        <v>0</v>
      </c>
      <c r="Z69" s="51">
        <f>IF($B69=Háttér_listák!$B$121,SUMIF($D$107:D134,D69+1,$Z$107:Z134),IF(AND(Q69=Háttér_listák!$B$126,Beruházási_ktg_input!S69=Háttér_listák!$B$129),Beruházási_ktg_input!N69,0))</f>
        <v>0</v>
      </c>
      <c r="AA69" s="51">
        <f>IF($B69=Háttér_listák!$B$121,SUMIF($D$107:D134,D69+1,$AA$107:AA134),IF(AND(Q69=Háttér_listák!$B$126,Beruházási_ktg_input!S69=Háttér_listák!$B$130),Beruházási_ktg_input!N69,0))</f>
        <v>0</v>
      </c>
      <c r="AB69" s="51">
        <f t="shared" si="8"/>
        <v>0</v>
      </c>
      <c r="AC69" s="51">
        <f t="shared" si="9"/>
        <v>0</v>
      </c>
      <c r="AD69" s="51">
        <f t="shared" si="10"/>
        <v>0</v>
      </c>
      <c r="AE69" s="68">
        <f t="shared" si="11"/>
        <v>0</v>
      </c>
      <c r="AF69" s="258"/>
      <c r="AG69" s="259"/>
      <c r="AH69" s="259"/>
      <c r="AI69" s="259"/>
      <c r="AJ69" s="260"/>
      <c r="AK69" s="70" t="str">
        <f>IF(SUM(AF69:AJ69)=0,"",IF(SUM(AF69:AJ69)=1,Háttér_listák!$B$133,Háttér_listák!$B$134))</f>
        <v/>
      </c>
      <c r="AL69" s="67">
        <f>IF($AE69=0,0,IF($B69=Háttér_listák!$B$122,Beruházási_ktg_input!$V69*Beruházási_ktg_input!AF69,""))</f>
        <v>0</v>
      </c>
      <c r="AM69" s="51">
        <f>IF($AE69=0,0,IF($B69=Háttér_listák!$B$122,Beruházási_ktg_input!$V69*Beruházási_ktg_input!AG69,""))</f>
        <v>0</v>
      </c>
      <c r="AN69" s="51">
        <f>IF($AE69=0,0,IF($B69=Háttér_listák!$B$122,Beruházási_ktg_input!$V69*Beruházási_ktg_input!AH69,""))</f>
        <v>0</v>
      </c>
      <c r="AO69" s="51">
        <f>IF($AE69=0,0,IF($B69=Háttér_listák!$B$122,Beruházási_ktg_input!$V69*Beruházási_ktg_input!AI69,""))</f>
        <v>0</v>
      </c>
      <c r="AP69" s="68">
        <f>IF($AE69=0,0,IF($B69=Háttér_listák!$B$122,Beruházási_ktg_input!$V69*Beruházási_ktg_input!AJ69,""))</f>
        <v>0</v>
      </c>
      <c r="AQ69" s="67">
        <f>IF($AE69=0,0,IF($B69=Háttér_listák!$B$122,Beruházási_ktg_input!$AD69*Beruházási_ktg_input!AF69,""))</f>
        <v>0</v>
      </c>
      <c r="AR69" s="51">
        <f>IF($AE69=0,0,IF($B69=Háttér_listák!$B$122,Beruházási_ktg_input!$AD69*Beruházási_ktg_input!AG69,""))</f>
        <v>0</v>
      </c>
      <c r="AS69" s="51">
        <f>IF($AE69=0,0,IF($B69=Háttér_listák!$B$122,Beruházási_ktg_input!$AD69*Beruházási_ktg_input!AH69,""))</f>
        <v>0</v>
      </c>
      <c r="AT69" s="51">
        <f>IF($AE69=0,0,IF($B69=Háttér_listák!$B$122,Beruházási_ktg_input!$AD69*Beruházási_ktg_input!AI69,""))</f>
        <v>0</v>
      </c>
      <c r="AU69" s="71">
        <f>IF($AE69=0,0,IF($B69=Háttér_listák!$B$122,Beruházási_ktg_input!$AD69*Beruházási_ktg_input!AJ69,""))</f>
        <v>0</v>
      </c>
      <c r="AV69" s="67">
        <f>IF($AE69=0,0,IF($B69=Háttér_listák!$B$122,($T69+$Y69)*AF69,""))</f>
        <v>0</v>
      </c>
      <c r="AW69" s="51">
        <f>IF($AE69=0,0,IF($B69=Háttér_listák!$B$122,($T69+$Y69)*AG69,""))</f>
        <v>0</v>
      </c>
      <c r="AX69" s="51">
        <f>IF($AE69=0,0,IF($B69=Háttér_listák!$B$122,($T69+$Y69)*AH69,""))</f>
        <v>0</v>
      </c>
      <c r="AY69" s="51">
        <f>IF($AE69=0,0,IF($B69=Háttér_listák!$B$122,($T69+$Y69)*AI69,""))</f>
        <v>0</v>
      </c>
      <c r="AZ69" s="68">
        <f>IF($AE69=0,0,IF($B69=Háttér_listák!$B$122,($T69+$Y69)*AJ69,""))</f>
        <v>0</v>
      </c>
    </row>
    <row r="70" spans="2:52">
      <c r="B70" s="251"/>
      <c r="C70" s="246">
        <f>IF(B70=Háttér_listák!$B$121,1,0)</f>
        <v>0</v>
      </c>
      <c r="D70" s="246">
        <f t="shared" si="6"/>
        <v>12</v>
      </c>
      <c r="E70" s="247"/>
      <c r="F70" s="248"/>
      <c r="G70" s="247"/>
      <c r="H70" s="248"/>
      <c r="I70" s="249"/>
      <c r="J70" s="561"/>
      <c r="K70" s="574">
        <f>IF(B70=Háttér_listák!$B$121,"",Beruházási_ktg_input!I70*Beruházási_ktg_input!J70)</f>
        <v>0</v>
      </c>
      <c r="L70" s="576">
        <f>IF(B70=Háttér_listák!$B$121,SUMIF(Beruházási_ktg_input!D70:$D$107,Beruházási_ktg_input!D70+1,Beruházási_ktg_input!L70:$L$107),Beruházási_ktg_input!$K70)</f>
        <v>0</v>
      </c>
      <c r="M70" s="570"/>
      <c r="N70" s="566">
        <v>0</v>
      </c>
      <c r="O70" s="559">
        <f>IF(B70=Háttér_listák!$B$121,SUMIF(Beruházási_ktg_input!$D$107:D135,Beruházási_ktg_input!D70+1,$O$107:O135),L70+N70)</f>
        <v>0</v>
      </c>
      <c r="P70" s="249">
        <v>0</v>
      </c>
      <c r="Q70" s="251"/>
      <c r="R70" s="248"/>
      <c r="S70" s="248"/>
      <c r="T70" s="67">
        <f>IF($B70=Háttér_listák!$B$121,SUMIF($D$107:D135,D70+1,$T$107:T135),IF(Q70=Háttér_listák!$B$125,Beruházási_ktg_input!L70,0))</f>
        <v>0</v>
      </c>
      <c r="U70" s="51">
        <f>IF($B70=Háttér_listák!$B$121,SUMIF($D$107:D135,D70+1,$U$107:U135),IF(AND(Q70=Háttér_listák!$B$125,Beruházási_ktg_input!S70=Háttér_listák!$B$130,Főoldal!$C$15="Igen"),Beruházási_ktg_input!N70,0))</f>
        <v>0</v>
      </c>
      <c r="V70" s="51">
        <f t="shared" si="7"/>
        <v>0</v>
      </c>
      <c r="W70" s="51">
        <f>IF($B70=Háttér_listák!$B$121,SUMIF($D$107:D135,D70+1,$W$107:W135),IF(AND(Q70=Háttér_listák!$B$125,Beruházási_ktg_input!S70=Háttér_listák!$B$130,Főoldal!$C$15="Nem"),Beruházási_ktg_input!N70,0))</f>
        <v>0</v>
      </c>
      <c r="X70" s="51">
        <f>IF($B70=Háttér_listák!$B$121,SUMIF($D$107:D135,D70+1,$X$107:X135),IF(AND(Q70=Háttér_listák!$B$125,Beruházási_ktg_input!S70=Háttér_listák!$B$129),Beruházási_ktg_input!N70,0))</f>
        <v>0</v>
      </c>
      <c r="Y70" s="51">
        <f>IF($B70=Háttér_listák!$B$121,SUMIF($D$107:D135,D70+1,$Y$107:Y135),IF(Q70=Háttér_listák!$B$126,Beruházási_ktg_input!L70,0))</f>
        <v>0</v>
      </c>
      <c r="Z70" s="51">
        <f>IF($B70=Háttér_listák!$B$121,SUMIF($D$107:D135,D70+1,$Z$107:Z135),IF(AND(Q70=Háttér_listák!$B$126,Beruházási_ktg_input!S70=Háttér_listák!$B$129),Beruházási_ktg_input!N70,0))</f>
        <v>0</v>
      </c>
      <c r="AA70" s="51">
        <f>IF($B70=Háttér_listák!$B$121,SUMIF($D$107:D135,D70+1,$AA$107:AA135),IF(AND(Q70=Háttér_listák!$B$126,Beruházási_ktg_input!S70=Háttér_listák!$B$130),Beruházási_ktg_input!N70,0))</f>
        <v>0</v>
      </c>
      <c r="AB70" s="51">
        <f t="shared" si="8"/>
        <v>0</v>
      </c>
      <c r="AC70" s="51">
        <f t="shared" si="9"/>
        <v>0</v>
      </c>
      <c r="AD70" s="51">
        <f t="shared" si="10"/>
        <v>0</v>
      </c>
      <c r="AE70" s="68">
        <f t="shared" si="11"/>
        <v>0</v>
      </c>
      <c r="AF70" s="258"/>
      <c r="AG70" s="259"/>
      <c r="AH70" s="259"/>
      <c r="AI70" s="259"/>
      <c r="AJ70" s="260"/>
      <c r="AK70" s="70" t="str">
        <f>IF(SUM(AF70:AJ70)=0,"",IF(SUM(AF70:AJ70)=1,Háttér_listák!$B$133,Háttér_listák!$B$134))</f>
        <v/>
      </c>
      <c r="AL70" s="67">
        <f>IF($AE70=0,0,IF($B70=Háttér_listák!$B$122,Beruházási_ktg_input!$V70*Beruházási_ktg_input!AF70,""))</f>
        <v>0</v>
      </c>
      <c r="AM70" s="51">
        <f>IF($AE70=0,0,IF($B70=Háttér_listák!$B$122,Beruházási_ktg_input!$V70*Beruházási_ktg_input!AG70,""))</f>
        <v>0</v>
      </c>
      <c r="AN70" s="51">
        <f>IF($AE70=0,0,IF($B70=Háttér_listák!$B$122,Beruházási_ktg_input!$V70*Beruházási_ktg_input!AH70,""))</f>
        <v>0</v>
      </c>
      <c r="AO70" s="51">
        <f>IF($AE70=0,0,IF($B70=Háttér_listák!$B$122,Beruházási_ktg_input!$V70*Beruházási_ktg_input!AI70,""))</f>
        <v>0</v>
      </c>
      <c r="AP70" s="68">
        <f>IF($AE70=0,0,IF($B70=Háttér_listák!$B$122,Beruházási_ktg_input!$V70*Beruházási_ktg_input!AJ70,""))</f>
        <v>0</v>
      </c>
      <c r="AQ70" s="67">
        <f>IF($AE70=0,0,IF($B70=Háttér_listák!$B$122,Beruházási_ktg_input!$AD70*Beruházási_ktg_input!AF70,""))</f>
        <v>0</v>
      </c>
      <c r="AR70" s="51">
        <f>IF($AE70=0,0,IF($B70=Háttér_listák!$B$122,Beruházási_ktg_input!$AD70*Beruházási_ktg_input!AG70,""))</f>
        <v>0</v>
      </c>
      <c r="AS70" s="51">
        <f>IF($AE70=0,0,IF($B70=Háttér_listák!$B$122,Beruházási_ktg_input!$AD70*Beruházási_ktg_input!AH70,""))</f>
        <v>0</v>
      </c>
      <c r="AT70" s="51">
        <f>IF($AE70=0,0,IF($B70=Háttér_listák!$B$122,Beruházási_ktg_input!$AD70*Beruházási_ktg_input!AI70,""))</f>
        <v>0</v>
      </c>
      <c r="AU70" s="71">
        <f>IF($AE70=0,0,IF($B70=Háttér_listák!$B$122,Beruházási_ktg_input!$AD70*Beruházási_ktg_input!AJ70,""))</f>
        <v>0</v>
      </c>
      <c r="AV70" s="67">
        <f>IF($AE70=0,0,IF($B70=Háttér_listák!$B$122,($T70+$Y70)*AF70,""))</f>
        <v>0</v>
      </c>
      <c r="AW70" s="51">
        <f>IF($AE70=0,0,IF($B70=Háttér_listák!$B$122,($T70+$Y70)*AG70,""))</f>
        <v>0</v>
      </c>
      <c r="AX70" s="51">
        <f>IF($AE70=0,0,IF($B70=Háttér_listák!$B$122,($T70+$Y70)*AH70,""))</f>
        <v>0</v>
      </c>
      <c r="AY70" s="51">
        <f>IF($AE70=0,0,IF($B70=Háttér_listák!$B$122,($T70+$Y70)*AI70,""))</f>
        <v>0</v>
      </c>
      <c r="AZ70" s="68">
        <f>IF($AE70=0,0,IF($B70=Háttér_listák!$B$122,($T70+$Y70)*AJ70,""))</f>
        <v>0</v>
      </c>
    </row>
    <row r="71" spans="2:52">
      <c r="B71" s="251"/>
      <c r="C71" s="246">
        <f>IF(B71=Háttér_listák!$B$121,1,0)</f>
        <v>0</v>
      </c>
      <c r="D71" s="246">
        <f t="shared" si="6"/>
        <v>12</v>
      </c>
      <c r="E71" s="247"/>
      <c r="F71" s="248"/>
      <c r="G71" s="247"/>
      <c r="H71" s="248"/>
      <c r="I71" s="249"/>
      <c r="J71" s="561"/>
      <c r="K71" s="574">
        <f>IF(B71=Háttér_listák!$B$121,"",Beruházási_ktg_input!I71*Beruházási_ktg_input!J71)</f>
        <v>0</v>
      </c>
      <c r="L71" s="576">
        <f>IF(B71=Háttér_listák!$B$121,SUMIF(Beruházási_ktg_input!D71:$D$107,Beruházási_ktg_input!D71+1,Beruházási_ktg_input!L71:$L$107),Beruházási_ktg_input!$K71)</f>
        <v>0</v>
      </c>
      <c r="M71" s="570"/>
      <c r="N71" s="566">
        <v>0</v>
      </c>
      <c r="O71" s="559">
        <f>IF(B71=Háttér_listák!$B$121,SUMIF(Beruházási_ktg_input!$D$107:D136,Beruházási_ktg_input!D71+1,$O$107:O136),L71+N71)</f>
        <v>0</v>
      </c>
      <c r="P71" s="249">
        <v>0</v>
      </c>
      <c r="Q71" s="251"/>
      <c r="R71" s="248"/>
      <c r="S71" s="248"/>
      <c r="T71" s="67">
        <f>IF($B71=Háttér_listák!$B$121,SUMIF($D$107:D136,D71+1,$T$107:T136),IF(Q71=Háttér_listák!$B$125,Beruházási_ktg_input!L71,0))</f>
        <v>0</v>
      </c>
      <c r="U71" s="51">
        <f>IF($B71=Háttér_listák!$B$121,SUMIF($D$107:D136,D71+1,$U$107:U136),IF(AND(Q71=Háttér_listák!$B$125,Beruházási_ktg_input!S71=Háttér_listák!$B$130,Főoldal!$C$15="Igen"),Beruházási_ktg_input!N71,0))</f>
        <v>0</v>
      </c>
      <c r="V71" s="51">
        <f t="shared" si="7"/>
        <v>0</v>
      </c>
      <c r="W71" s="51">
        <f>IF($B71=Háttér_listák!$B$121,SUMIF($D$107:D136,D71+1,$W$107:W136),IF(AND(Q71=Háttér_listák!$B$125,Beruházási_ktg_input!S71=Háttér_listák!$B$130,Főoldal!$C$15="Nem"),Beruházási_ktg_input!N71,0))</f>
        <v>0</v>
      </c>
      <c r="X71" s="51">
        <f>IF($B71=Háttér_listák!$B$121,SUMIF($D$107:D136,D71+1,$X$107:X136),IF(AND(Q71=Háttér_listák!$B$125,Beruházási_ktg_input!S71=Háttér_listák!$B$129),Beruházási_ktg_input!N71,0))</f>
        <v>0</v>
      </c>
      <c r="Y71" s="51">
        <f>IF($B71=Háttér_listák!$B$121,SUMIF($D$107:D136,D71+1,$Y$107:Y136),IF(Q71=Háttér_listák!$B$126,Beruházási_ktg_input!L71,0))</f>
        <v>0</v>
      </c>
      <c r="Z71" s="51">
        <f>IF($B71=Háttér_listák!$B$121,SUMIF($D$107:D136,D71+1,$Z$107:Z136),IF(AND(Q71=Háttér_listák!$B$126,Beruházási_ktg_input!S71=Háttér_listák!$B$129),Beruházási_ktg_input!N71,0))</f>
        <v>0</v>
      </c>
      <c r="AA71" s="51">
        <f>IF($B71=Háttér_listák!$B$121,SUMIF($D$107:D136,D71+1,$AA$107:AA136),IF(AND(Q71=Háttér_listák!$B$126,Beruházási_ktg_input!S71=Háttér_listák!$B$130),Beruházási_ktg_input!N71,0))</f>
        <v>0</v>
      </c>
      <c r="AB71" s="51">
        <f t="shared" si="8"/>
        <v>0</v>
      </c>
      <c r="AC71" s="51">
        <f t="shared" si="9"/>
        <v>0</v>
      </c>
      <c r="AD71" s="51">
        <f t="shared" si="10"/>
        <v>0</v>
      </c>
      <c r="AE71" s="68">
        <f t="shared" si="11"/>
        <v>0</v>
      </c>
      <c r="AF71" s="258"/>
      <c r="AG71" s="259"/>
      <c r="AH71" s="259"/>
      <c r="AI71" s="259"/>
      <c r="AJ71" s="260"/>
      <c r="AK71" s="70" t="str">
        <f>IF(SUM(AF71:AJ71)=0,"",IF(SUM(AF71:AJ71)=1,Háttér_listák!$B$133,Háttér_listák!$B$134))</f>
        <v/>
      </c>
      <c r="AL71" s="67">
        <f>IF($AE71=0,0,IF($B71=Háttér_listák!$B$122,Beruházási_ktg_input!$V71*Beruházási_ktg_input!AF71,""))</f>
        <v>0</v>
      </c>
      <c r="AM71" s="51">
        <f>IF($AE71=0,0,IF($B71=Háttér_listák!$B$122,Beruházási_ktg_input!$V71*Beruházási_ktg_input!AG71,""))</f>
        <v>0</v>
      </c>
      <c r="AN71" s="51">
        <f>IF($AE71=0,0,IF($B71=Háttér_listák!$B$122,Beruházási_ktg_input!$V71*Beruházási_ktg_input!AH71,""))</f>
        <v>0</v>
      </c>
      <c r="AO71" s="51">
        <f>IF($AE71=0,0,IF($B71=Háttér_listák!$B$122,Beruházási_ktg_input!$V71*Beruházási_ktg_input!AI71,""))</f>
        <v>0</v>
      </c>
      <c r="AP71" s="68">
        <f>IF($AE71=0,0,IF($B71=Háttér_listák!$B$122,Beruházási_ktg_input!$V71*Beruházási_ktg_input!AJ71,""))</f>
        <v>0</v>
      </c>
      <c r="AQ71" s="67">
        <f>IF($AE71=0,0,IF($B71=Háttér_listák!$B$122,Beruházási_ktg_input!$AD71*Beruházási_ktg_input!AF71,""))</f>
        <v>0</v>
      </c>
      <c r="AR71" s="51">
        <f>IF($AE71=0,0,IF($B71=Háttér_listák!$B$122,Beruházási_ktg_input!$AD71*Beruházási_ktg_input!AG71,""))</f>
        <v>0</v>
      </c>
      <c r="AS71" s="51">
        <f>IF($AE71=0,0,IF($B71=Háttér_listák!$B$122,Beruházási_ktg_input!$AD71*Beruházási_ktg_input!AH71,""))</f>
        <v>0</v>
      </c>
      <c r="AT71" s="51">
        <f>IF($AE71=0,0,IF($B71=Háttér_listák!$B$122,Beruházási_ktg_input!$AD71*Beruházási_ktg_input!AI71,""))</f>
        <v>0</v>
      </c>
      <c r="AU71" s="71">
        <f>IF($AE71=0,0,IF($B71=Háttér_listák!$B$122,Beruházási_ktg_input!$AD71*Beruházási_ktg_input!AJ71,""))</f>
        <v>0</v>
      </c>
      <c r="AV71" s="67">
        <f>IF($AE71=0,0,IF($B71=Háttér_listák!$B$122,($T71+$Y71)*AF71,""))</f>
        <v>0</v>
      </c>
      <c r="AW71" s="51">
        <f>IF($AE71=0,0,IF($B71=Háttér_listák!$B$122,($T71+$Y71)*AG71,""))</f>
        <v>0</v>
      </c>
      <c r="AX71" s="51">
        <f>IF($AE71=0,0,IF($B71=Háttér_listák!$B$122,($T71+$Y71)*AH71,""))</f>
        <v>0</v>
      </c>
      <c r="AY71" s="51">
        <f>IF($AE71=0,0,IF($B71=Háttér_listák!$B$122,($T71+$Y71)*AI71,""))</f>
        <v>0</v>
      </c>
      <c r="AZ71" s="68">
        <f>IF($AE71=0,0,IF($B71=Háttér_listák!$B$122,($T71+$Y71)*AJ71,""))</f>
        <v>0</v>
      </c>
    </row>
    <row r="72" spans="2:52">
      <c r="B72" s="251"/>
      <c r="C72" s="246">
        <f>IF(B72=Háttér_listák!$B$121,1,0)</f>
        <v>0</v>
      </c>
      <c r="D72" s="246">
        <f t="shared" si="6"/>
        <v>12</v>
      </c>
      <c r="E72" s="247"/>
      <c r="F72" s="248"/>
      <c r="G72" s="247"/>
      <c r="H72" s="248"/>
      <c r="I72" s="249"/>
      <c r="J72" s="561"/>
      <c r="K72" s="574">
        <f>IF(B72=Háttér_listák!$B$121,"",Beruházási_ktg_input!I72*Beruházási_ktg_input!J72)</f>
        <v>0</v>
      </c>
      <c r="L72" s="576">
        <f>IF(B72=Háttér_listák!$B$121,SUMIF(Beruházási_ktg_input!D72:$D$107,Beruházási_ktg_input!D72+1,Beruházási_ktg_input!L72:$L$107),Beruházási_ktg_input!$K72)</f>
        <v>0</v>
      </c>
      <c r="M72" s="570"/>
      <c r="N72" s="566">
        <v>0</v>
      </c>
      <c r="O72" s="559">
        <f>IF(B72=Háttér_listák!$B$121,SUMIF(Beruházási_ktg_input!$D$107:D137,Beruházási_ktg_input!D72+1,$O$107:O137),L72+N72)</f>
        <v>0</v>
      </c>
      <c r="P72" s="249">
        <v>0</v>
      </c>
      <c r="Q72" s="251"/>
      <c r="R72" s="248"/>
      <c r="S72" s="248"/>
      <c r="T72" s="67">
        <f>IF($B72=Háttér_listák!$B$121,SUMIF($D$107:D137,D72+1,$T$107:T137),IF(Q72=Háttér_listák!$B$125,Beruházási_ktg_input!L72,0))</f>
        <v>0</v>
      </c>
      <c r="U72" s="51">
        <f>IF($B72=Háttér_listák!$B$121,SUMIF($D$107:D137,D72+1,$U$107:U137),IF(AND(Q72=Háttér_listák!$B$125,Beruházási_ktg_input!S72=Háttér_listák!$B$130,Főoldal!$C$15="Igen"),Beruházási_ktg_input!N72,0))</f>
        <v>0</v>
      </c>
      <c r="V72" s="51">
        <f t="shared" si="7"/>
        <v>0</v>
      </c>
      <c r="W72" s="51">
        <f>IF($B72=Háttér_listák!$B$121,SUMIF($D$107:D137,D72+1,$W$107:W137),IF(AND(Q72=Háttér_listák!$B$125,Beruházási_ktg_input!S72=Háttér_listák!$B$130,Főoldal!$C$15="Nem"),Beruházási_ktg_input!N72,0))</f>
        <v>0</v>
      </c>
      <c r="X72" s="51">
        <f>IF($B72=Háttér_listák!$B$121,SUMIF($D$107:D137,D72+1,$X$107:X137),IF(AND(Q72=Háttér_listák!$B$125,Beruházási_ktg_input!S72=Háttér_listák!$B$129),Beruházási_ktg_input!N72,0))</f>
        <v>0</v>
      </c>
      <c r="Y72" s="51">
        <f>IF($B72=Háttér_listák!$B$121,SUMIF($D$107:D137,D72+1,$Y$107:Y137),IF(Q72=Háttér_listák!$B$126,Beruházási_ktg_input!L72,0))</f>
        <v>0</v>
      </c>
      <c r="Z72" s="51">
        <f>IF($B72=Háttér_listák!$B$121,SUMIF($D$107:D137,D72+1,$Z$107:Z137),IF(AND(Q72=Háttér_listák!$B$126,Beruházási_ktg_input!S72=Háttér_listák!$B$129),Beruházási_ktg_input!N72,0))</f>
        <v>0</v>
      </c>
      <c r="AA72" s="51">
        <f>IF($B72=Háttér_listák!$B$121,SUMIF($D$107:D137,D72+1,$AA$107:AA137),IF(AND(Q72=Háttér_listák!$B$126,Beruházási_ktg_input!S72=Háttér_listák!$B$130),Beruházási_ktg_input!N72,0))</f>
        <v>0</v>
      </c>
      <c r="AB72" s="51">
        <f t="shared" si="8"/>
        <v>0</v>
      </c>
      <c r="AC72" s="51">
        <f t="shared" si="9"/>
        <v>0</v>
      </c>
      <c r="AD72" s="51">
        <f t="shared" si="10"/>
        <v>0</v>
      </c>
      <c r="AE72" s="68">
        <f t="shared" si="11"/>
        <v>0</v>
      </c>
      <c r="AF72" s="258"/>
      <c r="AG72" s="259"/>
      <c r="AH72" s="259"/>
      <c r="AI72" s="259"/>
      <c r="AJ72" s="260"/>
      <c r="AK72" s="70" t="str">
        <f>IF(SUM(AF72:AJ72)=0,"",IF(SUM(AF72:AJ72)=1,Háttér_listák!$B$133,Háttér_listák!$B$134))</f>
        <v/>
      </c>
      <c r="AL72" s="67">
        <f>IF($AE72=0,0,IF($B72=Háttér_listák!$B$122,Beruházási_ktg_input!$V72*Beruházási_ktg_input!AF72,""))</f>
        <v>0</v>
      </c>
      <c r="AM72" s="51">
        <f>IF($AE72=0,0,IF($B72=Háttér_listák!$B$122,Beruházási_ktg_input!$V72*Beruházási_ktg_input!AG72,""))</f>
        <v>0</v>
      </c>
      <c r="AN72" s="51">
        <f>IF($AE72=0,0,IF($B72=Háttér_listák!$B$122,Beruházási_ktg_input!$V72*Beruházási_ktg_input!AH72,""))</f>
        <v>0</v>
      </c>
      <c r="AO72" s="51">
        <f>IF($AE72=0,0,IF($B72=Háttér_listák!$B$122,Beruházási_ktg_input!$V72*Beruházási_ktg_input!AI72,""))</f>
        <v>0</v>
      </c>
      <c r="AP72" s="68">
        <f>IF($AE72=0,0,IF($B72=Háttér_listák!$B$122,Beruházási_ktg_input!$V72*Beruházási_ktg_input!AJ72,""))</f>
        <v>0</v>
      </c>
      <c r="AQ72" s="67">
        <f>IF($AE72=0,0,IF($B72=Háttér_listák!$B$122,Beruházási_ktg_input!$AD72*Beruházási_ktg_input!AF72,""))</f>
        <v>0</v>
      </c>
      <c r="AR72" s="51">
        <f>IF($AE72=0,0,IF($B72=Háttér_listák!$B$122,Beruházási_ktg_input!$AD72*Beruházási_ktg_input!AG72,""))</f>
        <v>0</v>
      </c>
      <c r="AS72" s="51">
        <f>IF($AE72=0,0,IF($B72=Háttér_listák!$B$122,Beruházási_ktg_input!$AD72*Beruházási_ktg_input!AH72,""))</f>
        <v>0</v>
      </c>
      <c r="AT72" s="51">
        <f>IF($AE72=0,0,IF($B72=Háttér_listák!$B$122,Beruházási_ktg_input!$AD72*Beruházási_ktg_input!AI72,""))</f>
        <v>0</v>
      </c>
      <c r="AU72" s="71">
        <f>IF($AE72=0,0,IF($B72=Háttér_listák!$B$122,Beruházási_ktg_input!$AD72*Beruházási_ktg_input!AJ72,""))</f>
        <v>0</v>
      </c>
      <c r="AV72" s="67">
        <f>IF($AE72=0,0,IF($B72=Háttér_listák!$B$122,($T72+$Y72)*AF72,""))</f>
        <v>0</v>
      </c>
      <c r="AW72" s="51">
        <f>IF($AE72=0,0,IF($B72=Háttér_listák!$B$122,($T72+$Y72)*AG72,""))</f>
        <v>0</v>
      </c>
      <c r="AX72" s="51">
        <f>IF($AE72=0,0,IF($B72=Háttér_listák!$B$122,($T72+$Y72)*AH72,""))</f>
        <v>0</v>
      </c>
      <c r="AY72" s="51">
        <f>IF($AE72=0,0,IF($B72=Háttér_listák!$B$122,($T72+$Y72)*AI72,""))</f>
        <v>0</v>
      </c>
      <c r="AZ72" s="68">
        <f>IF($AE72=0,0,IF($B72=Háttér_listák!$B$122,($T72+$Y72)*AJ72,""))</f>
        <v>0</v>
      </c>
    </row>
    <row r="73" spans="2:52">
      <c r="B73" s="251"/>
      <c r="C73" s="246">
        <f>IF(B73=Háttér_listák!$B$121,1,0)</f>
        <v>0</v>
      </c>
      <c r="D73" s="246">
        <f t="shared" si="6"/>
        <v>12</v>
      </c>
      <c r="E73" s="247"/>
      <c r="F73" s="248"/>
      <c r="G73" s="247"/>
      <c r="H73" s="248"/>
      <c r="I73" s="249"/>
      <c r="J73" s="561"/>
      <c r="K73" s="574">
        <f>IF(B73=Háttér_listák!$B$121,"",Beruházási_ktg_input!I73*Beruházási_ktg_input!J73)</f>
        <v>0</v>
      </c>
      <c r="L73" s="576">
        <f>IF(B73=Háttér_listák!$B$121,SUMIF(Beruházási_ktg_input!D73:$D$107,Beruházási_ktg_input!D73+1,Beruházási_ktg_input!L73:$L$107),Beruházási_ktg_input!$K73)</f>
        <v>0</v>
      </c>
      <c r="M73" s="570"/>
      <c r="N73" s="566">
        <v>0</v>
      </c>
      <c r="O73" s="559">
        <f>IF(B73=Háttér_listák!$B$121,SUMIF(Beruházási_ktg_input!$D$107:D138,Beruházási_ktg_input!D73+1,$O$107:O138),L73+N73)</f>
        <v>0</v>
      </c>
      <c r="P73" s="249">
        <v>0</v>
      </c>
      <c r="Q73" s="251"/>
      <c r="R73" s="248"/>
      <c r="S73" s="248"/>
      <c r="T73" s="67">
        <f>IF($B73=Háttér_listák!$B$121,SUMIF($D$107:D138,D73+1,$T$107:T138),IF(Q73=Háttér_listák!$B$125,Beruházási_ktg_input!L73,0))</f>
        <v>0</v>
      </c>
      <c r="U73" s="51">
        <f>IF($B73=Háttér_listák!$B$121,SUMIF($D$107:D138,D73+1,$U$107:U138),IF(AND(Q73=Háttér_listák!$B$125,Beruházási_ktg_input!S73=Háttér_listák!$B$130,Főoldal!$C$15="Igen"),Beruházási_ktg_input!N73,0))</f>
        <v>0</v>
      </c>
      <c r="V73" s="51">
        <f t="shared" si="7"/>
        <v>0</v>
      </c>
      <c r="W73" s="51">
        <f>IF($B73=Háttér_listák!$B$121,SUMIF($D$107:D138,D73+1,$W$107:W138),IF(AND(Q73=Háttér_listák!$B$125,Beruházási_ktg_input!S73=Háttér_listák!$B$130,Főoldal!$C$15="Nem"),Beruházási_ktg_input!N73,0))</f>
        <v>0</v>
      </c>
      <c r="X73" s="51">
        <f>IF($B73=Háttér_listák!$B$121,SUMIF($D$107:D138,D73+1,$X$107:X138),IF(AND(Q73=Háttér_listák!$B$125,Beruházási_ktg_input!S73=Háttér_listák!$B$129),Beruházási_ktg_input!N73,0))</f>
        <v>0</v>
      </c>
      <c r="Y73" s="51">
        <f>IF($B73=Háttér_listák!$B$121,SUMIF($D$107:D138,D73+1,$Y$107:Y138),IF(Q73=Háttér_listák!$B$126,Beruházási_ktg_input!L73,0))</f>
        <v>0</v>
      </c>
      <c r="Z73" s="51">
        <f>IF($B73=Háttér_listák!$B$121,SUMIF($D$107:D138,D73+1,$Z$107:Z138),IF(AND(Q73=Háttér_listák!$B$126,Beruházási_ktg_input!S73=Háttér_listák!$B$129),Beruházási_ktg_input!N73,0))</f>
        <v>0</v>
      </c>
      <c r="AA73" s="51">
        <f>IF($B73=Háttér_listák!$B$121,SUMIF($D$107:D138,D73+1,$AA$107:AA138),IF(AND(Q73=Háttér_listák!$B$126,Beruházási_ktg_input!S73=Háttér_listák!$B$130),Beruházási_ktg_input!N73,0))</f>
        <v>0</v>
      </c>
      <c r="AB73" s="51">
        <f t="shared" si="8"/>
        <v>0</v>
      </c>
      <c r="AC73" s="51">
        <f t="shared" si="9"/>
        <v>0</v>
      </c>
      <c r="AD73" s="51">
        <f t="shared" si="10"/>
        <v>0</v>
      </c>
      <c r="AE73" s="68">
        <f t="shared" si="11"/>
        <v>0</v>
      </c>
      <c r="AF73" s="258"/>
      <c r="AG73" s="259"/>
      <c r="AH73" s="259"/>
      <c r="AI73" s="259"/>
      <c r="AJ73" s="260"/>
      <c r="AK73" s="70" t="str">
        <f>IF(SUM(AF73:AJ73)=0,"",IF(SUM(AF73:AJ73)=1,Háttér_listák!$B$133,Háttér_listák!$B$134))</f>
        <v/>
      </c>
      <c r="AL73" s="67">
        <f>IF($AE73=0,0,IF($B73=Háttér_listák!$B$122,Beruházási_ktg_input!$V73*Beruházási_ktg_input!AF73,""))</f>
        <v>0</v>
      </c>
      <c r="AM73" s="51">
        <f>IF($AE73=0,0,IF($B73=Háttér_listák!$B$122,Beruházási_ktg_input!$V73*Beruházási_ktg_input!AG73,""))</f>
        <v>0</v>
      </c>
      <c r="AN73" s="51">
        <f>IF($AE73=0,0,IF($B73=Háttér_listák!$B$122,Beruházási_ktg_input!$V73*Beruházási_ktg_input!AH73,""))</f>
        <v>0</v>
      </c>
      <c r="AO73" s="51">
        <f>IF($AE73=0,0,IF($B73=Háttér_listák!$B$122,Beruházási_ktg_input!$V73*Beruházási_ktg_input!AI73,""))</f>
        <v>0</v>
      </c>
      <c r="AP73" s="68">
        <f>IF($AE73=0,0,IF($B73=Háttér_listák!$B$122,Beruházási_ktg_input!$V73*Beruházási_ktg_input!AJ73,""))</f>
        <v>0</v>
      </c>
      <c r="AQ73" s="67">
        <f>IF($AE73=0,0,IF($B73=Háttér_listák!$B$122,Beruházási_ktg_input!$AD73*Beruházási_ktg_input!AF73,""))</f>
        <v>0</v>
      </c>
      <c r="AR73" s="51">
        <f>IF($AE73=0,0,IF($B73=Háttér_listák!$B$122,Beruházási_ktg_input!$AD73*Beruházási_ktg_input!AG73,""))</f>
        <v>0</v>
      </c>
      <c r="AS73" s="51">
        <f>IF($AE73=0,0,IF($B73=Háttér_listák!$B$122,Beruházási_ktg_input!$AD73*Beruházási_ktg_input!AH73,""))</f>
        <v>0</v>
      </c>
      <c r="AT73" s="51">
        <f>IF($AE73=0,0,IF($B73=Háttér_listák!$B$122,Beruházási_ktg_input!$AD73*Beruházási_ktg_input!AI73,""))</f>
        <v>0</v>
      </c>
      <c r="AU73" s="71">
        <f>IF($AE73=0,0,IF($B73=Háttér_listák!$B$122,Beruházási_ktg_input!$AD73*Beruházási_ktg_input!AJ73,""))</f>
        <v>0</v>
      </c>
      <c r="AV73" s="67">
        <f>IF($AE73=0,0,IF($B73=Háttér_listák!$B$122,($T73+$Y73)*AF73,""))</f>
        <v>0</v>
      </c>
      <c r="AW73" s="51">
        <f>IF($AE73=0,0,IF($B73=Háttér_listák!$B$122,($T73+$Y73)*AG73,""))</f>
        <v>0</v>
      </c>
      <c r="AX73" s="51">
        <f>IF($AE73=0,0,IF($B73=Háttér_listák!$B$122,($T73+$Y73)*AH73,""))</f>
        <v>0</v>
      </c>
      <c r="AY73" s="51">
        <f>IF($AE73=0,0,IF($B73=Háttér_listák!$B$122,($T73+$Y73)*AI73,""))</f>
        <v>0</v>
      </c>
      <c r="AZ73" s="68">
        <f>IF($AE73=0,0,IF($B73=Háttér_listák!$B$122,($T73+$Y73)*AJ73,""))</f>
        <v>0</v>
      </c>
    </row>
    <row r="74" spans="2:52">
      <c r="B74" s="251"/>
      <c r="C74" s="246">
        <f>IF(B74=Háttér_listák!$B$121,1,0)</f>
        <v>0</v>
      </c>
      <c r="D74" s="246">
        <f t="shared" si="6"/>
        <v>12</v>
      </c>
      <c r="E74" s="247"/>
      <c r="F74" s="248"/>
      <c r="G74" s="247"/>
      <c r="H74" s="248"/>
      <c r="I74" s="249"/>
      <c r="J74" s="561"/>
      <c r="K74" s="574">
        <f>IF(B74=Háttér_listák!$B$121,"",Beruházási_ktg_input!I74*Beruházási_ktg_input!J74)</f>
        <v>0</v>
      </c>
      <c r="L74" s="576">
        <f>IF(B74=Háttér_listák!$B$121,SUMIF(Beruházási_ktg_input!D74:$D$107,Beruházási_ktg_input!D74+1,Beruházási_ktg_input!L74:$L$107),Beruházási_ktg_input!$K74)</f>
        <v>0</v>
      </c>
      <c r="M74" s="570"/>
      <c r="N74" s="566">
        <v>0</v>
      </c>
      <c r="O74" s="559">
        <f>IF(B74=Háttér_listák!$B$121,SUMIF(Beruházási_ktg_input!$D$107:D139,Beruházási_ktg_input!D74+1,$O$107:O139),L74+N74)</f>
        <v>0</v>
      </c>
      <c r="P74" s="249">
        <v>0</v>
      </c>
      <c r="Q74" s="251"/>
      <c r="R74" s="248"/>
      <c r="S74" s="248"/>
      <c r="T74" s="67">
        <f>IF($B74=Háttér_listák!$B$121,SUMIF($D$107:D139,D74+1,$T$107:T139),IF(Q74=Háttér_listák!$B$125,Beruházási_ktg_input!L74,0))</f>
        <v>0</v>
      </c>
      <c r="U74" s="51">
        <f>IF($B74=Háttér_listák!$B$121,SUMIF($D$107:D139,D74+1,$U$107:U139),IF(AND(Q74=Háttér_listák!$B$125,Beruházási_ktg_input!S74=Háttér_listák!$B$130,Főoldal!$C$15="Igen"),Beruházási_ktg_input!N74,0))</f>
        <v>0</v>
      </c>
      <c r="V74" s="51">
        <f t="shared" si="7"/>
        <v>0</v>
      </c>
      <c r="W74" s="51">
        <f>IF($B74=Háttér_listák!$B$121,SUMIF($D$107:D139,D74+1,$W$107:W139),IF(AND(Q74=Háttér_listák!$B$125,Beruházási_ktg_input!S74=Háttér_listák!$B$130,Főoldal!$C$15="Nem"),Beruházási_ktg_input!N74,0))</f>
        <v>0</v>
      </c>
      <c r="X74" s="51">
        <f>IF($B74=Háttér_listák!$B$121,SUMIF($D$107:D139,D74+1,$X$107:X139),IF(AND(Q74=Háttér_listák!$B$125,Beruházási_ktg_input!S74=Háttér_listák!$B$129),Beruházási_ktg_input!N74,0))</f>
        <v>0</v>
      </c>
      <c r="Y74" s="51">
        <f>IF($B74=Háttér_listák!$B$121,SUMIF($D$107:D139,D74+1,$Y$107:Y139),IF(Q74=Háttér_listák!$B$126,Beruházási_ktg_input!L74,0))</f>
        <v>0</v>
      </c>
      <c r="Z74" s="51">
        <f>IF($B74=Háttér_listák!$B$121,SUMIF($D$107:D139,D74+1,$Z$107:Z139),IF(AND(Q74=Háttér_listák!$B$126,Beruházási_ktg_input!S74=Háttér_listák!$B$129),Beruházási_ktg_input!N74,0))</f>
        <v>0</v>
      </c>
      <c r="AA74" s="51">
        <f>IF($B74=Háttér_listák!$B$121,SUMIF($D$107:D139,D74+1,$AA$107:AA139),IF(AND(Q74=Háttér_listák!$B$126,Beruházási_ktg_input!S74=Háttér_listák!$B$130),Beruházási_ktg_input!N74,0))</f>
        <v>0</v>
      </c>
      <c r="AB74" s="51">
        <f t="shared" si="8"/>
        <v>0</v>
      </c>
      <c r="AC74" s="51">
        <f t="shared" si="9"/>
        <v>0</v>
      </c>
      <c r="AD74" s="51">
        <f t="shared" si="10"/>
        <v>0</v>
      </c>
      <c r="AE74" s="68">
        <f t="shared" si="11"/>
        <v>0</v>
      </c>
      <c r="AF74" s="258"/>
      <c r="AG74" s="259"/>
      <c r="AH74" s="259"/>
      <c r="AI74" s="259"/>
      <c r="AJ74" s="260"/>
      <c r="AK74" s="70" t="str">
        <f>IF(SUM(AF74:AJ74)=0,"",IF(SUM(AF74:AJ74)=1,Háttér_listák!$B$133,Háttér_listák!$B$134))</f>
        <v/>
      </c>
      <c r="AL74" s="67">
        <f>IF($AE74=0,0,IF($B74=Háttér_listák!$B$122,Beruházási_ktg_input!$V74*Beruházási_ktg_input!AF74,""))</f>
        <v>0</v>
      </c>
      <c r="AM74" s="51">
        <f>IF($AE74=0,0,IF($B74=Háttér_listák!$B$122,Beruházási_ktg_input!$V74*Beruházási_ktg_input!AG74,""))</f>
        <v>0</v>
      </c>
      <c r="AN74" s="51">
        <f>IF($AE74=0,0,IF($B74=Háttér_listák!$B$122,Beruházási_ktg_input!$V74*Beruházási_ktg_input!AH74,""))</f>
        <v>0</v>
      </c>
      <c r="AO74" s="51">
        <f>IF($AE74=0,0,IF($B74=Háttér_listák!$B$122,Beruházási_ktg_input!$V74*Beruházási_ktg_input!AI74,""))</f>
        <v>0</v>
      </c>
      <c r="AP74" s="68">
        <f>IF($AE74=0,0,IF($B74=Háttér_listák!$B$122,Beruházási_ktg_input!$V74*Beruházási_ktg_input!AJ74,""))</f>
        <v>0</v>
      </c>
      <c r="AQ74" s="67">
        <f>IF($AE74=0,0,IF($B74=Háttér_listák!$B$122,Beruházási_ktg_input!$AD74*Beruházási_ktg_input!AF74,""))</f>
        <v>0</v>
      </c>
      <c r="AR74" s="51">
        <f>IF($AE74=0,0,IF($B74=Háttér_listák!$B$122,Beruházási_ktg_input!$AD74*Beruházási_ktg_input!AG74,""))</f>
        <v>0</v>
      </c>
      <c r="AS74" s="51">
        <f>IF($AE74=0,0,IF($B74=Háttér_listák!$B$122,Beruházási_ktg_input!$AD74*Beruházási_ktg_input!AH74,""))</f>
        <v>0</v>
      </c>
      <c r="AT74" s="51">
        <f>IF($AE74=0,0,IF($B74=Háttér_listák!$B$122,Beruházási_ktg_input!$AD74*Beruházási_ktg_input!AI74,""))</f>
        <v>0</v>
      </c>
      <c r="AU74" s="71">
        <f>IF($AE74=0,0,IF($B74=Háttér_listák!$B$122,Beruházási_ktg_input!$AD74*Beruházási_ktg_input!AJ74,""))</f>
        <v>0</v>
      </c>
      <c r="AV74" s="67">
        <f>IF($AE74=0,0,IF($B74=Háttér_listák!$B$122,($T74+$Y74)*AF74,""))</f>
        <v>0</v>
      </c>
      <c r="AW74" s="51">
        <f>IF($AE74=0,0,IF($B74=Háttér_listák!$B$122,($T74+$Y74)*AG74,""))</f>
        <v>0</v>
      </c>
      <c r="AX74" s="51">
        <f>IF($AE74=0,0,IF($B74=Háttér_listák!$B$122,($T74+$Y74)*AH74,""))</f>
        <v>0</v>
      </c>
      <c r="AY74" s="51">
        <f>IF($AE74=0,0,IF($B74=Háttér_listák!$B$122,($T74+$Y74)*AI74,""))</f>
        <v>0</v>
      </c>
      <c r="AZ74" s="68">
        <f>IF($AE74=0,0,IF($B74=Háttér_listák!$B$122,($T74+$Y74)*AJ74,""))</f>
        <v>0</v>
      </c>
    </row>
    <row r="75" spans="2:52">
      <c r="B75" s="251"/>
      <c r="C75" s="246">
        <f>IF(B75=Háttér_listák!$B$121,1,0)</f>
        <v>0</v>
      </c>
      <c r="D75" s="246">
        <f t="shared" si="6"/>
        <v>12</v>
      </c>
      <c r="E75" s="247"/>
      <c r="F75" s="248"/>
      <c r="G75" s="247"/>
      <c r="H75" s="248"/>
      <c r="I75" s="249"/>
      <c r="J75" s="561"/>
      <c r="K75" s="574">
        <f>IF(B75=Háttér_listák!$B$121,"",Beruházási_ktg_input!I75*Beruházási_ktg_input!J75)</f>
        <v>0</v>
      </c>
      <c r="L75" s="576">
        <f>IF(B75=Háttér_listák!$B$121,SUMIF(Beruházási_ktg_input!D75:$D$107,Beruházási_ktg_input!D75+1,Beruházási_ktg_input!L75:$L$107),Beruházási_ktg_input!$K75)</f>
        <v>0</v>
      </c>
      <c r="M75" s="570"/>
      <c r="N75" s="566">
        <v>0</v>
      </c>
      <c r="O75" s="559">
        <f>IF(B75=Háttér_listák!$B$121,SUMIF(Beruházási_ktg_input!$D$107:D140,Beruházási_ktg_input!D75+1,$O$107:O140),L75+N75)</f>
        <v>0</v>
      </c>
      <c r="P75" s="249">
        <v>0</v>
      </c>
      <c r="Q75" s="251"/>
      <c r="R75" s="248"/>
      <c r="S75" s="248"/>
      <c r="T75" s="67">
        <f>IF($B75=Háttér_listák!$B$121,SUMIF($D$107:D140,D75+1,$T$107:T140),IF(Q75=Háttér_listák!$B$125,Beruházási_ktg_input!L75,0))</f>
        <v>0</v>
      </c>
      <c r="U75" s="51">
        <f>IF($B75=Háttér_listák!$B$121,SUMIF($D$107:D140,D75+1,$U$107:U140),IF(AND(Q75=Háttér_listák!$B$125,Beruházási_ktg_input!S75=Háttér_listák!$B$130,Főoldal!$C$15="Igen"),Beruházási_ktg_input!N75,0))</f>
        <v>0</v>
      </c>
      <c r="V75" s="51">
        <f t="shared" si="7"/>
        <v>0</v>
      </c>
      <c r="W75" s="51">
        <f>IF($B75=Háttér_listák!$B$121,SUMIF($D$107:D140,D75+1,$W$107:W140),IF(AND(Q75=Háttér_listák!$B$125,Beruházási_ktg_input!S75=Háttér_listák!$B$130,Főoldal!$C$15="Nem"),Beruházási_ktg_input!N75,0))</f>
        <v>0</v>
      </c>
      <c r="X75" s="51">
        <f>IF($B75=Háttér_listák!$B$121,SUMIF($D$107:D140,D75+1,$X$107:X140),IF(AND(Q75=Háttér_listák!$B$125,Beruházási_ktg_input!S75=Háttér_listák!$B$129),Beruházási_ktg_input!N75,0))</f>
        <v>0</v>
      </c>
      <c r="Y75" s="51">
        <f>IF($B75=Háttér_listák!$B$121,SUMIF($D$107:D140,D75+1,$Y$107:Y140),IF(Q75=Háttér_listák!$B$126,Beruházási_ktg_input!L75,0))</f>
        <v>0</v>
      </c>
      <c r="Z75" s="51">
        <f>IF($B75=Háttér_listák!$B$121,SUMIF($D$107:D140,D75+1,$Z$107:Z140),IF(AND(Q75=Háttér_listák!$B$126,Beruházási_ktg_input!S75=Háttér_listák!$B$129),Beruházási_ktg_input!N75,0))</f>
        <v>0</v>
      </c>
      <c r="AA75" s="51">
        <f>IF($B75=Háttér_listák!$B$121,SUMIF($D$107:D140,D75+1,$AA$107:AA140),IF(AND(Q75=Háttér_listák!$B$126,Beruházási_ktg_input!S75=Háttér_listák!$B$130),Beruházási_ktg_input!N75,0))</f>
        <v>0</v>
      </c>
      <c r="AB75" s="51">
        <f t="shared" si="8"/>
        <v>0</v>
      </c>
      <c r="AC75" s="51">
        <f t="shared" si="9"/>
        <v>0</v>
      </c>
      <c r="AD75" s="51">
        <f t="shared" si="10"/>
        <v>0</v>
      </c>
      <c r="AE75" s="68">
        <f t="shared" si="11"/>
        <v>0</v>
      </c>
      <c r="AF75" s="258"/>
      <c r="AG75" s="259"/>
      <c r="AH75" s="259"/>
      <c r="AI75" s="259"/>
      <c r="AJ75" s="260"/>
      <c r="AK75" s="70" t="str">
        <f>IF(SUM(AF75:AJ75)=0,"",IF(SUM(AF75:AJ75)=1,Háttér_listák!$B$133,Háttér_listák!$B$134))</f>
        <v/>
      </c>
      <c r="AL75" s="67">
        <f>IF($AE75=0,0,IF($B75=Háttér_listák!$B$122,Beruházási_ktg_input!$V75*Beruházási_ktg_input!AF75,""))</f>
        <v>0</v>
      </c>
      <c r="AM75" s="51">
        <f>IF($AE75=0,0,IF($B75=Háttér_listák!$B$122,Beruházási_ktg_input!$V75*Beruházási_ktg_input!AG75,""))</f>
        <v>0</v>
      </c>
      <c r="AN75" s="51">
        <f>IF($AE75=0,0,IF($B75=Háttér_listák!$B$122,Beruházási_ktg_input!$V75*Beruházási_ktg_input!AH75,""))</f>
        <v>0</v>
      </c>
      <c r="AO75" s="51">
        <f>IF($AE75=0,0,IF($B75=Háttér_listák!$B$122,Beruházási_ktg_input!$V75*Beruházási_ktg_input!AI75,""))</f>
        <v>0</v>
      </c>
      <c r="AP75" s="68">
        <f>IF($AE75=0,0,IF($B75=Háttér_listák!$B$122,Beruházási_ktg_input!$V75*Beruházási_ktg_input!AJ75,""))</f>
        <v>0</v>
      </c>
      <c r="AQ75" s="67">
        <f>IF($AE75=0,0,IF($B75=Háttér_listák!$B$122,Beruházási_ktg_input!$AD75*Beruházási_ktg_input!AF75,""))</f>
        <v>0</v>
      </c>
      <c r="AR75" s="51">
        <f>IF($AE75=0,0,IF($B75=Háttér_listák!$B$122,Beruházási_ktg_input!$AD75*Beruházási_ktg_input!AG75,""))</f>
        <v>0</v>
      </c>
      <c r="AS75" s="51">
        <f>IF($AE75=0,0,IF($B75=Háttér_listák!$B$122,Beruházási_ktg_input!$AD75*Beruházási_ktg_input!AH75,""))</f>
        <v>0</v>
      </c>
      <c r="AT75" s="51">
        <f>IF($AE75=0,0,IF($B75=Háttér_listák!$B$122,Beruházási_ktg_input!$AD75*Beruházási_ktg_input!AI75,""))</f>
        <v>0</v>
      </c>
      <c r="AU75" s="71">
        <f>IF($AE75=0,0,IF($B75=Háttér_listák!$B$122,Beruházási_ktg_input!$AD75*Beruházási_ktg_input!AJ75,""))</f>
        <v>0</v>
      </c>
      <c r="AV75" s="67">
        <f>IF($AE75=0,0,IF($B75=Háttér_listák!$B$122,($T75+$Y75)*AF75,""))</f>
        <v>0</v>
      </c>
      <c r="AW75" s="51">
        <f>IF($AE75=0,0,IF($B75=Háttér_listák!$B$122,($T75+$Y75)*AG75,""))</f>
        <v>0</v>
      </c>
      <c r="AX75" s="51">
        <f>IF($AE75=0,0,IF($B75=Háttér_listák!$B$122,($T75+$Y75)*AH75,""))</f>
        <v>0</v>
      </c>
      <c r="AY75" s="51">
        <f>IF($AE75=0,0,IF($B75=Háttér_listák!$B$122,($T75+$Y75)*AI75,""))</f>
        <v>0</v>
      </c>
      <c r="AZ75" s="68">
        <f>IF($AE75=0,0,IF($B75=Háttér_listák!$B$122,($T75+$Y75)*AJ75,""))</f>
        <v>0</v>
      </c>
    </row>
    <row r="76" spans="2:52">
      <c r="B76" s="251"/>
      <c r="C76" s="246">
        <f>IF(B76=Háttér_listák!$B$121,1,0)</f>
        <v>0</v>
      </c>
      <c r="D76" s="246">
        <f t="shared" si="6"/>
        <v>12</v>
      </c>
      <c r="E76" s="247"/>
      <c r="F76" s="248"/>
      <c r="G76" s="247"/>
      <c r="H76" s="248"/>
      <c r="I76" s="249"/>
      <c r="J76" s="561"/>
      <c r="K76" s="574">
        <f>IF(B76=Háttér_listák!$B$121,"",Beruházási_ktg_input!I76*Beruházási_ktg_input!J76)</f>
        <v>0</v>
      </c>
      <c r="L76" s="576">
        <f>IF(B76=Háttér_listák!$B$121,SUMIF(Beruházási_ktg_input!D76:$D$107,Beruházási_ktg_input!D76+1,Beruházási_ktg_input!L76:$L$107),Beruházási_ktg_input!$K76)</f>
        <v>0</v>
      </c>
      <c r="M76" s="570"/>
      <c r="N76" s="566">
        <v>0</v>
      </c>
      <c r="O76" s="559">
        <f>IF(B76=Háttér_listák!$B$121,SUMIF(Beruházási_ktg_input!$D$107:D141,Beruházási_ktg_input!D76+1,$O$107:O141),L76+N76)</f>
        <v>0</v>
      </c>
      <c r="P76" s="249">
        <v>0</v>
      </c>
      <c r="Q76" s="251"/>
      <c r="R76" s="248"/>
      <c r="S76" s="248"/>
      <c r="T76" s="67">
        <f>IF($B76=Háttér_listák!$B$121,SUMIF($D$107:D141,D76+1,$T$107:T141),IF(Q76=Háttér_listák!$B$125,Beruházási_ktg_input!L76,0))</f>
        <v>0</v>
      </c>
      <c r="U76" s="51">
        <f>IF($B76=Háttér_listák!$B$121,SUMIF($D$107:D141,D76+1,$U$107:U141),IF(AND(Q76=Háttér_listák!$B$125,Beruházási_ktg_input!S76=Háttér_listák!$B$130,Főoldal!$C$15="Igen"),Beruházási_ktg_input!N76,0))</f>
        <v>0</v>
      </c>
      <c r="V76" s="51">
        <f t="shared" si="7"/>
        <v>0</v>
      </c>
      <c r="W76" s="51">
        <f>IF($B76=Háttér_listák!$B$121,SUMIF($D$107:D141,D76+1,$W$107:W141),IF(AND(Q76=Háttér_listák!$B$125,Beruházási_ktg_input!S76=Háttér_listák!$B$130,Főoldal!$C$15="Nem"),Beruházási_ktg_input!N76,0))</f>
        <v>0</v>
      </c>
      <c r="X76" s="51">
        <f>IF($B76=Háttér_listák!$B$121,SUMIF($D$107:D141,D76+1,$X$107:X141),IF(AND(Q76=Háttér_listák!$B$125,Beruházási_ktg_input!S76=Háttér_listák!$B$129),Beruházási_ktg_input!N76,0))</f>
        <v>0</v>
      </c>
      <c r="Y76" s="51">
        <f>IF($B76=Háttér_listák!$B$121,SUMIF($D$107:D141,D76+1,$Y$107:Y141),IF(Q76=Háttér_listák!$B$126,Beruházási_ktg_input!L76,0))</f>
        <v>0</v>
      </c>
      <c r="Z76" s="51">
        <f>IF($B76=Háttér_listák!$B$121,SUMIF($D$107:D141,D76+1,$Z$107:Z141),IF(AND(Q76=Háttér_listák!$B$126,Beruházási_ktg_input!S76=Háttér_listák!$B$129),Beruházási_ktg_input!N76,0))</f>
        <v>0</v>
      </c>
      <c r="AA76" s="51">
        <f>IF($B76=Háttér_listák!$B$121,SUMIF($D$107:D141,D76+1,$AA$107:AA141),IF(AND(Q76=Háttér_listák!$B$126,Beruházási_ktg_input!S76=Háttér_listák!$B$130),Beruházási_ktg_input!N76,0))</f>
        <v>0</v>
      </c>
      <c r="AB76" s="51">
        <f t="shared" si="8"/>
        <v>0</v>
      </c>
      <c r="AC76" s="51">
        <f t="shared" si="9"/>
        <v>0</v>
      </c>
      <c r="AD76" s="51">
        <f t="shared" si="10"/>
        <v>0</v>
      </c>
      <c r="AE76" s="68">
        <f t="shared" si="11"/>
        <v>0</v>
      </c>
      <c r="AF76" s="258"/>
      <c r="AG76" s="259"/>
      <c r="AH76" s="259"/>
      <c r="AI76" s="259"/>
      <c r="AJ76" s="260"/>
      <c r="AK76" s="70" t="str">
        <f>IF(SUM(AF76:AJ76)=0,"",IF(SUM(AF76:AJ76)=1,Háttér_listák!$B$133,Háttér_listák!$B$134))</f>
        <v/>
      </c>
      <c r="AL76" s="67">
        <f>IF($AE76=0,0,IF($B76=Háttér_listák!$B$122,Beruházási_ktg_input!$V76*Beruházási_ktg_input!AF76,""))</f>
        <v>0</v>
      </c>
      <c r="AM76" s="51">
        <f>IF($AE76=0,0,IF($B76=Háttér_listák!$B$122,Beruházási_ktg_input!$V76*Beruházási_ktg_input!AG76,""))</f>
        <v>0</v>
      </c>
      <c r="AN76" s="51">
        <f>IF($AE76=0,0,IF($B76=Háttér_listák!$B$122,Beruházási_ktg_input!$V76*Beruházási_ktg_input!AH76,""))</f>
        <v>0</v>
      </c>
      <c r="AO76" s="51">
        <f>IF($AE76=0,0,IF($B76=Háttér_listák!$B$122,Beruházási_ktg_input!$V76*Beruházási_ktg_input!AI76,""))</f>
        <v>0</v>
      </c>
      <c r="AP76" s="68">
        <f>IF($AE76=0,0,IF($B76=Háttér_listák!$B$122,Beruházási_ktg_input!$V76*Beruházási_ktg_input!AJ76,""))</f>
        <v>0</v>
      </c>
      <c r="AQ76" s="67">
        <f>IF($AE76=0,0,IF($B76=Háttér_listák!$B$122,Beruházási_ktg_input!$AD76*Beruházási_ktg_input!AF76,""))</f>
        <v>0</v>
      </c>
      <c r="AR76" s="51">
        <f>IF($AE76=0,0,IF($B76=Háttér_listák!$B$122,Beruházási_ktg_input!$AD76*Beruházási_ktg_input!AG76,""))</f>
        <v>0</v>
      </c>
      <c r="AS76" s="51">
        <f>IF($AE76=0,0,IF($B76=Háttér_listák!$B$122,Beruházási_ktg_input!$AD76*Beruházási_ktg_input!AH76,""))</f>
        <v>0</v>
      </c>
      <c r="AT76" s="51">
        <f>IF($AE76=0,0,IF($B76=Háttér_listák!$B$122,Beruházási_ktg_input!$AD76*Beruházási_ktg_input!AI76,""))</f>
        <v>0</v>
      </c>
      <c r="AU76" s="71">
        <f>IF($AE76=0,0,IF($B76=Háttér_listák!$B$122,Beruházási_ktg_input!$AD76*Beruházási_ktg_input!AJ76,""))</f>
        <v>0</v>
      </c>
      <c r="AV76" s="67">
        <f>IF($AE76=0,0,IF($B76=Háttér_listák!$B$122,($T76+$Y76)*AF76,""))</f>
        <v>0</v>
      </c>
      <c r="AW76" s="51">
        <f>IF($AE76=0,0,IF($B76=Háttér_listák!$B$122,($T76+$Y76)*AG76,""))</f>
        <v>0</v>
      </c>
      <c r="AX76" s="51">
        <f>IF($AE76=0,0,IF($B76=Háttér_listák!$B$122,($T76+$Y76)*AH76,""))</f>
        <v>0</v>
      </c>
      <c r="AY76" s="51">
        <f>IF($AE76=0,0,IF($B76=Háttér_listák!$B$122,($T76+$Y76)*AI76,""))</f>
        <v>0</v>
      </c>
      <c r="AZ76" s="68">
        <f>IF($AE76=0,0,IF($B76=Háttér_listák!$B$122,($T76+$Y76)*AJ76,""))</f>
        <v>0</v>
      </c>
    </row>
    <row r="77" spans="2:52">
      <c r="B77" s="251"/>
      <c r="C77" s="246">
        <f>IF(B77=Háttér_listák!$B$121,1,0)</f>
        <v>0</v>
      </c>
      <c r="D77" s="246">
        <f t="shared" si="6"/>
        <v>12</v>
      </c>
      <c r="E77" s="247"/>
      <c r="F77" s="248"/>
      <c r="G77" s="247"/>
      <c r="H77" s="248"/>
      <c r="I77" s="249"/>
      <c r="J77" s="561"/>
      <c r="K77" s="574">
        <f>IF(B77=Háttér_listák!$B$121,"",Beruházási_ktg_input!I77*Beruházási_ktg_input!J77)</f>
        <v>0</v>
      </c>
      <c r="L77" s="576">
        <f>IF(B77=Háttér_listák!$B$121,SUMIF(Beruházási_ktg_input!D77:$D$107,Beruházási_ktg_input!D77+1,Beruházási_ktg_input!L77:$L$107),Beruházási_ktg_input!$K77)</f>
        <v>0</v>
      </c>
      <c r="M77" s="570"/>
      <c r="N77" s="566">
        <v>0</v>
      </c>
      <c r="O77" s="559">
        <f>IF(B77=Háttér_listák!$B$121,SUMIF(Beruházási_ktg_input!$D$107:D142,Beruházási_ktg_input!D77+1,$O$107:O142),L77+N77)</f>
        <v>0</v>
      </c>
      <c r="P77" s="249">
        <v>0</v>
      </c>
      <c r="Q77" s="251"/>
      <c r="R77" s="248"/>
      <c r="S77" s="248"/>
      <c r="T77" s="67">
        <f>IF($B77=Háttér_listák!$B$121,SUMIF($D$107:D142,D77+1,$T$107:T142),IF(Q77=Háttér_listák!$B$125,Beruházási_ktg_input!L77,0))</f>
        <v>0</v>
      </c>
      <c r="U77" s="51">
        <f>IF($B77=Háttér_listák!$B$121,SUMIF($D$107:D142,D77+1,$U$107:U142),IF(AND(Q77=Háttér_listák!$B$125,Beruházási_ktg_input!S77=Háttér_listák!$B$130,Főoldal!$C$15="Igen"),Beruházási_ktg_input!N77,0))</f>
        <v>0</v>
      </c>
      <c r="V77" s="51">
        <f t="shared" si="7"/>
        <v>0</v>
      </c>
      <c r="W77" s="51">
        <f>IF($B77=Háttér_listák!$B$121,SUMIF($D$107:D142,D77+1,$W$107:W142),IF(AND(Q77=Háttér_listák!$B$125,Beruházási_ktg_input!S77=Háttér_listák!$B$130,Főoldal!$C$15="Nem"),Beruházási_ktg_input!N77,0))</f>
        <v>0</v>
      </c>
      <c r="X77" s="51">
        <f>IF($B77=Háttér_listák!$B$121,SUMIF($D$107:D142,D77+1,$X$107:X142),IF(AND(Q77=Háttér_listák!$B$125,Beruházási_ktg_input!S77=Háttér_listák!$B$129),Beruházási_ktg_input!N77,0))</f>
        <v>0</v>
      </c>
      <c r="Y77" s="51">
        <f>IF($B77=Háttér_listák!$B$121,SUMIF($D$107:D142,D77+1,$Y$107:Y142),IF(Q77=Háttér_listák!$B$126,Beruházási_ktg_input!L77,0))</f>
        <v>0</v>
      </c>
      <c r="Z77" s="51">
        <f>IF($B77=Háttér_listák!$B$121,SUMIF($D$107:D142,D77+1,$Z$107:Z142),IF(AND(Q77=Háttér_listák!$B$126,Beruházási_ktg_input!S77=Háttér_listák!$B$129),Beruházási_ktg_input!N77,0))</f>
        <v>0</v>
      </c>
      <c r="AA77" s="51">
        <f>IF($B77=Háttér_listák!$B$121,SUMIF($D$107:D142,D77+1,$AA$107:AA142),IF(AND(Q77=Háttér_listák!$B$126,Beruházási_ktg_input!S77=Háttér_listák!$B$130),Beruházási_ktg_input!N77,0))</f>
        <v>0</v>
      </c>
      <c r="AB77" s="51">
        <f t="shared" si="8"/>
        <v>0</v>
      </c>
      <c r="AC77" s="51">
        <f t="shared" si="9"/>
        <v>0</v>
      </c>
      <c r="AD77" s="51">
        <f t="shared" si="10"/>
        <v>0</v>
      </c>
      <c r="AE77" s="68">
        <f t="shared" si="11"/>
        <v>0</v>
      </c>
      <c r="AF77" s="258"/>
      <c r="AG77" s="259"/>
      <c r="AH77" s="259"/>
      <c r="AI77" s="259"/>
      <c r="AJ77" s="260"/>
      <c r="AK77" s="70" t="str">
        <f>IF(SUM(AF77:AJ77)=0,"",IF(SUM(AF77:AJ77)=1,Háttér_listák!$B$133,Háttér_listák!$B$134))</f>
        <v/>
      </c>
      <c r="AL77" s="67">
        <f>IF($AE77=0,0,IF($B77=Háttér_listák!$B$122,Beruházási_ktg_input!$V77*Beruházási_ktg_input!AF77,""))</f>
        <v>0</v>
      </c>
      <c r="AM77" s="51">
        <f>IF($AE77=0,0,IF($B77=Háttér_listák!$B$122,Beruházási_ktg_input!$V77*Beruházási_ktg_input!AG77,""))</f>
        <v>0</v>
      </c>
      <c r="AN77" s="51">
        <f>IF($AE77=0,0,IF($B77=Háttér_listák!$B$122,Beruházási_ktg_input!$V77*Beruházási_ktg_input!AH77,""))</f>
        <v>0</v>
      </c>
      <c r="AO77" s="51">
        <f>IF($AE77=0,0,IF($B77=Háttér_listák!$B$122,Beruházási_ktg_input!$V77*Beruházási_ktg_input!AI77,""))</f>
        <v>0</v>
      </c>
      <c r="AP77" s="68">
        <f>IF($AE77=0,0,IF($B77=Háttér_listák!$B$122,Beruházási_ktg_input!$V77*Beruházási_ktg_input!AJ77,""))</f>
        <v>0</v>
      </c>
      <c r="AQ77" s="67">
        <f>IF($AE77=0,0,IF($B77=Háttér_listák!$B$122,Beruházási_ktg_input!$AD77*Beruházási_ktg_input!AF77,""))</f>
        <v>0</v>
      </c>
      <c r="AR77" s="51">
        <f>IF($AE77=0,0,IF($B77=Háttér_listák!$B$122,Beruházási_ktg_input!$AD77*Beruházási_ktg_input!AG77,""))</f>
        <v>0</v>
      </c>
      <c r="AS77" s="51">
        <f>IF($AE77=0,0,IF($B77=Háttér_listák!$B$122,Beruházási_ktg_input!$AD77*Beruházási_ktg_input!AH77,""))</f>
        <v>0</v>
      </c>
      <c r="AT77" s="51">
        <f>IF($AE77=0,0,IF($B77=Háttér_listák!$B$122,Beruházási_ktg_input!$AD77*Beruházási_ktg_input!AI77,""))</f>
        <v>0</v>
      </c>
      <c r="AU77" s="71">
        <f>IF($AE77=0,0,IF($B77=Háttér_listák!$B$122,Beruházási_ktg_input!$AD77*Beruházási_ktg_input!AJ77,""))</f>
        <v>0</v>
      </c>
      <c r="AV77" s="67">
        <f>IF($AE77=0,0,IF($B77=Háttér_listák!$B$122,($T77+$Y77)*AF77,""))</f>
        <v>0</v>
      </c>
      <c r="AW77" s="51">
        <f>IF($AE77=0,0,IF($B77=Háttér_listák!$B$122,($T77+$Y77)*AG77,""))</f>
        <v>0</v>
      </c>
      <c r="AX77" s="51">
        <f>IF($AE77=0,0,IF($B77=Háttér_listák!$B$122,($T77+$Y77)*AH77,""))</f>
        <v>0</v>
      </c>
      <c r="AY77" s="51">
        <f>IF($AE77=0,0,IF($B77=Háttér_listák!$B$122,($T77+$Y77)*AI77,""))</f>
        <v>0</v>
      </c>
      <c r="AZ77" s="68">
        <f>IF($AE77=0,0,IF($B77=Háttér_listák!$B$122,($T77+$Y77)*AJ77,""))</f>
        <v>0</v>
      </c>
    </row>
    <row r="78" spans="2:52">
      <c r="B78" s="251"/>
      <c r="C78" s="246">
        <f>IF(B78=Háttér_listák!$B$121,1,0)</f>
        <v>0</v>
      </c>
      <c r="D78" s="246">
        <f t="shared" si="6"/>
        <v>12</v>
      </c>
      <c r="E78" s="247"/>
      <c r="F78" s="248"/>
      <c r="G78" s="247"/>
      <c r="H78" s="248"/>
      <c r="I78" s="249"/>
      <c r="J78" s="561"/>
      <c r="K78" s="574">
        <f>IF(B78=Háttér_listák!$B$121,"",Beruházási_ktg_input!I78*Beruházási_ktg_input!J78)</f>
        <v>0</v>
      </c>
      <c r="L78" s="576">
        <f>IF(B78=Háttér_listák!$B$121,SUMIF(Beruházási_ktg_input!D78:$D$107,Beruházási_ktg_input!D78+1,Beruházási_ktg_input!L78:$L$107),Beruházási_ktg_input!$K78)</f>
        <v>0</v>
      </c>
      <c r="M78" s="570"/>
      <c r="N78" s="566">
        <v>0</v>
      </c>
      <c r="O78" s="559">
        <f>IF(B78=Háttér_listák!$B$121,SUMIF(Beruházási_ktg_input!$D$107:D143,Beruházási_ktg_input!D78+1,$O$107:O143),L78+N78)</f>
        <v>0</v>
      </c>
      <c r="P78" s="249">
        <v>0</v>
      </c>
      <c r="Q78" s="251"/>
      <c r="R78" s="248"/>
      <c r="S78" s="248"/>
      <c r="T78" s="67">
        <f>IF($B78=Háttér_listák!$B$121,SUMIF($D$107:D143,D78+1,$T$107:T143),IF(Q78=Háttér_listák!$B$125,Beruházási_ktg_input!L78,0))</f>
        <v>0</v>
      </c>
      <c r="U78" s="51">
        <f>IF($B78=Háttér_listák!$B$121,SUMIF($D$107:D143,D78+1,$U$107:U143),IF(AND(Q78=Háttér_listák!$B$125,Beruházási_ktg_input!S78=Háttér_listák!$B$130,Főoldal!$C$15="Igen"),Beruházási_ktg_input!N78,0))</f>
        <v>0</v>
      </c>
      <c r="V78" s="51">
        <f t="shared" si="7"/>
        <v>0</v>
      </c>
      <c r="W78" s="51">
        <f>IF($B78=Háttér_listák!$B$121,SUMIF($D$107:D143,D78+1,$W$107:W143),IF(AND(Q78=Háttér_listák!$B$125,Beruházási_ktg_input!S78=Háttér_listák!$B$130,Főoldal!$C$15="Nem"),Beruházási_ktg_input!N78,0))</f>
        <v>0</v>
      </c>
      <c r="X78" s="51">
        <f>IF($B78=Háttér_listák!$B$121,SUMIF($D$107:D143,D78+1,$X$107:X143),IF(AND(Q78=Háttér_listák!$B$125,Beruházási_ktg_input!S78=Háttér_listák!$B$129),Beruházási_ktg_input!N78,0))</f>
        <v>0</v>
      </c>
      <c r="Y78" s="51">
        <f>IF($B78=Háttér_listák!$B$121,SUMIF($D$107:D143,D78+1,$Y$107:Y143),IF(Q78=Háttér_listák!$B$126,Beruházási_ktg_input!L78,0))</f>
        <v>0</v>
      </c>
      <c r="Z78" s="51">
        <f>IF($B78=Háttér_listák!$B$121,SUMIF($D$107:D143,D78+1,$Z$107:Z143),IF(AND(Q78=Háttér_listák!$B$126,Beruházási_ktg_input!S78=Háttér_listák!$B$129),Beruházási_ktg_input!N78,0))</f>
        <v>0</v>
      </c>
      <c r="AA78" s="51">
        <f>IF($B78=Háttér_listák!$B$121,SUMIF($D$107:D143,D78+1,$AA$107:AA143),IF(AND(Q78=Háttér_listák!$B$126,Beruházási_ktg_input!S78=Háttér_listák!$B$130),Beruházási_ktg_input!N78,0))</f>
        <v>0</v>
      </c>
      <c r="AB78" s="51">
        <f t="shared" si="8"/>
        <v>0</v>
      </c>
      <c r="AC78" s="51">
        <f t="shared" si="9"/>
        <v>0</v>
      </c>
      <c r="AD78" s="51">
        <f t="shared" si="10"/>
        <v>0</v>
      </c>
      <c r="AE78" s="68">
        <f t="shared" si="11"/>
        <v>0</v>
      </c>
      <c r="AF78" s="258"/>
      <c r="AG78" s="259"/>
      <c r="AH78" s="259"/>
      <c r="AI78" s="259"/>
      <c r="AJ78" s="260"/>
      <c r="AK78" s="70" t="str">
        <f>IF(SUM(AF78:AJ78)=0,"",IF(SUM(AF78:AJ78)=1,Háttér_listák!$B$133,Háttér_listák!$B$134))</f>
        <v/>
      </c>
      <c r="AL78" s="67">
        <f>IF($AE78=0,0,IF($B78=Háttér_listák!$B$122,Beruházási_ktg_input!$V78*Beruházási_ktg_input!AF78,""))</f>
        <v>0</v>
      </c>
      <c r="AM78" s="51">
        <f>IF($AE78=0,0,IF($B78=Háttér_listák!$B$122,Beruházási_ktg_input!$V78*Beruházási_ktg_input!AG78,""))</f>
        <v>0</v>
      </c>
      <c r="AN78" s="51">
        <f>IF($AE78=0,0,IF($B78=Háttér_listák!$B$122,Beruházási_ktg_input!$V78*Beruházási_ktg_input!AH78,""))</f>
        <v>0</v>
      </c>
      <c r="AO78" s="51">
        <f>IF($AE78=0,0,IF($B78=Háttér_listák!$B$122,Beruházási_ktg_input!$V78*Beruházási_ktg_input!AI78,""))</f>
        <v>0</v>
      </c>
      <c r="AP78" s="68">
        <f>IF($AE78=0,0,IF($B78=Háttér_listák!$B$122,Beruházási_ktg_input!$V78*Beruházási_ktg_input!AJ78,""))</f>
        <v>0</v>
      </c>
      <c r="AQ78" s="67">
        <f>IF($AE78=0,0,IF($B78=Háttér_listák!$B$122,Beruházási_ktg_input!$AD78*Beruházási_ktg_input!AF78,""))</f>
        <v>0</v>
      </c>
      <c r="AR78" s="51">
        <f>IF($AE78=0,0,IF($B78=Háttér_listák!$B$122,Beruházási_ktg_input!$AD78*Beruházási_ktg_input!AG78,""))</f>
        <v>0</v>
      </c>
      <c r="AS78" s="51">
        <f>IF($AE78=0,0,IF($B78=Háttér_listák!$B$122,Beruházási_ktg_input!$AD78*Beruházási_ktg_input!AH78,""))</f>
        <v>0</v>
      </c>
      <c r="AT78" s="51">
        <f>IF($AE78=0,0,IF($B78=Háttér_listák!$B$122,Beruházási_ktg_input!$AD78*Beruházási_ktg_input!AI78,""))</f>
        <v>0</v>
      </c>
      <c r="AU78" s="71">
        <f>IF($AE78=0,0,IF($B78=Háttér_listák!$B$122,Beruházási_ktg_input!$AD78*Beruházási_ktg_input!AJ78,""))</f>
        <v>0</v>
      </c>
      <c r="AV78" s="67">
        <f>IF($AE78=0,0,IF($B78=Háttér_listák!$B$122,($T78+$Y78)*AF78,""))</f>
        <v>0</v>
      </c>
      <c r="AW78" s="51">
        <f>IF($AE78=0,0,IF($B78=Háttér_listák!$B$122,($T78+$Y78)*AG78,""))</f>
        <v>0</v>
      </c>
      <c r="AX78" s="51">
        <f>IF($AE78=0,0,IF($B78=Háttér_listák!$B$122,($T78+$Y78)*AH78,""))</f>
        <v>0</v>
      </c>
      <c r="AY78" s="51">
        <f>IF($AE78=0,0,IF($B78=Háttér_listák!$B$122,($T78+$Y78)*AI78,""))</f>
        <v>0</v>
      </c>
      <c r="AZ78" s="68">
        <f>IF($AE78=0,0,IF($B78=Háttér_listák!$B$122,($T78+$Y78)*AJ78,""))</f>
        <v>0</v>
      </c>
    </row>
    <row r="79" spans="2:52">
      <c r="B79" s="251"/>
      <c r="C79" s="246">
        <f>IF(B79=Háttér_listák!$B$121,1,0)</f>
        <v>0</v>
      </c>
      <c r="D79" s="246">
        <f t="shared" si="6"/>
        <v>12</v>
      </c>
      <c r="E79" s="247"/>
      <c r="F79" s="248"/>
      <c r="G79" s="247"/>
      <c r="H79" s="248"/>
      <c r="I79" s="249"/>
      <c r="J79" s="561"/>
      <c r="K79" s="574">
        <f>IF(B79=Háttér_listák!$B$121,"",Beruházási_ktg_input!I79*Beruházási_ktg_input!J79)</f>
        <v>0</v>
      </c>
      <c r="L79" s="576">
        <f>IF(B79=Háttér_listák!$B$121,SUMIF(Beruházási_ktg_input!D79:$D$107,Beruházási_ktg_input!D79+1,Beruházási_ktg_input!L79:$L$107),Beruházási_ktg_input!$K79)</f>
        <v>0</v>
      </c>
      <c r="M79" s="570"/>
      <c r="N79" s="566">
        <v>0</v>
      </c>
      <c r="O79" s="559">
        <f>IF(B79=Háttér_listák!$B$121,SUMIF(Beruházási_ktg_input!$D$107:D144,Beruházási_ktg_input!D79+1,$O$107:O144),L79+N79)</f>
        <v>0</v>
      </c>
      <c r="P79" s="249">
        <v>0</v>
      </c>
      <c r="Q79" s="251"/>
      <c r="R79" s="248"/>
      <c r="S79" s="248"/>
      <c r="T79" s="67">
        <f>IF($B79=Háttér_listák!$B$121,SUMIF($D$107:D144,D79+1,$T$107:T144),IF(Q79=Háttér_listák!$B$125,Beruházási_ktg_input!L79,0))</f>
        <v>0</v>
      </c>
      <c r="U79" s="51">
        <f>IF($B79=Háttér_listák!$B$121,SUMIF($D$107:D144,D79+1,$U$107:U144),IF(AND(Q79=Háttér_listák!$B$125,Beruházási_ktg_input!S79=Háttér_listák!$B$130,Főoldal!$C$15="Igen"),Beruházási_ktg_input!N79,0))</f>
        <v>0</v>
      </c>
      <c r="V79" s="51">
        <f t="shared" si="7"/>
        <v>0</v>
      </c>
      <c r="W79" s="51">
        <f>IF($B79=Háttér_listák!$B$121,SUMIF($D$107:D144,D79+1,$W$107:W144),IF(AND(Q79=Háttér_listák!$B$125,Beruházási_ktg_input!S79=Háttér_listák!$B$130,Főoldal!$C$15="Nem"),Beruházási_ktg_input!N79,0))</f>
        <v>0</v>
      </c>
      <c r="X79" s="51">
        <f>IF($B79=Háttér_listák!$B$121,SUMIF($D$107:D144,D79+1,$X$107:X144),IF(AND(Q79=Háttér_listák!$B$125,Beruházási_ktg_input!S79=Háttér_listák!$B$129),Beruházási_ktg_input!N79,0))</f>
        <v>0</v>
      </c>
      <c r="Y79" s="51">
        <f>IF($B79=Háttér_listák!$B$121,SUMIF($D$107:D144,D79+1,$Y$107:Y144),IF(Q79=Háttér_listák!$B$126,Beruházási_ktg_input!L79,0))</f>
        <v>0</v>
      </c>
      <c r="Z79" s="51">
        <f>IF($B79=Háttér_listák!$B$121,SUMIF($D$107:D144,D79+1,$Z$107:Z144),IF(AND(Q79=Háttér_listák!$B$126,Beruházási_ktg_input!S79=Háttér_listák!$B$129),Beruházási_ktg_input!N79,0))</f>
        <v>0</v>
      </c>
      <c r="AA79" s="51">
        <f>IF($B79=Háttér_listák!$B$121,SUMIF($D$107:D144,D79+1,$AA$107:AA144),IF(AND(Q79=Háttér_listák!$B$126,Beruházási_ktg_input!S79=Háttér_listák!$B$130),Beruházási_ktg_input!N79,0))</f>
        <v>0</v>
      </c>
      <c r="AB79" s="51">
        <f t="shared" si="8"/>
        <v>0</v>
      </c>
      <c r="AC79" s="51">
        <f t="shared" si="9"/>
        <v>0</v>
      </c>
      <c r="AD79" s="51">
        <f t="shared" si="10"/>
        <v>0</v>
      </c>
      <c r="AE79" s="68">
        <f t="shared" si="11"/>
        <v>0</v>
      </c>
      <c r="AF79" s="258"/>
      <c r="AG79" s="259"/>
      <c r="AH79" s="259"/>
      <c r="AI79" s="259"/>
      <c r="AJ79" s="260"/>
      <c r="AK79" s="70" t="str">
        <f>IF(SUM(AF79:AJ79)=0,"",IF(SUM(AF79:AJ79)=1,Háttér_listák!$B$133,Háttér_listák!$B$134))</f>
        <v/>
      </c>
      <c r="AL79" s="67">
        <f>IF($AE79=0,0,IF($B79=Háttér_listák!$B$122,Beruházási_ktg_input!$V79*Beruházási_ktg_input!AF79,""))</f>
        <v>0</v>
      </c>
      <c r="AM79" s="51">
        <f>IF($AE79=0,0,IF($B79=Háttér_listák!$B$122,Beruházási_ktg_input!$V79*Beruházási_ktg_input!AG79,""))</f>
        <v>0</v>
      </c>
      <c r="AN79" s="51">
        <f>IF($AE79=0,0,IF($B79=Háttér_listák!$B$122,Beruházási_ktg_input!$V79*Beruházási_ktg_input!AH79,""))</f>
        <v>0</v>
      </c>
      <c r="AO79" s="51">
        <f>IF($AE79=0,0,IF($B79=Háttér_listák!$B$122,Beruházási_ktg_input!$V79*Beruházási_ktg_input!AI79,""))</f>
        <v>0</v>
      </c>
      <c r="AP79" s="68">
        <f>IF($AE79=0,0,IF($B79=Háttér_listák!$B$122,Beruházási_ktg_input!$V79*Beruházási_ktg_input!AJ79,""))</f>
        <v>0</v>
      </c>
      <c r="AQ79" s="67">
        <f>IF($AE79=0,0,IF($B79=Háttér_listák!$B$122,Beruházási_ktg_input!$AD79*Beruházási_ktg_input!AF79,""))</f>
        <v>0</v>
      </c>
      <c r="AR79" s="51">
        <f>IF($AE79=0,0,IF($B79=Háttér_listák!$B$122,Beruházási_ktg_input!$AD79*Beruházási_ktg_input!AG79,""))</f>
        <v>0</v>
      </c>
      <c r="AS79" s="51">
        <f>IF($AE79=0,0,IF($B79=Háttér_listák!$B$122,Beruházási_ktg_input!$AD79*Beruházási_ktg_input!AH79,""))</f>
        <v>0</v>
      </c>
      <c r="AT79" s="51">
        <f>IF($AE79=0,0,IF($B79=Háttér_listák!$B$122,Beruházási_ktg_input!$AD79*Beruházási_ktg_input!AI79,""))</f>
        <v>0</v>
      </c>
      <c r="AU79" s="71">
        <f>IF($AE79=0,0,IF($B79=Háttér_listák!$B$122,Beruházási_ktg_input!$AD79*Beruházási_ktg_input!AJ79,""))</f>
        <v>0</v>
      </c>
      <c r="AV79" s="67">
        <f>IF($AE79=0,0,IF($B79=Háttér_listák!$B$122,($T79+$Y79)*AF79,""))</f>
        <v>0</v>
      </c>
      <c r="AW79" s="51">
        <f>IF($AE79=0,0,IF($B79=Háttér_listák!$B$122,($T79+$Y79)*AG79,""))</f>
        <v>0</v>
      </c>
      <c r="AX79" s="51">
        <f>IF($AE79=0,0,IF($B79=Háttér_listák!$B$122,($T79+$Y79)*AH79,""))</f>
        <v>0</v>
      </c>
      <c r="AY79" s="51">
        <f>IF($AE79=0,0,IF($B79=Háttér_listák!$B$122,($T79+$Y79)*AI79,""))</f>
        <v>0</v>
      </c>
      <c r="AZ79" s="68">
        <f>IF($AE79=0,0,IF($B79=Háttér_listák!$B$122,($T79+$Y79)*AJ79,""))</f>
        <v>0</v>
      </c>
    </row>
    <row r="80" spans="2:52">
      <c r="B80" s="251"/>
      <c r="C80" s="246">
        <f>IF(B80=Háttér_listák!$B$121,1,0)</f>
        <v>0</v>
      </c>
      <c r="D80" s="246">
        <f t="shared" si="6"/>
        <v>12</v>
      </c>
      <c r="E80" s="247"/>
      <c r="F80" s="248"/>
      <c r="G80" s="247"/>
      <c r="H80" s="248"/>
      <c r="I80" s="249"/>
      <c r="J80" s="561"/>
      <c r="K80" s="574">
        <f>IF(B80=Háttér_listák!$B$121,"",Beruházási_ktg_input!I80*Beruházási_ktg_input!J80)</f>
        <v>0</v>
      </c>
      <c r="L80" s="576">
        <f>IF(B80=Háttér_listák!$B$121,SUMIF(Beruházási_ktg_input!D80:$D$107,Beruházási_ktg_input!D80+1,Beruházási_ktg_input!L80:$L$107),Beruházási_ktg_input!$K80)</f>
        <v>0</v>
      </c>
      <c r="M80" s="570"/>
      <c r="N80" s="566">
        <v>0</v>
      </c>
      <c r="O80" s="559">
        <f>IF(B80=Háttér_listák!$B$121,SUMIF(Beruházási_ktg_input!$D$107:D145,Beruházási_ktg_input!D80+1,$O$107:O145),L80+N80)</f>
        <v>0</v>
      </c>
      <c r="P80" s="249">
        <v>0</v>
      </c>
      <c r="Q80" s="251"/>
      <c r="R80" s="248"/>
      <c r="S80" s="248"/>
      <c r="T80" s="67">
        <f>IF($B80=Háttér_listák!$B$121,SUMIF($D$107:D145,D80+1,$T$107:T145),IF(Q80=Háttér_listák!$B$125,Beruházási_ktg_input!L80,0))</f>
        <v>0</v>
      </c>
      <c r="U80" s="51">
        <f>IF($B80=Háttér_listák!$B$121,SUMIF($D$107:D145,D80+1,$U$107:U145),IF(AND(Q80=Háttér_listák!$B$125,Beruházási_ktg_input!S80=Háttér_listák!$B$130,Főoldal!$C$15="Igen"),Beruházási_ktg_input!N80,0))</f>
        <v>0</v>
      </c>
      <c r="V80" s="51">
        <f t="shared" si="7"/>
        <v>0</v>
      </c>
      <c r="W80" s="51">
        <f>IF($B80=Háttér_listák!$B$121,SUMIF($D$107:D145,D80+1,$W$107:W145),IF(AND(Q80=Háttér_listák!$B$125,Beruházási_ktg_input!S80=Háttér_listák!$B$130,Főoldal!$C$15="Nem"),Beruházási_ktg_input!N80,0))</f>
        <v>0</v>
      </c>
      <c r="X80" s="51">
        <f>IF($B80=Háttér_listák!$B$121,SUMIF($D$107:D145,D80+1,$X$107:X145),IF(AND(Q80=Háttér_listák!$B$125,Beruházási_ktg_input!S80=Háttér_listák!$B$129),Beruházási_ktg_input!N80,0))</f>
        <v>0</v>
      </c>
      <c r="Y80" s="51">
        <f>IF($B80=Háttér_listák!$B$121,SUMIF($D$107:D145,D80+1,$Y$107:Y145),IF(Q80=Háttér_listák!$B$126,Beruházási_ktg_input!L80,0))</f>
        <v>0</v>
      </c>
      <c r="Z80" s="51">
        <f>IF($B80=Háttér_listák!$B$121,SUMIF($D$107:D145,D80+1,$Z$107:Z145),IF(AND(Q80=Háttér_listák!$B$126,Beruházási_ktg_input!S80=Háttér_listák!$B$129),Beruházási_ktg_input!N80,0))</f>
        <v>0</v>
      </c>
      <c r="AA80" s="51">
        <f>IF($B80=Háttér_listák!$B$121,SUMIF($D$107:D145,D80+1,$AA$107:AA145),IF(AND(Q80=Háttér_listák!$B$126,Beruházási_ktg_input!S80=Háttér_listák!$B$130),Beruházási_ktg_input!N80,0))</f>
        <v>0</v>
      </c>
      <c r="AB80" s="51">
        <f t="shared" si="8"/>
        <v>0</v>
      </c>
      <c r="AC80" s="51">
        <f t="shared" si="9"/>
        <v>0</v>
      </c>
      <c r="AD80" s="51">
        <f t="shared" si="10"/>
        <v>0</v>
      </c>
      <c r="AE80" s="68">
        <f t="shared" si="11"/>
        <v>0</v>
      </c>
      <c r="AF80" s="258"/>
      <c r="AG80" s="259"/>
      <c r="AH80" s="259"/>
      <c r="AI80" s="259"/>
      <c r="AJ80" s="260"/>
      <c r="AK80" s="70" t="str">
        <f>IF(SUM(AF80:AJ80)=0,"",IF(SUM(AF80:AJ80)=1,Háttér_listák!$B$133,Háttér_listák!$B$134))</f>
        <v/>
      </c>
      <c r="AL80" s="67">
        <f>IF($AE80=0,0,IF($B80=Háttér_listák!$B$122,Beruházási_ktg_input!$V80*Beruházási_ktg_input!AF80,""))</f>
        <v>0</v>
      </c>
      <c r="AM80" s="51">
        <f>IF($AE80=0,0,IF($B80=Háttér_listák!$B$122,Beruházási_ktg_input!$V80*Beruházási_ktg_input!AG80,""))</f>
        <v>0</v>
      </c>
      <c r="AN80" s="51">
        <f>IF($AE80=0,0,IF($B80=Háttér_listák!$B$122,Beruházási_ktg_input!$V80*Beruházási_ktg_input!AH80,""))</f>
        <v>0</v>
      </c>
      <c r="AO80" s="51">
        <f>IF($AE80=0,0,IF($B80=Háttér_listák!$B$122,Beruházási_ktg_input!$V80*Beruházási_ktg_input!AI80,""))</f>
        <v>0</v>
      </c>
      <c r="AP80" s="68">
        <f>IF($AE80=0,0,IF($B80=Háttér_listák!$B$122,Beruházási_ktg_input!$V80*Beruházási_ktg_input!AJ80,""))</f>
        <v>0</v>
      </c>
      <c r="AQ80" s="67">
        <f>IF($AE80=0,0,IF($B80=Háttér_listák!$B$122,Beruházási_ktg_input!$AD80*Beruházási_ktg_input!AF80,""))</f>
        <v>0</v>
      </c>
      <c r="AR80" s="51">
        <f>IF($AE80=0,0,IF($B80=Háttér_listák!$B$122,Beruházási_ktg_input!$AD80*Beruházási_ktg_input!AG80,""))</f>
        <v>0</v>
      </c>
      <c r="AS80" s="51">
        <f>IF($AE80=0,0,IF($B80=Háttér_listák!$B$122,Beruházási_ktg_input!$AD80*Beruházási_ktg_input!AH80,""))</f>
        <v>0</v>
      </c>
      <c r="AT80" s="51">
        <f>IF($AE80=0,0,IF($B80=Háttér_listák!$B$122,Beruházási_ktg_input!$AD80*Beruházási_ktg_input!AI80,""))</f>
        <v>0</v>
      </c>
      <c r="AU80" s="71">
        <f>IF($AE80=0,0,IF($B80=Háttér_listák!$B$122,Beruházási_ktg_input!$AD80*Beruházási_ktg_input!AJ80,""))</f>
        <v>0</v>
      </c>
      <c r="AV80" s="67">
        <f>IF($AE80=0,0,IF($B80=Háttér_listák!$B$122,($T80+$Y80)*AF80,""))</f>
        <v>0</v>
      </c>
      <c r="AW80" s="51">
        <f>IF($AE80=0,0,IF($B80=Háttér_listák!$B$122,($T80+$Y80)*AG80,""))</f>
        <v>0</v>
      </c>
      <c r="AX80" s="51">
        <f>IF($AE80=0,0,IF($B80=Háttér_listák!$B$122,($T80+$Y80)*AH80,""))</f>
        <v>0</v>
      </c>
      <c r="AY80" s="51">
        <f>IF($AE80=0,0,IF($B80=Háttér_listák!$B$122,($T80+$Y80)*AI80,""))</f>
        <v>0</v>
      </c>
      <c r="AZ80" s="68">
        <f>IF($AE80=0,0,IF($B80=Háttér_listák!$B$122,($T80+$Y80)*AJ80,""))</f>
        <v>0</v>
      </c>
    </row>
    <row r="81" spans="2:52">
      <c r="B81" s="251"/>
      <c r="C81" s="246">
        <f>IF(B81=Háttér_listák!$B$121,1,0)</f>
        <v>0</v>
      </c>
      <c r="D81" s="246">
        <f t="shared" si="6"/>
        <v>12</v>
      </c>
      <c r="E81" s="247"/>
      <c r="F81" s="248"/>
      <c r="G81" s="247"/>
      <c r="H81" s="248"/>
      <c r="I81" s="249"/>
      <c r="J81" s="561"/>
      <c r="K81" s="574">
        <f>IF(B81=Háttér_listák!$B$121,"",Beruházási_ktg_input!I81*Beruházási_ktg_input!J81)</f>
        <v>0</v>
      </c>
      <c r="L81" s="576">
        <f>IF(B81=Háttér_listák!$B$121,SUMIF(Beruházási_ktg_input!D81:$D$107,Beruházási_ktg_input!D81+1,Beruházási_ktg_input!L81:$L$107),Beruházási_ktg_input!$K81)</f>
        <v>0</v>
      </c>
      <c r="M81" s="570"/>
      <c r="N81" s="566">
        <v>0</v>
      </c>
      <c r="O81" s="559">
        <f>IF(B81=Háttér_listák!$B$121,SUMIF(Beruházási_ktg_input!$D$107:D146,Beruházási_ktg_input!D81+1,$O$107:O146),L81+N81)</f>
        <v>0</v>
      </c>
      <c r="P81" s="249">
        <v>0</v>
      </c>
      <c r="Q81" s="251"/>
      <c r="R81" s="248"/>
      <c r="S81" s="248"/>
      <c r="T81" s="67">
        <f>IF($B81=Háttér_listák!$B$121,SUMIF($D$107:D146,D81+1,$T$107:T146),IF(Q81=Háttér_listák!$B$125,Beruházási_ktg_input!L81,0))</f>
        <v>0</v>
      </c>
      <c r="U81" s="51">
        <f>IF($B81=Háttér_listák!$B$121,SUMIF($D$107:D146,D81+1,$U$107:U146),IF(AND(Q81=Háttér_listák!$B$125,Beruházási_ktg_input!S81=Háttér_listák!$B$130,Főoldal!$C$15="Igen"),Beruházási_ktg_input!N81,0))</f>
        <v>0</v>
      </c>
      <c r="V81" s="51">
        <f t="shared" si="7"/>
        <v>0</v>
      </c>
      <c r="W81" s="51">
        <f>IF($B81=Háttér_listák!$B$121,SUMIF($D$107:D146,D81+1,$W$107:W146),IF(AND(Q81=Háttér_listák!$B$125,Beruházási_ktg_input!S81=Háttér_listák!$B$130,Főoldal!$C$15="Nem"),Beruházási_ktg_input!N81,0))</f>
        <v>0</v>
      </c>
      <c r="X81" s="51">
        <f>IF($B81=Háttér_listák!$B$121,SUMIF($D$107:D146,D81+1,$X$107:X146),IF(AND(Q81=Háttér_listák!$B$125,Beruházási_ktg_input!S81=Háttér_listák!$B$129),Beruházási_ktg_input!N81,0))</f>
        <v>0</v>
      </c>
      <c r="Y81" s="51">
        <f>IF($B81=Háttér_listák!$B$121,SUMIF($D$107:D146,D81+1,$Y$107:Y146),IF(Q81=Háttér_listák!$B$126,Beruházási_ktg_input!L81,0))</f>
        <v>0</v>
      </c>
      <c r="Z81" s="51">
        <f>IF($B81=Háttér_listák!$B$121,SUMIF($D$107:D146,D81+1,$Z$107:Z146),IF(AND(Q81=Háttér_listák!$B$126,Beruházási_ktg_input!S81=Háttér_listák!$B$129),Beruházási_ktg_input!N81,0))</f>
        <v>0</v>
      </c>
      <c r="AA81" s="51">
        <f>IF($B81=Háttér_listák!$B$121,SUMIF($D$107:D146,D81+1,$AA$107:AA146),IF(AND(Q81=Háttér_listák!$B$126,Beruházási_ktg_input!S81=Háttér_listák!$B$130),Beruházási_ktg_input!N81,0))</f>
        <v>0</v>
      </c>
      <c r="AB81" s="51">
        <f t="shared" si="8"/>
        <v>0</v>
      </c>
      <c r="AC81" s="51">
        <f t="shared" si="9"/>
        <v>0</v>
      </c>
      <c r="AD81" s="51">
        <f t="shared" si="10"/>
        <v>0</v>
      </c>
      <c r="AE81" s="68">
        <f t="shared" si="11"/>
        <v>0</v>
      </c>
      <c r="AF81" s="258"/>
      <c r="AG81" s="259"/>
      <c r="AH81" s="259"/>
      <c r="AI81" s="259"/>
      <c r="AJ81" s="260"/>
      <c r="AK81" s="70" t="str">
        <f>IF(SUM(AF81:AJ81)=0,"",IF(SUM(AF81:AJ81)=1,Háttér_listák!$B$133,Háttér_listák!$B$134))</f>
        <v/>
      </c>
      <c r="AL81" s="67">
        <f>IF($AE81=0,0,IF($B81=Háttér_listák!$B$122,Beruházási_ktg_input!$V81*Beruházási_ktg_input!AF81,""))</f>
        <v>0</v>
      </c>
      <c r="AM81" s="51">
        <f>IF($AE81=0,0,IF($B81=Háttér_listák!$B$122,Beruházási_ktg_input!$V81*Beruházási_ktg_input!AG81,""))</f>
        <v>0</v>
      </c>
      <c r="AN81" s="51">
        <f>IF($AE81=0,0,IF($B81=Háttér_listák!$B$122,Beruházási_ktg_input!$V81*Beruházási_ktg_input!AH81,""))</f>
        <v>0</v>
      </c>
      <c r="AO81" s="51">
        <f>IF($AE81=0,0,IF($B81=Háttér_listák!$B$122,Beruházási_ktg_input!$V81*Beruházási_ktg_input!AI81,""))</f>
        <v>0</v>
      </c>
      <c r="AP81" s="68">
        <f>IF($AE81=0,0,IF($B81=Háttér_listák!$B$122,Beruházási_ktg_input!$V81*Beruházási_ktg_input!AJ81,""))</f>
        <v>0</v>
      </c>
      <c r="AQ81" s="67">
        <f>IF($AE81=0,0,IF($B81=Háttér_listák!$B$122,Beruházási_ktg_input!$AD81*Beruházási_ktg_input!AF81,""))</f>
        <v>0</v>
      </c>
      <c r="AR81" s="51">
        <f>IF($AE81=0,0,IF($B81=Háttér_listák!$B$122,Beruházási_ktg_input!$AD81*Beruházási_ktg_input!AG81,""))</f>
        <v>0</v>
      </c>
      <c r="AS81" s="51">
        <f>IF($AE81=0,0,IF($B81=Háttér_listák!$B$122,Beruházási_ktg_input!$AD81*Beruházási_ktg_input!AH81,""))</f>
        <v>0</v>
      </c>
      <c r="AT81" s="51">
        <f>IF($AE81=0,0,IF($B81=Háttér_listák!$B$122,Beruházási_ktg_input!$AD81*Beruházási_ktg_input!AI81,""))</f>
        <v>0</v>
      </c>
      <c r="AU81" s="71">
        <f>IF($AE81=0,0,IF($B81=Háttér_listák!$B$122,Beruházási_ktg_input!$AD81*Beruházási_ktg_input!AJ81,""))</f>
        <v>0</v>
      </c>
      <c r="AV81" s="67">
        <f>IF($AE81=0,0,IF($B81=Háttér_listák!$B$122,($T81+$Y81)*AF81,""))</f>
        <v>0</v>
      </c>
      <c r="AW81" s="51">
        <f>IF($AE81=0,0,IF($B81=Háttér_listák!$B$122,($T81+$Y81)*AG81,""))</f>
        <v>0</v>
      </c>
      <c r="AX81" s="51">
        <f>IF($AE81=0,0,IF($B81=Háttér_listák!$B$122,($T81+$Y81)*AH81,""))</f>
        <v>0</v>
      </c>
      <c r="AY81" s="51">
        <f>IF($AE81=0,0,IF($B81=Háttér_listák!$B$122,($T81+$Y81)*AI81,""))</f>
        <v>0</v>
      </c>
      <c r="AZ81" s="68">
        <f>IF($AE81=0,0,IF($B81=Háttér_listák!$B$122,($T81+$Y81)*AJ81,""))</f>
        <v>0</v>
      </c>
    </row>
    <row r="82" spans="2:52">
      <c r="B82" s="251"/>
      <c r="C82" s="246">
        <f>IF(B82=Háttér_listák!$B$121,1,0)</f>
        <v>0</v>
      </c>
      <c r="D82" s="246">
        <f t="shared" si="6"/>
        <v>12</v>
      </c>
      <c r="E82" s="247"/>
      <c r="F82" s="248"/>
      <c r="G82" s="247"/>
      <c r="H82" s="248"/>
      <c r="I82" s="249"/>
      <c r="J82" s="561"/>
      <c r="K82" s="574">
        <f>IF(B82=Háttér_listák!$B$121,"",Beruházási_ktg_input!I82*Beruházási_ktg_input!J82)</f>
        <v>0</v>
      </c>
      <c r="L82" s="576">
        <f>IF(B82=Háttér_listák!$B$121,SUMIF(Beruházási_ktg_input!D82:$D$107,Beruházási_ktg_input!D82+1,Beruházási_ktg_input!L82:$L$107),Beruházási_ktg_input!$K82)</f>
        <v>0</v>
      </c>
      <c r="M82" s="570"/>
      <c r="N82" s="566">
        <v>0</v>
      </c>
      <c r="O82" s="559">
        <f>IF(B82=Háttér_listák!$B$121,SUMIF(Beruházási_ktg_input!$D$107:D147,Beruházási_ktg_input!D82+1,$O$107:O147),L82+N82)</f>
        <v>0</v>
      </c>
      <c r="P82" s="249">
        <v>0</v>
      </c>
      <c r="Q82" s="251"/>
      <c r="R82" s="248"/>
      <c r="S82" s="248"/>
      <c r="T82" s="67">
        <f>IF($B82=Háttér_listák!$B$121,SUMIF($D$107:D147,D82+1,$T$107:T147),IF(Q82=Háttér_listák!$B$125,Beruházási_ktg_input!L82,0))</f>
        <v>0</v>
      </c>
      <c r="U82" s="51">
        <f>IF($B82=Háttér_listák!$B$121,SUMIF($D$107:D147,D82+1,$U$107:U147),IF(AND(Q82=Háttér_listák!$B$125,Beruházási_ktg_input!S82=Háttér_listák!$B$130,Főoldal!$C$15="Igen"),Beruházási_ktg_input!N82,0))</f>
        <v>0</v>
      </c>
      <c r="V82" s="51">
        <f t="shared" si="7"/>
        <v>0</v>
      </c>
      <c r="W82" s="51">
        <f>IF($B82=Háttér_listák!$B$121,SUMIF($D$107:D147,D82+1,$W$107:W147),IF(AND(Q82=Háttér_listák!$B$125,Beruházási_ktg_input!S82=Háttér_listák!$B$130,Főoldal!$C$15="Nem"),Beruházási_ktg_input!N82,0))</f>
        <v>0</v>
      </c>
      <c r="X82" s="51">
        <f>IF($B82=Háttér_listák!$B$121,SUMIF($D$107:D147,D82+1,$X$107:X147),IF(AND(Q82=Háttér_listák!$B$125,Beruházási_ktg_input!S82=Háttér_listák!$B$129),Beruházási_ktg_input!N82,0))</f>
        <v>0</v>
      </c>
      <c r="Y82" s="51">
        <f>IF($B82=Háttér_listák!$B$121,SUMIF($D$107:D147,D82+1,$Y$107:Y147),IF(Q82=Háttér_listák!$B$126,Beruházási_ktg_input!L82,0))</f>
        <v>0</v>
      </c>
      <c r="Z82" s="51">
        <f>IF($B82=Háttér_listák!$B$121,SUMIF($D$107:D147,D82+1,$Z$107:Z147),IF(AND(Q82=Háttér_listák!$B$126,Beruházási_ktg_input!S82=Háttér_listák!$B$129),Beruházási_ktg_input!N82,0))</f>
        <v>0</v>
      </c>
      <c r="AA82" s="51">
        <f>IF($B82=Háttér_listák!$B$121,SUMIF($D$107:D147,D82+1,$AA$107:AA147),IF(AND(Q82=Háttér_listák!$B$126,Beruházási_ktg_input!S82=Háttér_listák!$B$130),Beruházási_ktg_input!N82,0))</f>
        <v>0</v>
      </c>
      <c r="AB82" s="51">
        <f t="shared" si="8"/>
        <v>0</v>
      </c>
      <c r="AC82" s="51">
        <f t="shared" si="9"/>
        <v>0</v>
      </c>
      <c r="AD82" s="51">
        <f t="shared" si="10"/>
        <v>0</v>
      </c>
      <c r="AE82" s="68">
        <f t="shared" si="11"/>
        <v>0</v>
      </c>
      <c r="AF82" s="258"/>
      <c r="AG82" s="259"/>
      <c r="AH82" s="259"/>
      <c r="AI82" s="259"/>
      <c r="AJ82" s="260"/>
      <c r="AK82" s="70" t="str">
        <f>IF(SUM(AF82:AJ82)=0,"",IF(SUM(AF82:AJ82)=1,Háttér_listák!$B$133,Háttér_listák!$B$134))</f>
        <v/>
      </c>
      <c r="AL82" s="67">
        <f>IF($AE82=0,0,IF($B82=Háttér_listák!$B$122,Beruházási_ktg_input!$V82*Beruházási_ktg_input!AF82,""))</f>
        <v>0</v>
      </c>
      <c r="AM82" s="51">
        <f>IF($AE82=0,0,IF($B82=Háttér_listák!$B$122,Beruházási_ktg_input!$V82*Beruházási_ktg_input!AG82,""))</f>
        <v>0</v>
      </c>
      <c r="AN82" s="51">
        <f>IF($AE82=0,0,IF($B82=Háttér_listák!$B$122,Beruházási_ktg_input!$V82*Beruházási_ktg_input!AH82,""))</f>
        <v>0</v>
      </c>
      <c r="AO82" s="51">
        <f>IF($AE82=0,0,IF($B82=Háttér_listák!$B$122,Beruházási_ktg_input!$V82*Beruházási_ktg_input!AI82,""))</f>
        <v>0</v>
      </c>
      <c r="AP82" s="68">
        <f>IF($AE82=0,0,IF($B82=Háttér_listák!$B$122,Beruházási_ktg_input!$V82*Beruházási_ktg_input!AJ82,""))</f>
        <v>0</v>
      </c>
      <c r="AQ82" s="67">
        <f>IF($AE82=0,0,IF($B82=Háttér_listák!$B$122,Beruházási_ktg_input!$AD82*Beruházási_ktg_input!AF82,""))</f>
        <v>0</v>
      </c>
      <c r="AR82" s="51">
        <f>IF($AE82=0,0,IF($B82=Háttér_listák!$B$122,Beruházási_ktg_input!$AD82*Beruházási_ktg_input!AG82,""))</f>
        <v>0</v>
      </c>
      <c r="AS82" s="51">
        <f>IF($AE82=0,0,IF($B82=Háttér_listák!$B$122,Beruházási_ktg_input!$AD82*Beruházási_ktg_input!AH82,""))</f>
        <v>0</v>
      </c>
      <c r="AT82" s="51">
        <f>IF($AE82=0,0,IF($B82=Háttér_listák!$B$122,Beruházási_ktg_input!$AD82*Beruházási_ktg_input!AI82,""))</f>
        <v>0</v>
      </c>
      <c r="AU82" s="71">
        <f>IF($AE82=0,0,IF($B82=Háttér_listák!$B$122,Beruházási_ktg_input!$AD82*Beruházási_ktg_input!AJ82,""))</f>
        <v>0</v>
      </c>
      <c r="AV82" s="67">
        <f>IF($AE82=0,0,IF($B82=Háttér_listák!$B$122,($T82+$Y82)*AF82,""))</f>
        <v>0</v>
      </c>
      <c r="AW82" s="51">
        <f>IF($AE82=0,0,IF($B82=Háttér_listák!$B$122,($T82+$Y82)*AG82,""))</f>
        <v>0</v>
      </c>
      <c r="AX82" s="51">
        <f>IF($AE82=0,0,IF($B82=Háttér_listák!$B$122,($T82+$Y82)*AH82,""))</f>
        <v>0</v>
      </c>
      <c r="AY82" s="51">
        <f>IF($AE82=0,0,IF($B82=Háttér_listák!$B$122,($T82+$Y82)*AI82,""))</f>
        <v>0</v>
      </c>
      <c r="AZ82" s="68">
        <f>IF($AE82=0,0,IF($B82=Háttér_listák!$B$122,($T82+$Y82)*AJ82,""))</f>
        <v>0</v>
      </c>
    </row>
    <row r="83" spans="2:52">
      <c r="B83" s="251"/>
      <c r="C83" s="246">
        <f>IF(B83=Háttér_listák!$B$121,1,0)</f>
        <v>0</v>
      </c>
      <c r="D83" s="246">
        <f t="shared" si="6"/>
        <v>12</v>
      </c>
      <c r="E83" s="247"/>
      <c r="F83" s="248"/>
      <c r="G83" s="247"/>
      <c r="H83" s="248"/>
      <c r="I83" s="249"/>
      <c r="J83" s="561"/>
      <c r="K83" s="574">
        <f>IF(B83=Háttér_listák!$B$121,"",Beruházási_ktg_input!I83*Beruházási_ktg_input!J83)</f>
        <v>0</v>
      </c>
      <c r="L83" s="576">
        <f>IF(B83=Háttér_listák!$B$121,SUMIF(Beruházási_ktg_input!D83:$D$107,Beruházási_ktg_input!D83+1,Beruházási_ktg_input!L83:$L$107),Beruházási_ktg_input!$K83)</f>
        <v>0</v>
      </c>
      <c r="M83" s="570"/>
      <c r="N83" s="566">
        <v>0</v>
      </c>
      <c r="O83" s="559">
        <f>IF(B83=Háttér_listák!$B$121,SUMIF(Beruházási_ktg_input!$D$107:D148,Beruházási_ktg_input!D83+1,$O$107:O148),L83+N83)</f>
        <v>0</v>
      </c>
      <c r="P83" s="249">
        <v>0</v>
      </c>
      <c r="Q83" s="251"/>
      <c r="R83" s="248"/>
      <c r="S83" s="248"/>
      <c r="T83" s="67">
        <f>IF($B83=Háttér_listák!$B$121,SUMIF($D$107:D148,D83+1,$T$107:T148),IF(Q83=Háttér_listák!$B$125,Beruházási_ktg_input!L83,0))</f>
        <v>0</v>
      </c>
      <c r="U83" s="51">
        <f>IF($B83=Háttér_listák!$B$121,SUMIF($D$107:D148,D83+1,$U$107:U148),IF(AND(Q83=Háttér_listák!$B$125,Beruházási_ktg_input!S83=Háttér_listák!$B$130,Főoldal!$C$15="Igen"),Beruházási_ktg_input!N83,0))</f>
        <v>0</v>
      </c>
      <c r="V83" s="51">
        <f t="shared" si="7"/>
        <v>0</v>
      </c>
      <c r="W83" s="51">
        <f>IF($B83=Háttér_listák!$B$121,SUMIF($D$107:D148,D83+1,$W$107:W148),IF(AND(Q83=Háttér_listák!$B$125,Beruházási_ktg_input!S83=Háttér_listák!$B$130,Főoldal!$C$15="Nem"),Beruházási_ktg_input!N83,0))</f>
        <v>0</v>
      </c>
      <c r="X83" s="51">
        <f>IF($B83=Háttér_listák!$B$121,SUMIF($D$107:D148,D83+1,$X$107:X148),IF(AND(Q83=Háttér_listák!$B$125,Beruházási_ktg_input!S83=Háttér_listák!$B$129),Beruházási_ktg_input!N83,0))</f>
        <v>0</v>
      </c>
      <c r="Y83" s="51">
        <f>IF($B83=Háttér_listák!$B$121,SUMIF($D$107:D148,D83+1,$Y$107:Y148),IF(Q83=Háttér_listák!$B$126,Beruházási_ktg_input!L83,0))</f>
        <v>0</v>
      </c>
      <c r="Z83" s="51">
        <f>IF($B83=Háttér_listák!$B$121,SUMIF($D$107:D148,D83+1,$Z$107:Z148),IF(AND(Q83=Háttér_listák!$B$126,Beruházási_ktg_input!S83=Háttér_listák!$B$129),Beruházási_ktg_input!N83,0))</f>
        <v>0</v>
      </c>
      <c r="AA83" s="51">
        <f>IF($B83=Háttér_listák!$B$121,SUMIF($D$107:D148,D83+1,$AA$107:AA148),IF(AND(Q83=Háttér_listák!$B$126,Beruházási_ktg_input!S83=Háttér_listák!$B$130),Beruházási_ktg_input!N83,0))</f>
        <v>0</v>
      </c>
      <c r="AB83" s="51">
        <f t="shared" si="8"/>
        <v>0</v>
      </c>
      <c r="AC83" s="51">
        <f t="shared" si="9"/>
        <v>0</v>
      </c>
      <c r="AD83" s="51">
        <f t="shared" si="10"/>
        <v>0</v>
      </c>
      <c r="AE83" s="68">
        <f t="shared" si="11"/>
        <v>0</v>
      </c>
      <c r="AF83" s="258"/>
      <c r="AG83" s="259"/>
      <c r="AH83" s="259"/>
      <c r="AI83" s="259"/>
      <c r="AJ83" s="260"/>
      <c r="AK83" s="70" t="str">
        <f>IF(SUM(AF83:AJ83)=0,"",IF(SUM(AF83:AJ83)=1,Háttér_listák!$B$133,Háttér_listák!$B$134))</f>
        <v/>
      </c>
      <c r="AL83" s="67">
        <f>IF($AE83=0,0,IF($B83=Háttér_listák!$B$122,Beruházási_ktg_input!$V83*Beruházási_ktg_input!AF83,""))</f>
        <v>0</v>
      </c>
      <c r="AM83" s="51">
        <f>IF($AE83=0,0,IF($B83=Háttér_listák!$B$122,Beruházási_ktg_input!$V83*Beruházási_ktg_input!AG83,""))</f>
        <v>0</v>
      </c>
      <c r="AN83" s="51">
        <f>IF($AE83=0,0,IF($B83=Háttér_listák!$B$122,Beruházási_ktg_input!$V83*Beruházási_ktg_input!AH83,""))</f>
        <v>0</v>
      </c>
      <c r="AO83" s="51">
        <f>IF($AE83=0,0,IF($B83=Háttér_listák!$B$122,Beruházási_ktg_input!$V83*Beruházási_ktg_input!AI83,""))</f>
        <v>0</v>
      </c>
      <c r="AP83" s="68">
        <f>IF($AE83=0,0,IF($B83=Háttér_listák!$B$122,Beruházási_ktg_input!$V83*Beruházási_ktg_input!AJ83,""))</f>
        <v>0</v>
      </c>
      <c r="AQ83" s="67">
        <f>IF($AE83=0,0,IF($B83=Háttér_listák!$B$122,Beruházási_ktg_input!$AD83*Beruházási_ktg_input!AF83,""))</f>
        <v>0</v>
      </c>
      <c r="AR83" s="51">
        <f>IF($AE83=0,0,IF($B83=Háttér_listák!$B$122,Beruházási_ktg_input!$AD83*Beruházási_ktg_input!AG83,""))</f>
        <v>0</v>
      </c>
      <c r="AS83" s="51">
        <f>IF($AE83=0,0,IF($B83=Háttér_listák!$B$122,Beruházási_ktg_input!$AD83*Beruházási_ktg_input!AH83,""))</f>
        <v>0</v>
      </c>
      <c r="AT83" s="51">
        <f>IF($AE83=0,0,IF($B83=Háttér_listák!$B$122,Beruházási_ktg_input!$AD83*Beruházási_ktg_input!AI83,""))</f>
        <v>0</v>
      </c>
      <c r="AU83" s="71">
        <f>IF($AE83=0,0,IF($B83=Háttér_listák!$B$122,Beruházási_ktg_input!$AD83*Beruházási_ktg_input!AJ83,""))</f>
        <v>0</v>
      </c>
      <c r="AV83" s="67">
        <f>IF($AE83=0,0,IF($B83=Háttér_listák!$B$122,($T83+$Y83)*AF83,""))</f>
        <v>0</v>
      </c>
      <c r="AW83" s="51">
        <f>IF($AE83=0,0,IF($B83=Háttér_listák!$B$122,($T83+$Y83)*AG83,""))</f>
        <v>0</v>
      </c>
      <c r="AX83" s="51">
        <f>IF($AE83=0,0,IF($B83=Háttér_listák!$B$122,($T83+$Y83)*AH83,""))</f>
        <v>0</v>
      </c>
      <c r="AY83" s="51">
        <f>IF($AE83=0,0,IF($B83=Háttér_listák!$B$122,($T83+$Y83)*AI83,""))</f>
        <v>0</v>
      </c>
      <c r="AZ83" s="68">
        <f>IF($AE83=0,0,IF($B83=Háttér_listák!$B$122,($T83+$Y83)*AJ83,""))</f>
        <v>0</v>
      </c>
    </row>
    <row r="84" spans="2:52">
      <c r="B84" s="251"/>
      <c r="C84" s="246">
        <f>IF(B84=Háttér_listák!$B$121,1,0)</f>
        <v>0</v>
      </c>
      <c r="D84" s="246">
        <f t="shared" si="6"/>
        <v>12</v>
      </c>
      <c r="E84" s="247"/>
      <c r="F84" s="248"/>
      <c r="G84" s="247"/>
      <c r="H84" s="248"/>
      <c r="I84" s="249"/>
      <c r="J84" s="561"/>
      <c r="K84" s="574">
        <f>IF(B84=Háttér_listák!$B$121,"",Beruházási_ktg_input!I84*Beruházási_ktg_input!J84)</f>
        <v>0</v>
      </c>
      <c r="L84" s="576">
        <f>IF(B84=Háttér_listák!$B$121,SUMIF(Beruházási_ktg_input!D84:$D$107,Beruházási_ktg_input!D84+1,Beruházási_ktg_input!L84:$L$107),Beruházási_ktg_input!$K84)</f>
        <v>0</v>
      </c>
      <c r="M84" s="570"/>
      <c r="N84" s="566">
        <v>0</v>
      </c>
      <c r="O84" s="559">
        <f>IF(B84=Háttér_listák!$B$121,SUMIF(Beruházási_ktg_input!$D$107:D149,Beruházási_ktg_input!D84+1,$O$107:O149),L84+N84)</f>
        <v>0</v>
      </c>
      <c r="P84" s="249">
        <v>0</v>
      </c>
      <c r="Q84" s="251"/>
      <c r="R84" s="248"/>
      <c r="S84" s="248"/>
      <c r="T84" s="67">
        <f>IF($B84=Háttér_listák!$B$121,SUMIF($D$107:D149,D84+1,$T$107:T149),IF(Q84=Háttér_listák!$B$125,Beruházási_ktg_input!L84,0))</f>
        <v>0</v>
      </c>
      <c r="U84" s="51">
        <f>IF($B84=Háttér_listák!$B$121,SUMIF($D$107:D149,D84+1,$U$107:U149),IF(AND(Q84=Háttér_listák!$B$125,Beruházási_ktg_input!S84=Háttér_listák!$B$130,Főoldal!$C$15="Igen"),Beruházási_ktg_input!N84,0))</f>
        <v>0</v>
      </c>
      <c r="V84" s="51">
        <f t="shared" si="7"/>
        <v>0</v>
      </c>
      <c r="W84" s="51">
        <f>IF($B84=Háttér_listák!$B$121,SUMIF($D$107:D149,D84+1,$W$107:W149),IF(AND(Q84=Háttér_listák!$B$125,Beruházási_ktg_input!S84=Háttér_listák!$B$130,Főoldal!$C$15="Nem"),Beruházási_ktg_input!N84,0))</f>
        <v>0</v>
      </c>
      <c r="X84" s="51">
        <f>IF($B84=Háttér_listák!$B$121,SUMIF($D$107:D149,D84+1,$X$107:X149),IF(AND(Q84=Háttér_listák!$B$125,Beruházási_ktg_input!S84=Háttér_listák!$B$129),Beruházási_ktg_input!N84,0))</f>
        <v>0</v>
      </c>
      <c r="Y84" s="51">
        <f>IF($B84=Háttér_listák!$B$121,SUMIF($D$107:D149,D84+1,$Y$107:Y149),IF(Q84=Háttér_listák!$B$126,Beruházási_ktg_input!L84,0))</f>
        <v>0</v>
      </c>
      <c r="Z84" s="51">
        <f>IF($B84=Háttér_listák!$B$121,SUMIF($D$107:D149,D84+1,$Z$107:Z149),IF(AND(Q84=Háttér_listák!$B$126,Beruházási_ktg_input!S84=Háttér_listák!$B$129),Beruházási_ktg_input!N84,0))</f>
        <v>0</v>
      </c>
      <c r="AA84" s="51">
        <f>IF($B84=Háttér_listák!$B$121,SUMIF($D$107:D149,D84+1,$AA$107:AA149),IF(AND(Q84=Háttér_listák!$B$126,Beruházási_ktg_input!S84=Háttér_listák!$B$130),Beruházási_ktg_input!N84,0))</f>
        <v>0</v>
      </c>
      <c r="AB84" s="51">
        <f t="shared" si="8"/>
        <v>0</v>
      </c>
      <c r="AC84" s="51">
        <f t="shared" si="9"/>
        <v>0</v>
      </c>
      <c r="AD84" s="51">
        <f t="shared" si="10"/>
        <v>0</v>
      </c>
      <c r="AE84" s="68">
        <f t="shared" si="11"/>
        <v>0</v>
      </c>
      <c r="AF84" s="258"/>
      <c r="AG84" s="259"/>
      <c r="AH84" s="259"/>
      <c r="AI84" s="259"/>
      <c r="AJ84" s="260"/>
      <c r="AK84" s="70" t="str">
        <f>IF(SUM(AF84:AJ84)=0,"",IF(SUM(AF84:AJ84)=1,Háttér_listák!$B$133,Háttér_listák!$B$134))</f>
        <v/>
      </c>
      <c r="AL84" s="67">
        <f>IF($AE84=0,0,IF($B84=Háttér_listák!$B$122,Beruházási_ktg_input!$V84*Beruházási_ktg_input!AF84,""))</f>
        <v>0</v>
      </c>
      <c r="AM84" s="51">
        <f>IF($AE84=0,0,IF($B84=Háttér_listák!$B$122,Beruházási_ktg_input!$V84*Beruházási_ktg_input!AG84,""))</f>
        <v>0</v>
      </c>
      <c r="AN84" s="51">
        <f>IF($AE84=0,0,IF($B84=Háttér_listák!$B$122,Beruházási_ktg_input!$V84*Beruházási_ktg_input!AH84,""))</f>
        <v>0</v>
      </c>
      <c r="AO84" s="51">
        <f>IF($AE84=0,0,IF($B84=Háttér_listák!$B$122,Beruházási_ktg_input!$V84*Beruházási_ktg_input!AI84,""))</f>
        <v>0</v>
      </c>
      <c r="AP84" s="68">
        <f>IF($AE84=0,0,IF($B84=Háttér_listák!$B$122,Beruházási_ktg_input!$V84*Beruházási_ktg_input!AJ84,""))</f>
        <v>0</v>
      </c>
      <c r="AQ84" s="67">
        <f>IF($AE84=0,0,IF($B84=Háttér_listák!$B$122,Beruházási_ktg_input!$AD84*Beruházási_ktg_input!AF84,""))</f>
        <v>0</v>
      </c>
      <c r="AR84" s="51">
        <f>IF($AE84=0,0,IF($B84=Háttér_listák!$B$122,Beruházási_ktg_input!$AD84*Beruházási_ktg_input!AG84,""))</f>
        <v>0</v>
      </c>
      <c r="AS84" s="51">
        <f>IF($AE84=0,0,IF($B84=Háttér_listák!$B$122,Beruházási_ktg_input!$AD84*Beruházási_ktg_input!AH84,""))</f>
        <v>0</v>
      </c>
      <c r="AT84" s="51">
        <f>IF($AE84=0,0,IF($B84=Háttér_listák!$B$122,Beruházási_ktg_input!$AD84*Beruházási_ktg_input!AI84,""))</f>
        <v>0</v>
      </c>
      <c r="AU84" s="71">
        <f>IF($AE84=0,0,IF($B84=Háttér_listák!$B$122,Beruházási_ktg_input!$AD84*Beruházási_ktg_input!AJ84,""))</f>
        <v>0</v>
      </c>
      <c r="AV84" s="67">
        <f>IF($AE84=0,0,IF($B84=Háttér_listák!$B$122,($T84+$Y84)*AF84,""))</f>
        <v>0</v>
      </c>
      <c r="AW84" s="51">
        <f>IF($AE84=0,0,IF($B84=Háttér_listák!$B$122,($T84+$Y84)*AG84,""))</f>
        <v>0</v>
      </c>
      <c r="AX84" s="51">
        <f>IF($AE84=0,0,IF($B84=Háttér_listák!$B$122,($T84+$Y84)*AH84,""))</f>
        <v>0</v>
      </c>
      <c r="AY84" s="51">
        <f>IF($AE84=0,0,IF($B84=Háttér_listák!$B$122,($T84+$Y84)*AI84,""))</f>
        <v>0</v>
      </c>
      <c r="AZ84" s="68">
        <f>IF($AE84=0,0,IF($B84=Háttér_listák!$B$122,($T84+$Y84)*AJ84,""))</f>
        <v>0</v>
      </c>
    </row>
    <row r="85" spans="2:52">
      <c r="B85" s="251"/>
      <c r="C85" s="246">
        <f>IF(B85=Háttér_listák!$B$121,1,0)</f>
        <v>0</v>
      </c>
      <c r="D85" s="246">
        <f t="shared" si="6"/>
        <v>12</v>
      </c>
      <c r="E85" s="247"/>
      <c r="F85" s="248"/>
      <c r="G85" s="247"/>
      <c r="H85" s="248"/>
      <c r="I85" s="249"/>
      <c r="J85" s="561"/>
      <c r="K85" s="574">
        <f>IF(B85=Háttér_listák!$B$121,"",Beruházási_ktg_input!I85*Beruházási_ktg_input!J85)</f>
        <v>0</v>
      </c>
      <c r="L85" s="576">
        <f>IF(B85=Háttér_listák!$B$121,SUMIF(Beruházási_ktg_input!D85:$D$107,Beruházási_ktg_input!D85+1,Beruházási_ktg_input!L85:$L$107),Beruházási_ktg_input!$K85)</f>
        <v>0</v>
      </c>
      <c r="M85" s="570"/>
      <c r="N85" s="566">
        <v>0</v>
      </c>
      <c r="O85" s="559">
        <f>IF(B85=Háttér_listák!$B$121,SUMIF(Beruházási_ktg_input!$D$107:D150,Beruházási_ktg_input!D85+1,$O$107:O150),L85+N85)</f>
        <v>0</v>
      </c>
      <c r="P85" s="249">
        <v>0</v>
      </c>
      <c r="Q85" s="251"/>
      <c r="R85" s="248"/>
      <c r="S85" s="248"/>
      <c r="T85" s="67">
        <f>IF($B85=Háttér_listák!$B$121,SUMIF($D$107:D150,D85+1,$T$107:T150),IF(Q85=Háttér_listák!$B$125,Beruházási_ktg_input!L85,0))</f>
        <v>0</v>
      </c>
      <c r="U85" s="51">
        <f>IF($B85=Háttér_listák!$B$121,SUMIF($D$107:D150,D85+1,$U$107:U150),IF(AND(Q85=Háttér_listák!$B$125,Beruházási_ktg_input!S85=Háttér_listák!$B$130,Főoldal!$C$15="Igen"),Beruházási_ktg_input!N85,0))</f>
        <v>0</v>
      </c>
      <c r="V85" s="51">
        <f t="shared" si="7"/>
        <v>0</v>
      </c>
      <c r="W85" s="51">
        <f>IF($B85=Háttér_listák!$B$121,SUMIF($D$107:D150,D85+1,$W$107:W150),IF(AND(Q85=Háttér_listák!$B$125,Beruházási_ktg_input!S85=Háttér_listák!$B$130,Főoldal!$C$15="Nem"),Beruházási_ktg_input!N85,0))</f>
        <v>0</v>
      </c>
      <c r="X85" s="51">
        <f>IF($B85=Háttér_listák!$B$121,SUMIF($D$107:D150,D85+1,$X$107:X150),IF(AND(Q85=Háttér_listák!$B$125,Beruházási_ktg_input!S85=Háttér_listák!$B$129),Beruházási_ktg_input!N85,0))</f>
        <v>0</v>
      </c>
      <c r="Y85" s="51">
        <f>IF($B85=Háttér_listák!$B$121,SUMIF($D$107:D150,D85+1,$Y$107:Y150),IF(Q85=Háttér_listák!$B$126,Beruházási_ktg_input!L85,0))</f>
        <v>0</v>
      </c>
      <c r="Z85" s="51">
        <f>IF($B85=Háttér_listák!$B$121,SUMIF($D$107:D150,D85+1,$Z$107:Z150),IF(AND(Q85=Háttér_listák!$B$126,Beruházási_ktg_input!S85=Háttér_listák!$B$129),Beruházási_ktg_input!N85,0))</f>
        <v>0</v>
      </c>
      <c r="AA85" s="51">
        <f>IF($B85=Háttér_listák!$B$121,SUMIF($D$107:D150,D85+1,$AA$107:AA150),IF(AND(Q85=Háttér_listák!$B$126,Beruházási_ktg_input!S85=Háttér_listák!$B$130),Beruházási_ktg_input!N85,0))</f>
        <v>0</v>
      </c>
      <c r="AB85" s="51">
        <f t="shared" si="8"/>
        <v>0</v>
      </c>
      <c r="AC85" s="51">
        <f t="shared" si="9"/>
        <v>0</v>
      </c>
      <c r="AD85" s="51">
        <f t="shared" si="10"/>
        <v>0</v>
      </c>
      <c r="AE85" s="68">
        <f t="shared" si="11"/>
        <v>0</v>
      </c>
      <c r="AF85" s="258"/>
      <c r="AG85" s="259"/>
      <c r="AH85" s="259"/>
      <c r="AI85" s="259"/>
      <c r="AJ85" s="260"/>
      <c r="AK85" s="70" t="str">
        <f>IF(SUM(AF85:AJ85)=0,"",IF(SUM(AF85:AJ85)=1,Háttér_listák!$B$133,Háttér_listák!$B$134))</f>
        <v/>
      </c>
      <c r="AL85" s="67">
        <f>IF($AE85=0,0,IF($B85=Háttér_listák!$B$122,Beruházási_ktg_input!$V85*Beruházási_ktg_input!AF85,""))</f>
        <v>0</v>
      </c>
      <c r="AM85" s="51">
        <f>IF($AE85=0,0,IF($B85=Háttér_listák!$B$122,Beruházási_ktg_input!$V85*Beruházási_ktg_input!AG85,""))</f>
        <v>0</v>
      </c>
      <c r="AN85" s="51">
        <f>IF($AE85=0,0,IF($B85=Háttér_listák!$B$122,Beruházási_ktg_input!$V85*Beruházási_ktg_input!AH85,""))</f>
        <v>0</v>
      </c>
      <c r="AO85" s="51">
        <f>IF($AE85=0,0,IF($B85=Háttér_listák!$B$122,Beruházási_ktg_input!$V85*Beruházási_ktg_input!AI85,""))</f>
        <v>0</v>
      </c>
      <c r="AP85" s="68">
        <f>IF($AE85=0,0,IF($B85=Háttér_listák!$B$122,Beruházási_ktg_input!$V85*Beruházási_ktg_input!AJ85,""))</f>
        <v>0</v>
      </c>
      <c r="AQ85" s="67">
        <f>IF($AE85=0,0,IF($B85=Háttér_listák!$B$122,Beruházási_ktg_input!$AD85*Beruházási_ktg_input!AF85,""))</f>
        <v>0</v>
      </c>
      <c r="AR85" s="51">
        <f>IF($AE85=0,0,IF($B85=Háttér_listák!$B$122,Beruházási_ktg_input!$AD85*Beruházási_ktg_input!AG85,""))</f>
        <v>0</v>
      </c>
      <c r="AS85" s="51">
        <f>IF($AE85=0,0,IF($B85=Háttér_listák!$B$122,Beruházási_ktg_input!$AD85*Beruházási_ktg_input!AH85,""))</f>
        <v>0</v>
      </c>
      <c r="AT85" s="51">
        <f>IF($AE85=0,0,IF($B85=Háttér_listák!$B$122,Beruházási_ktg_input!$AD85*Beruházási_ktg_input!AI85,""))</f>
        <v>0</v>
      </c>
      <c r="AU85" s="71">
        <f>IF($AE85=0,0,IF($B85=Háttér_listák!$B$122,Beruházási_ktg_input!$AD85*Beruházási_ktg_input!AJ85,""))</f>
        <v>0</v>
      </c>
      <c r="AV85" s="67">
        <f>IF($AE85=0,0,IF($B85=Háttér_listák!$B$122,($T85+$Y85)*AF85,""))</f>
        <v>0</v>
      </c>
      <c r="AW85" s="51">
        <f>IF($AE85=0,0,IF($B85=Háttér_listák!$B$122,($T85+$Y85)*AG85,""))</f>
        <v>0</v>
      </c>
      <c r="AX85" s="51">
        <f>IF($AE85=0,0,IF($B85=Háttér_listák!$B$122,($T85+$Y85)*AH85,""))</f>
        <v>0</v>
      </c>
      <c r="AY85" s="51">
        <f>IF($AE85=0,0,IF($B85=Háttér_listák!$B$122,($T85+$Y85)*AI85,""))</f>
        <v>0</v>
      </c>
      <c r="AZ85" s="68">
        <f>IF($AE85=0,0,IF($B85=Háttér_listák!$B$122,($T85+$Y85)*AJ85,""))</f>
        <v>0</v>
      </c>
    </row>
    <row r="86" spans="2:52">
      <c r="B86" s="251"/>
      <c r="C86" s="246">
        <f>IF(B86=Háttér_listák!$B$121,1,0)</f>
        <v>0</v>
      </c>
      <c r="D86" s="246">
        <f t="shared" si="6"/>
        <v>12</v>
      </c>
      <c r="E86" s="247"/>
      <c r="F86" s="248"/>
      <c r="G86" s="247"/>
      <c r="H86" s="248"/>
      <c r="I86" s="249"/>
      <c r="J86" s="561"/>
      <c r="K86" s="574">
        <f>IF(B86=Háttér_listák!$B$121,"",Beruházási_ktg_input!I86*Beruházási_ktg_input!J86)</f>
        <v>0</v>
      </c>
      <c r="L86" s="576">
        <f>IF(B86=Háttér_listák!$B$121,SUMIF(Beruházási_ktg_input!D86:$D$107,Beruházási_ktg_input!D86+1,Beruházási_ktg_input!L86:$L$107),Beruházási_ktg_input!$K86)</f>
        <v>0</v>
      </c>
      <c r="M86" s="570"/>
      <c r="N86" s="566">
        <v>0</v>
      </c>
      <c r="O86" s="559">
        <f>IF(B86=Háttér_listák!$B$121,SUMIF(Beruházási_ktg_input!$D$107:D151,Beruházási_ktg_input!D86+1,$O$107:O151),L86+N86)</f>
        <v>0</v>
      </c>
      <c r="P86" s="249">
        <v>0</v>
      </c>
      <c r="Q86" s="251"/>
      <c r="R86" s="248"/>
      <c r="S86" s="248"/>
      <c r="T86" s="67">
        <f>IF($B86=Háttér_listák!$B$121,SUMIF($D$107:D151,D86+1,$T$107:T151),IF(Q86=Háttér_listák!$B$125,Beruházási_ktg_input!L86,0))</f>
        <v>0</v>
      </c>
      <c r="U86" s="51">
        <f>IF($B86=Háttér_listák!$B$121,SUMIF($D$107:D151,D86+1,$U$107:U151),IF(AND(Q86=Háttér_listák!$B$125,Beruházási_ktg_input!S86=Háttér_listák!$B$130,Főoldal!$C$15="Igen"),Beruházási_ktg_input!N86,0))</f>
        <v>0</v>
      </c>
      <c r="V86" s="51">
        <f t="shared" si="7"/>
        <v>0</v>
      </c>
      <c r="W86" s="51">
        <f>IF($B86=Háttér_listák!$B$121,SUMIF($D$107:D151,D86+1,$W$107:W151),IF(AND(Q86=Háttér_listák!$B$125,Beruházási_ktg_input!S86=Háttér_listák!$B$130,Főoldal!$C$15="Nem"),Beruházási_ktg_input!N86,0))</f>
        <v>0</v>
      </c>
      <c r="X86" s="51">
        <f>IF($B86=Háttér_listák!$B$121,SUMIF($D$107:D151,D86+1,$X$107:X151),IF(AND(Q86=Háttér_listák!$B$125,Beruházási_ktg_input!S86=Háttér_listák!$B$129),Beruházási_ktg_input!N86,0))</f>
        <v>0</v>
      </c>
      <c r="Y86" s="51">
        <f>IF($B86=Háttér_listák!$B$121,SUMIF($D$107:D151,D86+1,$Y$107:Y151),IF(Q86=Háttér_listák!$B$126,Beruházási_ktg_input!L86,0))</f>
        <v>0</v>
      </c>
      <c r="Z86" s="51">
        <f>IF($B86=Háttér_listák!$B$121,SUMIF($D$107:D151,D86+1,$Z$107:Z151),IF(AND(Q86=Háttér_listák!$B$126,Beruházási_ktg_input!S86=Háttér_listák!$B$129),Beruházási_ktg_input!N86,0))</f>
        <v>0</v>
      </c>
      <c r="AA86" s="51">
        <f>IF($B86=Háttér_listák!$B$121,SUMIF($D$107:D151,D86+1,$AA$107:AA151),IF(AND(Q86=Háttér_listák!$B$126,Beruházási_ktg_input!S86=Háttér_listák!$B$130),Beruházási_ktg_input!N86,0))</f>
        <v>0</v>
      </c>
      <c r="AB86" s="51">
        <f t="shared" si="8"/>
        <v>0</v>
      </c>
      <c r="AC86" s="51">
        <f t="shared" si="9"/>
        <v>0</v>
      </c>
      <c r="AD86" s="51">
        <f t="shared" si="10"/>
        <v>0</v>
      </c>
      <c r="AE86" s="68">
        <f t="shared" si="11"/>
        <v>0</v>
      </c>
      <c r="AF86" s="258"/>
      <c r="AG86" s="259"/>
      <c r="AH86" s="259"/>
      <c r="AI86" s="259"/>
      <c r="AJ86" s="260"/>
      <c r="AK86" s="70" t="str">
        <f>IF(SUM(AF86:AJ86)=0,"",IF(SUM(AF86:AJ86)=1,Háttér_listák!$B$133,Háttér_listák!$B$134))</f>
        <v/>
      </c>
      <c r="AL86" s="67">
        <f>IF($AE86=0,0,IF($B86=Háttér_listák!$B$122,Beruházási_ktg_input!$V86*Beruházási_ktg_input!AF86,""))</f>
        <v>0</v>
      </c>
      <c r="AM86" s="51">
        <f>IF($AE86=0,0,IF($B86=Háttér_listák!$B$122,Beruházási_ktg_input!$V86*Beruházási_ktg_input!AG86,""))</f>
        <v>0</v>
      </c>
      <c r="AN86" s="51">
        <f>IF($AE86=0,0,IF($B86=Háttér_listák!$B$122,Beruházási_ktg_input!$V86*Beruházási_ktg_input!AH86,""))</f>
        <v>0</v>
      </c>
      <c r="AO86" s="51">
        <f>IF($AE86=0,0,IF($B86=Háttér_listák!$B$122,Beruházási_ktg_input!$V86*Beruházási_ktg_input!AI86,""))</f>
        <v>0</v>
      </c>
      <c r="AP86" s="68">
        <f>IF($AE86=0,0,IF($B86=Háttér_listák!$B$122,Beruházási_ktg_input!$V86*Beruházási_ktg_input!AJ86,""))</f>
        <v>0</v>
      </c>
      <c r="AQ86" s="67">
        <f>IF($AE86=0,0,IF($B86=Háttér_listák!$B$122,Beruházási_ktg_input!$AD86*Beruházási_ktg_input!AF86,""))</f>
        <v>0</v>
      </c>
      <c r="AR86" s="51">
        <f>IF($AE86=0,0,IF($B86=Háttér_listák!$B$122,Beruházási_ktg_input!$AD86*Beruházási_ktg_input!AG86,""))</f>
        <v>0</v>
      </c>
      <c r="AS86" s="51">
        <f>IF($AE86=0,0,IF($B86=Háttér_listák!$B$122,Beruházási_ktg_input!$AD86*Beruházási_ktg_input!AH86,""))</f>
        <v>0</v>
      </c>
      <c r="AT86" s="51">
        <f>IF($AE86=0,0,IF($B86=Háttér_listák!$B$122,Beruházási_ktg_input!$AD86*Beruházási_ktg_input!AI86,""))</f>
        <v>0</v>
      </c>
      <c r="AU86" s="71">
        <f>IF($AE86=0,0,IF($B86=Háttér_listák!$B$122,Beruházási_ktg_input!$AD86*Beruházási_ktg_input!AJ86,""))</f>
        <v>0</v>
      </c>
      <c r="AV86" s="67">
        <f>IF($AE86=0,0,IF($B86=Háttér_listák!$B$122,($T86+$Y86)*AF86,""))</f>
        <v>0</v>
      </c>
      <c r="AW86" s="51">
        <f>IF($AE86=0,0,IF($B86=Háttér_listák!$B$122,($T86+$Y86)*AG86,""))</f>
        <v>0</v>
      </c>
      <c r="AX86" s="51">
        <f>IF($AE86=0,0,IF($B86=Háttér_listák!$B$122,($T86+$Y86)*AH86,""))</f>
        <v>0</v>
      </c>
      <c r="AY86" s="51">
        <f>IF($AE86=0,0,IF($B86=Háttér_listák!$B$122,($T86+$Y86)*AI86,""))</f>
        <v>0</v>
      </c>
      <c r="AZ86" s="68">
        <f>IF($AE86=0,0,IF($B86=Háttér_listák!$B$122,($T86+$Y86)*AJ86,""))</f>
        <v>0</v>
      </c>
    </row>
    <row r="87" spans="2:52">
      <c r="B87" s="251"/>
      <c r="C87" s="246">
        <f>IF(B87=Háttér_listák!$B$121,1,0)</f>
        <v>0</v>
      </c>
      <c r="D87" s="246">
        <f t="shared" si="6"/>
        <v>12</v>
      </c>
      <c r="E87" s="247"/>
      <c r="F87" s="248"/>
      <c r="G87" s="247"/>
      <c r="H87" s="248"/>
      <c r="I87" s="249"/>
      <c r="J87" s="561"/>
      <c r="K87" s="574">
        <f>IF(B87=Háttér_listák!$B$121,"",Beruházási_ktg_input!I87*Beruházási_ktg_input!J87)</f>
        <v>0</v>
      </c>
      <c r="L87" s="576">
        <f>IF(B87=Háttér_listák!$B$121,SUMIF(Beruházási_ktg_input!D87:$D$107,Beruházási_ktg_input!D87+1,Beruházási_ktg_input!L87:$L$107),Beruházási_ktg_input!$K87)</f>
        <v>0</v>
      </c>
      <c r="M87" s="570"/>
      <c r="N87" s="566">
        <v>0</v>
      </c>
      <c r="O87" s="559">
        <f>IF(B87=Háttér_listák!$B$121,SUMIF(Beruházási_ktg_input!$D$107:D152,Beruházási_ktg_input!D87+1,$O$107:O152),L87+N87)</f>
        <v>0</v>
      </c>
      <c r="P87" s="249">
        <v>0</v>
      </c>
      <c r="Q87" s="251"/>
      <c r="R87" s="248"/>
      <c r="S87" s="248"/>
      <c r="T87" s="67">
        <f>IF($B87=Háttér_listák!$B$121,SUMIF($D$107:D152,D87+1,$T$107:T152),IF(Q87=Háttér_listák!$B$125,Beruházási_ktg_input!L87,0))</f>
        <v>0</v>
      </c>
      <c r="U87" s="51">
        <f>IF($B87=Háttér_listák!$B$121,SUMIF($D$107:D152,D87+1,$U$107:U152),IF(AND(Q87=Háttér_listák!$B$125,Beruházási_ktg_input!S87=Háttér_listák!$B$130,Főoldal!$C$15="Igen"),Beruházási_ktg_input!N87,0))</f>
        <v>0</v>
      </c>
      <c r="V87" s="51">
        <f t="shared" si="7"/>
        <v>0</v>
      </c>
      <c r="W87" s="51">
        <f>IF($B87=Háttér_listák!$B$121,SUMIF($D$107:D152,D87+1,$W$107:W152),IF(AND(Q87=Háttér_listák!$B$125,Beruházási_ktg_input!S87=Háttér_listák!$B$130,Főoldal!$C$15="Nem"),Beruházási_ktg_input!N87,0))</f>
        <v>0</v>
      </c>
      <c r="X87" s="51">
        <f>IF($B87=Háttér_listák!$B$121,SUMIF($D$107:D152,D87+1,$X$107:X152),IF(AND(Q87=Háttér_listák!$B$125,Beruházási_ktg_input!S87=Háttér_listák!$B$129),Beruházási_ktg_input!N87,0))</f>
        <v>0</v>
      </c>
      <c r="Y87" s="51">
        <f>IF($B87=Háttér_listák!$B$121,SUMIF($D$107:D152,D87+1,$Y$107:Y152),IF(Q87=Háttér_listák!$B$126,Beruházási_ktg_input!L87,0))</f>
        <v>0</v>
      </c>
      <c r="Z87" s="51">
        <f>IF($B87=Háttér_listák!$B$121,SUMIF($D$107:D152,D87+1,$Z$107:Z152),IF(AND(Q87=Háttér_listák!$B$126,Beruházási_ktg_input!S87=Háttér_listák!$B$129),Beruházási_ktg_input!N87,0))</f>
        <v>0</v>
      </c>
      <c r="AA87" s="51">
        <f>IF($B87=Háttér_listák!$B$121,SUMIF($D$107:D152,D87+1,$AA$107:AA152),IF(AND(Q87=Háttér_listák!$B$126,Beruházási_ktg_input!S87=Háttér_listák!$B$130),Beruházási_ktg_input!N87,0))</f>
        <v>0</v>
      </c>
      <c r="AB87" s="51">
        <f t="shared" si="8"/>
        <v>0</v>
      </c>
      <c r="AC87" s="51">
        <f t="shared" si="9"/>
        <v>0</v>
      </c>
      <c r="AD87" s="51">
        <f t="shared" si="10"/>
        <v>0</v>
      </c>
      <c r="AE87" s="68">
        <f t="shared" si="11"/>
        <v>0</v>
      </c>
      <c r="AF87" s="258"/>
      <c r="AG87" s="259"/>
      <c r="AH87" s="259"/>
      <c r="AI87" s="259"/>
      <c r="AJ87" s="260"/>
      <c r="AK87" s="70" t="str">
        <f>IF(SUM(AF87:AJ87)=0,"",IF(SUM(AF87:AJ87)=1,Háttér_listák!$B$133,Háttér_listák!$B$134))</f>
        <v/>
      </c>
      <c r="AL87" s="67">
        <f>IF($AE87=0,0,IF($B87=Háttér_listák!$B$122,Beruházási_ktg_input!$V87*Beruházási_ktg_input!AF87,""))</f>
        <v>0</v>
      </c>
      <c r="AM87" s="51">
        <f>IF($AE87=0,0,IF($B87=Háttér_listák!$B$122,Beruházási_ktg_input!$V87*Beruházási_ktg_input!AG87,""))</f>
        <v>0</v>
      </c>
      <c r="AN87" s="51">
        <f>IF($AE87=0,0,IF($B87=Háttér_listák!$B$122,Beruházási_ktg_input!$V87*Beruházási_ktg_input!AH87,""))</f>
        <v>0</v>
      </c>
      <c r="AO87" s="51">
        <f>IF($AE87=0,0,IF($B87=Háttér_listák!$B$122,Beruházási_ktg_input!$V87*Beruházási_ktg_input!AI87,""))</f>
        <v>0</v>
      </c>
      <c r="AP87" s="68">
        <f>IF($AE87=0,0,IF($B87=Háttér_listák!$B$122,Beruházási_ktg_input!$V87*Beruházási_ktg_input!AJ87,""))</f>
        <v>0</v>
      </c>
      <c r="AQ87" s="67">
        <f>IF($AE87=0,0,IF($B87=Háttér_listák!$B$122,Beruházási_ktg_input!$AD87*Beruházási_ktg_input!AF87,""))</f>
        <v>0</v>
      </c>
      <c r="AR87" s="51">
        <f>IF($AE87=0,0,IF($B87=Háttér_listák!$B$122,Beruházási_ktg_input!$AD87*Beruházási_ktg_input!AG87,""))</f>
        <v>0</v>
      </c>
      <c r="AS87" s="51">
        <f>IF($AE87=0,0,IF($B87=Háttér_listák!$B$122,Beruházási_ktg_input!$AD87*Beruházási_ktg_input!AH87,""))</f>
        <v>0</v>
      </c>
      <c r="AT87" s="51">
        <f>IF($AE87=0,0,IF($B87=Háttér_listák!$B$122,Beruházási_ktg_input!$AD87*Beruházási_ktg_input!AI87,""))</f>
        <v>0</v>
      </c>
      <c r="AU87" s="71">
        <f>IF($AE87=0,0,IF($B87=Háttér_listák!$B$122,Beruházási_ktg_input!$AD87*Beruházási_ktg_input!AJ87,""))</f>
        <v>0</v>
      </c>
      <c r="AV87" s="67">
        <f>IF($AE87=0,0,IF($B87=Háttér_listák!$B$122,($T87+$Y87)*AF87,""))</f>
        <v>0</v>
      </c>
      <c r="AW87" s="51">
        <f>IF($AE87=0,0,IF($B87=Háttér_listák!$B$122,($T87+$Y87)*AG87,""))</f>
        <v>0</v>
      </c>
      <c r="AX87" s="51">
        <f>IF($AE87=0,0,IF($B87=Háttér_listák!$B$122,($T87+$Y87)*AH87,""))</f>
        <v>0</v>
      </c>
      <c r="AY87" s="51">
        <f>IF($AE87=0,0,IF($B87=Háttér_listák!$B$122,($T87+$Y87)*AI87,""))</f>
        <v>0</v>
      </c>
      <c r="AZ87" s="68">
        <f>IF($AE87=0,0,IF($B87=Háttér_listák!$B$122,($T87+$Y87)*AJ87,""))</f>
        <v>0</v>
      </c>
    </row>
    <row r="88" spans="2:52">
      <c r="B88" s="251"/>
      <c r="C88" s="246">
        <f>IF(B88=Háttér_listák!$B$121,1,0)</f>
        <v>0</v>
      </c>
      <c r="D88" s="246">
        <f t="shared" si="6"/>
        <v>12</v>
      </c>
      <c r="E88" s="247"/>
      <c r="F88" s="248"/>
      <c r="G88" s="247"/>
      <c r="H88" s="248"/>
      <c r="I88" s="249"/>
      <c r="J88" s="561"/>
      <c r="K88" s="574">
        <f>IF(B88=Háttér_listák!$B$121,"",Beruházási_ktg_input!I88*Beruházási_ktg_input!J88)</f>
        <v>0</v>
      </c>
      <c r="L88" s="576">
        <f>IF(B88=Háttér_listák!$B$121,SUMIF(Beruházási_ktg_input!D88:$D$107,Beruházási_ktg_input!D88+1,Beruházási_ktg_input!L88:$L$107),Beruházási_ktg_input!$K88)</f>
        <v>0</v>
      </c>
      <c r="M88" s="570"/>
      <c r="N88" s="566">
        <v>0</v>
      </c>
      <c r="O88" s="559">
        <f>IF(B88=Háttér_listák!$B$121,SUMIF(Beruházási_ktg_input!$D$107:D153,Beruházási_ktg_input!D88+1,$O$107:O153),L88+N88)</f>
        <v>0</v>
      </c>
      <c r="P88" s="249">
        <v>0</v>
      </c>
      <c r="Q88" s="251"/>
      <c r="R88" s="248"/>
      <c r="S88" s="248"/>
      <c r="T88" s="67">
        <f>IF($B88=Háttér_listák!$B$121,SUMIF($D$107:D153,D88+1,$T$107:T153),IF(Q88=Háttér_listák!$B$125,Beruházási_ktg_input!L88,0))</f>
        <v>0</v>
      </c>
      <c r="U88" s="51">
        <f>IF($B88=Háttér_listák!$B$121,SUMIF($D$107:D153,D88+1,$U$107:U153),IF(AND(Q88=Háttér_listák!$B$125,Beruházási_ktg_input!S88=Háttér_listák!$B$130,Főoldal!$C$15="Igen"),Beruházási_ktg_input!N88,0))</f>
        <v>0</v>
      </c>
      <c r="V88" s="51">
        <f t="shared" si="7"/>
        <v>0</v>
      </c>
      <c r="W88" s="51">
        <f>IF($B88=Háttér_listák!$B$121,SUMIF($D$107:D153,D88+1,$W$107:W153),IF(AND(Q88=Háttér_listák!$B$125,Beruházási_ktg_input!S88=Háttér_listák!$B$130,Főoldal!$C$15="Nem"),Beruházási_ktg_input!N88,0))</f>
        <v>0</v>
      </c>
      <c r="X88" s="51">
        <f>IF($B88=Háttér_listák!$B$121,SUMIF($D$107:D153,D88+1,$X$107:X153),IF(AND(Q88=Háttér_listák!$B$125,Beruházási_ktg_input!S88=Háttér_listák!$B$129),Beruházási_ktg_input!N88,0))</f>
        <v>0</v>
      </c>
      <c r="Y88" s="51">
        <f>IF($B88=Háttér_listák!$B$121,SUMIF($D$107:D153,D88+1,$Y$107:Y153),IF(Q88=Háttér_listák!$B$126,Beruházási_ktg_input!L88,0))</f>
        <v>0</v>
      </c>
      <c r="Z88" s="51">
        <f>IF($B88=Háttér_listák!$B$121,SUMIF($D$107:D153,D88+1,$Z$107:Z153),IF(AND(Q88=Háttér_listák!$B$126,Beruházási_ktg_input!S88=Háttér_listák!$B$129),Beruházási_ktg_input!N88,0))</f>
        <v>0</v>
      </c>
      <c r="AA88" s="51">
        <f>IF($B88=Háttér_listák!$B$121,SUMIF($D$107:D153,D88+1,$AA$107:AA153),IF(AND(Q88=Háttér_listák!$B$126,Beruházási_ktg_input!S88=Háttér_listák!$B$130),Beruházási_ktg_input!N88,0))</f>
        <v>0</v>
      </c>
      <c r="AB88" s="51">
        <f t="shared" si="8"/>
        <v>0</v>
      </c>
      <c r="AC88" s="51">
        <f t="shared" si="9"/>
        <v>0</v>
      </c>
      <c r="AD88" s="51">
        <f t="shared" si="10"/>
        <v>0</v>
      </c>
      <c r="AE88" s="68">
        <f t="shared" si="11"/>
        <v>0</v>
      </c>
      <c r="AF88" s="258"/>
      <c r="AG88" s="259"/>
      <c r="AH88" s="259"/>
      <c r="AI88" s="259"/>
      <c r="AJ88" s="260"/>
      <c r="AK88" s="70" t="str">
        <f>IF(SUM(AF88:AJ88)=0,"",IF(SUM(AF88:AJ88)=1,Háttér_listák!$B$133,Háttér_listák!$B$134))</f>
        <v/>
      </c>
      <c r="AL88" s="67">
        <f>IF($AE88=0,0,IF($B88=Háttér_listák!$B$122,Beruházási_ktg_input!$V88*Beruházási_ktg_input!AF88,""))</f>
        <v>0</v>
      </c>
      <c r="AM88" s="51">
        <f>IF($AE88=0,0,IF($B88=Háttér_listák!$B$122,Beruházási_ktg_input!$V88*Beruházási_ktg_input!AG88,""))</f>
        <v>0</v>
      </c>
      <c r="AN88" s="51">
        <f>IF($AE88=0,0,IF($B88=Háttér_listák!$B$122,Beruházási_ktg_input!$V88*Beruházási_ktg_input!AH88,""))</f>
        <v>0</v>
      </c>
      <c r="AO88" s="51">
        <f>IF($AE88=0,0,IF($B88=Háttér_listák!$B$122,Beruházási_ktg_input!$V88*Beruházási_ktg_input!AI88,""))</f>
        <v>0</v>
      </c>
      <c r="AP88" s="68">
        <f>IF($AE88=0,0,IF($B88=Háttér_listák!$B$122,Beruházási_ktg_input!$V88*Beruházási_ktg_input!AJ88,""))</f>
        <v>0</v>
      </c>
      <c r="AQ88" s="67">
        <f>IF($AE88=0,0,IF($B88=Háttér_listák!$B$122,Beruházási_ktg_input!$AD88*Beruházási_ktg_input!AF88,""))</f>
        <v>0</v>
      </c>
      <c r="AR88" s="51">
        <f>IF($AE88=0,0,IF($B88=Háttér_listák!$B$122,Beruházási_ktg_input!$AD88*Beruházási_ktg_input!AG88,""))</f>
        <v>0</v>
      </c>
      <c r="AS88" s="51">
        <f>IF($AE88=0,0,IF($B88=Háttér_listák!$B$122,Beruházási_ktg_input!$AD88*Beruházási_ktg_input!AH88,""))</f>
        <v>0</v>
      </c>
      <c r="AT88" s="51">
        <f>IF($AE88=0,0,IF($B88=Háttér_listák!$B$122,Beruházási_ktg_input!$AD88*Beruházási_ktg_input!AI88,""))</f>
        <v>0</v>
      </c>
      <c r="AU88" s="71">
        <f>IF($AE88=0,0,IF($B88=Háttér_listák!$B$122,Beruházási_ktg_input!$AD88*Beruházási_ktg_input!AJ88,""))</f>
        <v>0</v>
      </c>
      <c r="AV88" s="67">
        <f>IF($AE88=0,0,IF($B88=Háttér_listák!$B$122,($T88+$Y88)*AF88,""))</f>
        <v>0</v>
      </c>
      <c r="AW88" s="51">
        <f>IF($AE88=0,0,IF($B88=Háttér_listák!$B$122,($T88+$Y88)*AG88,""))</f>
        <v>0</v>
      </c>
      <c r="AX88" s="51">
        <f>IF($AE88=0,0,IF($B88=Háttér_listák!$B$122,($T88+$Y88)*AH88,""))</f>
        <v>0</v>
      </c>
      <c r="AY88" s="51">
        <f>IF($AE88=0,0,IF($B88=Háttér_listák!$B$122,($T88+$Y88)*AI88,""))</f>
        <v>0</v>
      </c>
      <c r="AZ88" s="68">
        <f>IF($AE88=0,0,IF($B88=Háttér_listák!$B$122,($T88+$Y88)*AJ88,""))</f>
        <v>0</v>
      </c>
    </row>
    <row r="89" spans="2:52">
      <c r="B89" s="251"/>
      <c r="C89" s="246">
        <f>IF(B89=Háttér_listák!$B$121,1,0)</f>
        <v>0</v>
      </c>
      <c r="D89" s="246">
        <f t="shared" si="6"/>
        <v>12</v>
      </c>
      <c r="E89" s="247"/>
      <c r="F89" s="248"/>
      <c r="G89" s="247"/>
      <c r="H89" s="248"/>
      <c r="I89" s="249"/>
      <c r="J89" s="561"/>
      <c r="K89" s="574">
        <f>IF(B89=Háttér_listák!$B$121,"",Beruházási_ktg_input!I89*Beruházási_ktg_input!J89)</f>
        <v>0</v>
      </c>
      <c r="L89" s="576">
        <f>IF(B89=Háttér_listák!$B$121,SUMIF(Beruházási_ktg_input!D89:$D$107,Beruházási_ktg_input!D89+1,Beruházási_ktg_input!L89:$L$107),Beruházási_ktg_input!$K89)</f>
        <v>0</v>
      </c>
      <c r="M89" s="570"/>
      <c r="N89" s="566">
        <v>0</v>
      </c>
      <c r="O89" s="559">
        <f>IF(B89=Háttér_listák!$B$121,SUMIF(Beruházási_ktg_input!$D$107:D154,Beruházási_ktg_input!D89+1,$O$107:O154),L89+N89)</f>
        <v>0</v>
      </c>
      <c r="P89" s="249">
        <v>0</v>
      </c>
      <c r="Q89" s="251"/>
      <c r="R89" s="248"/>
      <c r="S89" s="248"/>
      <c r="T89" s="67">
        <f>IF($B89=Háttér_listák!$B$121,SUMIF($D$107:D154,D89+1,$T$107:T154),IF(Q89=Háttér_listák!$B$125,Beruházási_ktg_input!L89,0))</f>
        <v>0</v>
      </c>
      <c r="U89" s="51">
        <f>IF($B89=Háttér_listák!$B$121,SUMIF($D$107:D154,D89+1,$U$107:U154),IF(AND(Q89=Háttér_listák!$B$125,Beruházási_ktg_input!S89=Háttér_listák!$B$130,Főoldal!$C$15="Igen"),Beruházási_ktg_input!N89,0))</f>
        <v>0</v>
      </c>
      <c r="V89" s="51">
        <f t="shared" si="7"/>
        <v>0</v>
      </c>
      <c r="W89" s="51">
        <f>IF($B89=Háttér_listák!$B$121,SUMIF($D$107:D154,D89+1,$W$107:W154),IF(AND(Q89=Háttér_listák!$B$125,Beruházási_ktg_input!S89=Háttér_listák!$B$130,Főoldal!$C$15="Nem"),Beruházási_ktg_input!N89,0))</f>
        <v>0</v>
      </c>
      <c r="X89" s="51">
        <f>IF($B89=Háttér_listák!$B$121,SUMIF($D$107:D154,D89+1,$X$107:X154),IF(AND(Q89=Háttér_listák!$B$125,Beruházási_ktg_input!S89=Háttér_listák!$B$129),Beruházási_ktg_input!N89,0))</f>
        <v>0</v>
      </c>
      <c r="Y89" s="51">
        <f>IF($B89=Háttér_listák!$B$121,SUMIF($D$107:D154,D89+1,$Y$107:Y154),IF(Q89=Háttér_listák!$B$126,Beruházási_ktg_input!L89,0))</f>
        <v>0</v>
      </c>
      <c r="Z89" s="51">
        <f>IF($B89=Háttér_listák!$B$121,SUMIF($D$107:D154,D89+1,$Z$107:Z154),IF(AND(Q89=Háttér_listák!$B$126,Beruházási_ktg_input!S89=Háttér_listák!$B$129),Beruházási_ktg_input!N89,0))</f>
        <v>0</v>
      </c>
      <c r="AA89" s="51">
        <f>IF($B89=Háttér_listák!$B$121,SUMIF($D$107:D154,D89+1,$AA$107:AA154),IF(AND(Q89=Háttér_listák!$B$126,Beruházási_ktg_input!S89=Háttér_listák!$B$130),Beruházási_ktg_input!N89,0))</f>
        <v>0</v>
      </c>
      <c r="AB89" s="51">
        <f t="shared" si="8"/>
        <v>0</v>
      </c>
      <c r="AC89" s="51">
        <f t="shared" si="9"/>
        <v>0</v>
      </c>
      <c r="AD89" s="51">
        <f t="shared" si="10"/>
        <v>0</v>
      </c>
      <c r="AE89" s="68">
        <f t="shared" si="11"/>
        <v>0</v>
      </c>
      <c r="AF89" s="258"/>
      <c r="AG89" s="259"/>
      <c r="AH89" s="259"/>
      <c r="AI89" s="259"/>
      <c r="AJ89" s="260"/>
      <c r="AK89" s="70" t="str">
        <f>IF(SUM(AF89:AJ89)=0,"",IF(SUM(AF89:AJ89)=1,Háttér_listák!$B$133,Háttér_listák!$B$134))</f>
        <v/>
      </c>
      <c r="AL89" s="67">
        <f>IF($AE89=0,0,IF($B89=Háttér_listák!$B$122,Beruházási_ktg_input!$V89*Beruházási_ktg_input!AF89,""))</f>
        <v>0</v>
      </c>
      <c r="AM89" s="51">
        <f>IF($AE89=0,0,IF($B89=Háttér_listák!$B$122,Beruházási_ktg_input!$V89*Beruházási_ktg_input!AG89,""))</f>
        <v>0</v>
      </c>
      <c r="AN89" s="51">
        <f>IF($AE89=0,0,IF($B89=Háttér_listák!$B$122,Beruházási_ktg_input!$V89*Beruházási_ktg_input!AH89,""))</f>
        <v>0</v>
      </c>
      <c r="AO89" s="51">
        <f>IF($AE89=0,0,IF($B89=Háttér_listák!$B$122,Beruházási_ktg_input!$V89*Beruházási_ktg_input!AI89,""))</f>
        <v>0</v>
      </c>
      <c r="AP89" s="68">
        <f>IF($AE89=0,0,IF($B89=Háttér_listák!$B$122,Beruházási_ktg_input!$V89*Beruházási_ktg_input!AJ89,""))</f>
        <v>0</v>
      </c>
      <c r="AQ89" s="67">
        <f>IF($AE89=0,0,IF($B89=Háttér_listák!$B$122,Beruházási_ktg_input!$AD89*Beruházási_ktg_input!AF89,""))</f>
        <v>0</v>
      </c>
      <c r="AR89" s="51">
        <f>IF($AE89=0,0,IF($B89=Háttér_listák!$B$122,Beruházási_ktg_input!$AD89*Beruházási_ktg_input!AG89,""))</f>
        <v>0</v>
      </c>
      <c r="AS89" s="51">
        <f>IF($AE89=0,0,IF($B89=Háttér_listák!$B$122,Beruházási_ktg_input!$AD89*Beruházási_ktg_input!AH89,""))</f>
        <v>0</v>
      </c>
      <c r="AT89" s="51">
        <f>IF($AE89=0,0,IF($B89=Háttér_listák!$B$122,Beruházási_ktg_input!$AD89*Beruházási_ktg_input!AI89,""))</f>
        <v>0</v>
      </c>
      <c r="AU89" s="71">
        <f>IF($AE89=0,0,IF($B89=Háttér_listák!$B$122,Beruházási_ktg_input!$AD89*Beruházási_ktg_input!AJ89,""))</f>
        <v>0</v>
      </c>
      <c r="AV89" s="67">
        <f>IF($AE89=0,0,IF($B89=Háttér_listák!$B$122,($T89+$Y89)*AF89,""))</f>
        <v>0</v>
      </c>
      <c r="AW89" s="51">
        <f>IF($AE89=0,0,IF($B89=Háttér_listák!$B$122,($T89+$Y89)*AG89,""))</f>
        <v>0</v>
      </c>
      <c r="AX89" s="51">
        <f>IF($AE89=0,0,IF($B89=Háttér_listák!$B$122,($T89+$Y89)*AH89,""))</f>
        <v>0</v>
      </c>
      <c r="AY89" s="51">
        <f>IF($AE89=0,0,IF($B89=Háttér_listák!$B$122,($T89+$Y89)*AI89,""))</f>
        <v>0</v>
      </c>
      <c r="AZ89" s="68">
        <f>IF($AE89=0,0,IF($B89=Háttér_listák!$B$122,($T89+$Y89)*AJ89,""))</f>
        <v>0</v>
      </c>
    </row>
    <row r="90" spans="2:52">
      <c r="B90" s="251"/>
      <c r="C90" s="246">
        <f>IF(B90=Háttér_listák!$B$121,1,0)</f>
        <v>0</v>
      </c>
      <c r="D90" s="246">
        <f t="shared" si="6"/>
        <v>12</v>
      </c>
      <c r="E90" s="247"/>
      <c r="F90" s="248"/>
      <c r="G90" s="247"/>
      <c r="H90" s="248"/>
      <c r="I90" s="249"/>
      <c r="J90" s="561"/>
      <c r="K90" s="574">
        <f>IF(B90=Háttér_listák!$B$121,"",Beruházási_ktg_input!I90*Beruházási_ktg_input!J90)</f>
        <v>0</v>
      </c>
      <c r="L90" s="576">
        <f>IF(B90=Háttér_listák!$B$121,SUMIF(Beruházási_ktg_input!D90:$D$107,Beruházási_ktg_input!D90+1,Beruházási_ktg_input!L90:$L$107),Beruházási_ktg_input!$K90)</f>
        <v>0</v>
      </c>
      <c r="M90" s="570"/>
      <c r="N90" s="566">
        <v>0</v>
      </c>
      <c r="O90" s="559">
        <f>IF(B90=Háttér_listák!$B$121,SUMIF(Beruházási_ktg_input!$D$107:D155,Beruházási_ktg_input!D90+1,$O$107:O155),L90+N90)</f>
        <v>0</v>
      </c>
      <c r="P90" s="249">
        <v>0</v>
      </c>
      <c r="Q90" s="251"/>
      <c r="R90" s="248"/>
      <c r="S90" s="248"/>
      <c r="T90" s="67">
        <f>IF($B90=Háttér_listák!$B$121,SUMIF($D$107:D155,D90+1,$T$107:T155),IF(Q90=Háttér_listák!$B$125,Beruházási_ktg_input!L90,0))</f>
        <v>0</v>
      </c>
      <c r="U90" s="51">
        <f>IF($B90=Háttér_listák!$B$121,SUMIF($D$107:D155,D90+1,$U$107:U155),IF(AND(Q90=Háttér_listák!$B$125,Beruházási_ktg_input!S90=Háttér_listák!$B$130,Főoldal!$C$15="Igen"),Beruházási_ktg_input!N90,0))</f>
        <v>0</v>
      </c>
      <c r="V90" s="51">
        <f t="shared" si="7"/>
        <v>0</v>
      </c>
      <c r="W90" s="51">
        <f>IF($B90=Háttér_listák!$B$121,SUMIF($D$107:D155,D90+1,$W$107:W155),IF(AND(Q90=Háttér_listák!$B$125,Beruházási_ktg_input!S90=Háttér_listák!$B$130,Főoldal!$C$15="Nem"),Beruházási_ktg_input!N90,0))</f>
        <v>0</v>
      </c>
      <c r="X90" s="51">
        <f>IF($B90=Háttér_listák!$B$121,SUMIF($D$107:D155,D90+1,$X$107:X155),IF(AND(Q90=Háttér_listák!$B$125,Beruházási_ktg_input!S90=Háttér_listák!$B$129),Beruházási_ktg_input!N90,0))</f>
        <v>0</v>
      </c>
      <c r="Y90" s="51">
        <f>IF($B90=Háttér_listák!$B$121,SUMIF($D$107:D155,D90+1,$Y$107:Y155),IF(Q90=Háttér_listák!$B$126,Beruházási_ktg_input!L90,0))</f>
        <v>0</v>
      </c>
      <c r="Z90" s="51">
        <f>IF($B90=Háttér_listák!$B$121,SUMIF($D$107:D155,D90+1,$Z$107:Z155),IF(AND(Q90=Háttér_listák!$B$126,Beruházási_ktg_input!S90=Háttér_listák!$B$129),Beruházási_ktg_input!N90,0))</f>
        <v>0</v>
      </c>
      <c r="AA90" s="51">
        <f>IF($B90=Háttér_listák!$B$121,SUMIF($D$107:D155,D90+1,$AA$107:AA155),IF(AND(Q90=Háttér_listák!$B$126,Beruházási_ktg_input!S90=Háttér_listák!$B$130),Beruházási_ktg_input!N90,0))</f>
        <v>0</v>
      </c>
      <c r="AB90" s="51">
        <f t="shared" si="8"/>
        <v>0</v>
      </c>
      <c r="AC90" s="51">
        <f t="shared" si="9"/>
        <v>0</v>
      </c>
      <c r="AD90" s="51">
        <f t="shared" si="10"/>
        <v>0</v>
      </c>
      <c r="AE90" s="68">
        <f t="shared" si="11"/>
        <v>0</v>
      </c>
      <c r="AF90" s="258"/>
      <c r="AG90" s="259"/>
      <c r="AH90" s="259"/>
      <c r="AI90" s="259"/>
      <c r="AJ90" s="260"/>
      <c r="AK90" s="70" t="str">
        <f>IF(SUM(AF90:AJ90)=0,"",IF(SUM(AF90:AJ90)=1,Háttér_listák!$B$133,Háttér_listák!$B$134))</f>
        <v/>
      </c>
      <c r="AL90" s="67">
        <f>IF($AE90=0,0,IF($B90=Háttér_listák!$B$122,Beruházási_ktg_input!$V90*Beruházási_ktg_input!AF90,""))</f>
        <v>0</v>
      </c>
      <c r="AM90" s="51">
        <f>IF($AE90=0,0,IF($B90=Háttér_listák!$B$122,Beruházási_ktg_input!$V90*Beruházási_ktg_input!AG90,""))</f>
        <v>0</v>
      </c>
      <c r="AN90" s="51">
        <f>IF($AE90=0,0,IF($B90=Háttér_listák!$B$122,Beruházási_ktg_input!$V90*Beruházási_ktg_input!AH90,""))</f>
        <v>0</v>
      </c>
      <c r="AO90" s="51">
        <f>IF($AE90=0,0,IF($B90=Háttér_listák!$B$122,Beruházási_ktg_input!$V90*Beruházási_ktg_input!AI90,""))</f>
        <v>0</v>
      </c>
      <c r="AP90" s="68">
        <f>IF($AE90=0,0,IF($B90=Háttér_listák!$B$122,Beruházási_ktg_input!$V90*Beruházási_ktg_input!AJ90,""))</f>
        <v>0</v>
      </c>
      <c r="AQ90" s="67">
        <f>IF($AE90=0,0,IF($B90=Háttér_listák!$B$122,Beruházási_ktg_input!$AD90*Beruházási_ktg_input!AF90,""))</f>
        <v>0</v>
      </c>
      <c r="AR90" s="51">
        <f>IF($AE90=0,0,IF($B90=Háttér_listák!$B$122,Beruházási_ktg_input!$AD90*Beruházási_ktg_input!AG90,""))</f>
        <v>0</v>
      </c>
      <c r="AS90" s="51">
        <f>IF($AE90=0,0,IF($B90=Háttér_listák!$B$122,Beruházási_ktg_input!$AD90*Beruházási_ktg_input!AH90,""))</f>
        <v>0</v>
      </c>
      <c r="AT90" s="51">
        <f>IF($AE90=0,0,IF($B90=Háttér_listák!$B$122,Beruházási_ktg_input!$AD90*Beruházási_ktg_input!AI90,""))</f>
        <v>0</v>
      </c>
      <c r="AU90" s="71">
        <f>IF($AE90=0,0,IF($B90=Háttér_listák!$B$122,Beruházási_ktg_input!$AD90*Beruházási_ktg_input!AJ90,""))</f>
        <v>0</v>
      </c>
      <c r="AV90" s="67">
        <f>IF($AE90=0,0,IF($B90=Háttér_listák!$B$122,($T90+$Y90)*AF90,""))</f>
        <v>0</v>
      </c>
      <c r="AW90" s="51">
        <f>IF($AE90=0,0,IF($B90=Háttér_listák!$B$122,($T90+$Y90)*AG90,""))</f>
        <v>0</v>
      </c>
      <c r="AX90" s="51">
        <f>IF($AE90=0,0,IF($B90=Háttér_listák!$B$122,($T90+$Y90)*AH90,""))</f>
        <v>0</v>
      </c>
      <c r="AY90" s="51">
        <f>IF($AE90=0,0,IF($B90=Háttér_listák!$B$122,($T90+$Y90)*AI90,""))</f>
        <v>0</v>
      </c>
      <c r="AZ90" s="68">
        <f>IF($AE90=0,0,IF($B90=Háttér_listák!$B$122,($T90+$Y90)*AJ90,""))</f>
        <v>0</v>
      </c>
    </row>
    <row r="91" spans="2:52">
      <c r="B91" s="251"/>
      <c r="C91" s="246">
        <f>IF(B91=Háttér_listák!$B$121,1,0)</f>
        <v>0</v>
      </c>
      <c r="D91" s="246">
        <f t="shared" si="6"/>
        <v>12</v>
      </c>
      <c r="E91" s="247"/>
      <c r="F91" s="248"/>
      <c r="G91" s="247"/>
      <c r="H91" s="248"/>
      <c r="I91" s="249"/>
      <c r="J91" s="561"/>
      <c r="K91" s="574">
        <f>IF(B91=Háttér_listák!$B$121,"",Beruházási_ktg_input!I91*Beruházási_ktg_input!J91)</f>
        <v>0</v>
      </c>
      <c r="L91" s="576">
        <f>IF(B91=Háttér_listák!$B$121,SUMIF(Beruházási_ktg_input!D91:$D$107,Beruházási_ktg_input!D91+1,Beruházási_ktg_input!L91:$L$107),Beruházási_ktg_input!$K91)</f>
        <v>0</v>
      </c>
      <c r="M91" s="570"/>
      <c r="N91" s="566">
        <v>0</v>
      </c>
      <c r="O91" s="559">
        <f>IF(B91=Háttér_listák!$B$121,SUMIF(Beruházási_ktg_input!$D$107:D156,Beruházási_ktg_input!D91+1,$O$107:O156),L91+N91)</f>
        <v>0</v>
      </c>
      <c r="P91" s="249">
        <v>0</v>
      </c>
      <c r="Q91" s="251"/>
      <c r="R91" s="248"/>
      <c r="S91" s="248"/>
      <c r="T91" s="67">
        <f>IF($B91=Háttér_listák!$B$121,SUMIF($D$107:D156,D91+1,$T$107:T156),IF(Q91=Háttér_listák!$B$125,Beruházási_ktg_input!L91,0))</f>
        <v>0</v>
      </c>
      <c r="U91" s="51">
        <f>IF($B91=Háttér_listák!$B$121,SUMIF($D$107:D156,D91+1,$U$107:U156),IF(AND(Q91=Háttér_listák!$B$125,Beruházási_ktg_input!S91=Háttér_listák!$B$130,Főoldal!$C$15="Igen"),Beruházási_ktg_input!N91,0))</f>
        <v>0</v>
      </c>
      <c r="V91" s="51">
        <f t="shared" si="7"/>
        <v>0</v>
      </c>
      <c r="W91" s="51">
        <f>IF($B91=Háttér_listák!$B$121,SUMIF($D$107:D156,D91+1,$W$107:W156),IF(AND(Q91=Háttér_listák!$B$125,Beruházási_ktg_input!S91=Háttér_listák!$B$130,Főoldal!$C$15="Nem"),Beruházási_ktg_input!N91,0))</f>
        <v>0</v>
      </c>
      <c r="X91" s="51">
        <f>IF($B91=Háttér_listák!$B$121,SUMIF($D$107:D156,D91+1,$X$107:X156),IF(AND(Q91=Háttér_listák!$B$125,Beruházási_ktg_input!S91=Háttér_listák!$B$129),Beruházási_ktg_input!N91,0))</f>
        <v>0</v>
      </c>
      <c r="Y91" s="51">
        <f>IF($B91=Háttér_listák!$B$121,SUMIF($D$107:D156,D91+1,$Y$107:Y156),IF(Q91=Háttér_listák!$B$126,Beruházási_ktg_input!L91,0))</f>
        <v>0</v>
      </c>
      <c r="Z91" s="51">
        <f>IF($B91=Háttér_listák!$B$121,SUMIF($D$107:D156,D91+1,$Z$107:Z156),IF(AND(Q91=Háttér_listák!$B$126,Beruházási_ktg_input!S91=Háttér_listák!$B$129),Beruházási_ktg_input!N91,0))</f>
        <v>0</v>
      </c>
      <c r="AA91" s="51">
        <f>IF($B91=Háttér_listák!$B$121,SUMIF($D$107:D156,D91+1,$AA$107:AA156),IF(AND(Q91=Háttér_listák!$B$126,Beruházási_ktg_input!S91=Háttér_listák!$B$130),Beruházási_ktg_input!N91,0))</f>
        <v>0</v>
      </c>
      <c r="AB91" s="51">
        <f t="shared" si="8"/>
        <v>0</v>
      </c>
      <c r="AC91" s="51">
        <f t="shared" si="9"/>
        <v>0</v>
      </c>
      <c r="AD91" s="51">
        <f t="shared" si="10"/>
        <v>0</v>
      </c>
      <c r="AE91" s="68">
        <f t="shared" si="11"/>
        <v>0</v>
      </c>
      <c r="AF91" s="258"/>
      <c r="AG91" s="259"/>
      <c r="AH91" s="259"/>
      <c r="AI91" s="259"/>
      <c r="AJ91" s="260"/>
      <c r="AK91" s="70" t="str">
        <f>IF(SUM(AF91:AJ91)=0,"",IF(SUM(AF91:AJ91)=1,Háttér_listák!$B$133,Háttér_listák!$B$134))</f>
        <v/>
      </c>
      <c r="AL91" s="67">
        <f>IF($AE91=0,0,IF($B91=Háttér_listák!$B$122,Beruházási_ktg_input!$V91*Beruházási_ktg_input!AF91,""))</f>
        <v>0</v>
      </c>
      <c r="AM91" s="51">
        <f>IF($AE91=0,0,IF($B91=Háttér_listák!$B$122,Beruházási_ktg_input!$V91*Beruházási_ktg_input!AG91,""))</f>
        <v>0</v>
      </c>
      <c r="AN91" s="51">
        <f>IF($AE91=0,0,IF($B91=Háttér_listák!$B$122,Beruházási_ktg_input!$V91*Beruházási_ktg_input!AH91,""))</f>
        <v>0</v>
      </c>
      <c r="AO91" s="51">
        <f>IF($AE91=0,0,IF($B91=Háttér_listák!$B$122,Beruházási_ktg_input!$V91*Beruházási_ktg_input!AI91,""))</f>
        <v>0</v>
      </c>
      <c r="AP91" s="68">
        <f>IF($AE91=0,0,IF($B91=Háttér_listák!$B$122,Beruházási_ktg_input!$V91*Beruházási_ktg_input!AJ91,""))</f>
        <v>0</v>
      </c>
      <c r="AQ91" s="67">
        <f>IF($AE91=0,0,IF($B91=Háttér_listák!$B$122,Beruházási_ktg_input!$AD91*Beruházási_ktg_input!AF91,""))</f>
        <v>0</v>
      </c>
      <c r="AR91" s="51">
        <f>IF($AE91=0,0,IF($B91=Háttér_listák!$B$122,Beruházási_ktg_input!$AD91*Beruházási_ktg_input!AG91,""))</f>
        <v>0</v>
      </c>
      <c r="AS91" s="51">
        <f>IF($AE91=0,0,IF($B91=Háttér_listák!$B$122,Beruházási_ktg_input!$AD91*Beruházási_ktg_input!AH91,""))</f>
        <v>0</v>
      </c>
      <c r="AT91" s="51">
        <f>IF($AE91=0,0,IF($B91=Háttér_listák!$B$122,Beruházási_ktg_input!$AD91*Beruházási_ktg_input!AI91,""))</f>
        <v>0</v>
      </c>
      <c r="AU91" s="71">
        <f>IF($AE91=0,0,IF($B91=Háttér_listák!$B$122,Beruházási_ktg_input!$AD91*Beruházási_ktg_input!AJ91,""))</f>
        <v>0</v>
      </c>
      <c r="AV91" s="67">
        <f>IF($AE91=0,0,IF($B91=Háttér_listák!$B$122,($T91+$Y91)*AF91,""))</f>
        <v>0</v>
      </c>
      <c r="AW91" s="51">
        <f>IF($AE91=0,0,IF($B91=Háttér_listák!$B$122,($T91+$Y91)*AG91,""))</f>
        <v>0</v>
      </c>
      <c r="AX91" s="51">
        <f>IF($AE91=0,0,IF($B91=Háttér_listák!$B$122,($T91+$Y91)*AH91,""))</f>
        <v>0</v>
      </c>
      <c r="AY91" s="51">
        <f>IF($AE91=0,0,IF($B91=Háttér_listák!$B$122,($T91+$Y91)*AI91,""))</f>
        <v>0</v>
      </c>
      <c r="AZ91" s="68">
        <f>IF($AE91=0,0,IF($B91=Háttér_listák!$B$122,($T91+$Y91)*AJ91,""))</f>
        <v>0</v>
      </c>
    </row>
    <row r="92" spans="2:52">
      <c r="B92" s="251"/>
      <c r="C92" s="246">
        <f>IF(B92=Háttér_listák!$B$121,1,0)</f>
        <v>0</v>
      </c>
      <c r="D92" s="246">
        <f t="shared" si="6"/>
        <v>12</v>
      </c>
      <c r="E92" s="247"/>
      <c r="F92" s="248"/>
      <c r="G92" s="247"/>
      <c r="H92" s="248"/>
      <c r="I92" s="249"/>
      <c r="J92" s="561"/>
      <c r="K92" s="574">
        <f>IF(B92=Háttér_listák!$B$121,"",Beruházási_ktg_input!I92*Beruházási_ktg_input!J92)</f>
        <v>0</v>
      </c>
      <c r="L92" s="576">
        <f>IF(B92=Háttér_listák!$B$121,SUMIF(Beruházási_ktg_input!D92:$D$107,Beruházási_ktg_input!D92+1,Beruházási_ktg_input!L92:$L$107),Beruházási_ktg_input!$K92)</f>
        <v>0</v>
      </c>
      <c r="M92" s="570"/>
      <c r="N92" s="566">
        <v>0</v>
      </c>
      <c r="O92" s="559">
        <f>IF(B92=Háttér_listák!$B$121,SUMIF(Beruházási_ktg_input!$D$107:D157,Beruházási_ktg_input!D92+1,$O$107:O157),L92+N92)</f>
        <v>0</v>
      </c>
      <c r="P92" s="249">
        <v>0</v>
      </c>
      <c r="Q92" s="251"/>
      <c r="R92" s="248"/>
      <c r="S92" s="248"/>
      <c r="T92" s="67">
        <f>IF($B92=Háttér_listák!$B$121,SUMIF($D$107:D157,D92+1,$T$107:T157),IF(Q92=Háttér_listák!$B$125,Beruházási_ktg_input!L92,0))</f>
        <v>0</v>
      </c>
      <c r="U92" s="51">
        <f>IF($B92=Háttér_listák!$B$121,SUMIF($D$107:D157,D92+1,$U$107:U157),IF(AND(Q92=Háttér_listák!$B$125,Beruházási_ktg_input!S92=Háttér_listák!$B$130,Főoldal!$C$15="Igen"),Beruházási_ktg_input!N92,0))</f>
        <v>0</v>
      </c>
      <c r="V92" s="51">
        <f t="shared" si="7"/>
        <v>0</v>
      </c>
      <c r="W92" s="51">
        <f>IF($B92=Háttér_listák!$B$121,SUMIF($D$107:D157,D92+1,$W$107:W157),IF(AND(Q92=Háttér_listák!$B$125,Beruházási_ktg_input!S92=Háttér_listák!$B$130,Főoldal!$C$15="Nem"),Beruházási_ktg_input!N92,0))</f>
        <v>0</v>
      </c>
      <c r="X92" s="51">
        <f>IF($B92=Háttér_listák!$B$121,SUMIF($D$107:D157,D92+1,$X$107:X157),IF(AND(Q92=Háttér_listák!$B$125,Beruházási_ktg_input!S92=Háttér_listák!$B$129),Beruházási_ktg_input!N92,0))</f>
        <v>0</v>
      </c>
      <c r="Y92" s="51">
        <f>IF($B92=Háttér_listák!$B$121,SUMIF($D$107:D157,D92+1,$Y$107:Y157),IF(Q92=Háttér_listák!$B$126,Beruházási_ktg_input!L92,0))</f>
        <v>0</v>
      </c>
      <c r="Z92" s="51">
        <f>IF($B92=Háttér_listák!$B$121,SUMIF($D$107:D157,D92+1,$Z$107:Z157),IF(AND(Q92=Háttér_listák!$B$126,Beruházási_ktg_input!S92=Háttér_listák!$B$129),Beruházási_ktg_input!N92,0))</f>
        <v>0</v>
      </c>
      <c r="AA92" s="51">
        <f>IF($B92=Háttér_listák!$B$121,SUMIF($D$107:D157,D92+1,$AA$107:AA157),IF(AND(Q92=Háttér_listák!$B$126,Beruházási_ktg_input!S92=Háttér_listák!$B$130),Beruházási_ktg_input!N92,0))</f>
        <v>0</v>
      </c>
      <c r="AB92" s="51">
        <f t="shared" si="8"/>
        <v>0</v>
      </c>
      <c r="AC92" s="51">
        <f t="shared" si="9"/>
        <v>0</v>
      </c>
      <c r="AD92" s="51">
        <f t="shared" si="10"/>
        <v>0</v>
      </c>
      <c r="AE92" s="68">
        <f t="shared" si="11"/>
        <v>0</v>
      </c>
      <c r="AF92" s="258"/>
      <c r="AG92" s="259"/>
      <c r="AH92" s="259"/>
      <c r="AI92" s="259"/>
      <c r="AJ92" s="260"/>
      <c r="AK92" s="70" t="str">
        <f>IF(SUM(AF92:AJ92)=0,"",IF(SUM(AF92:AJ92)=1,Háttér_listák!$B$133,Háttér_listák!$B$134))</f>
        <v/>
      </c>
      <c r="AL92" s="67">
        <f>IF($AE92=0,0,IF($B92=Háttér_listák!$B$122,Beruházási_ktg_input!$V92*Beruházási_ktg_input!AF92,""))</f>
        <v>0</v>
      </c>
      <c r="AM92" s="51">
        <f>IF($AE92=0,0,IF($B92=Háttér_listák!$B$122,Beruházási_ktg_input!$V92*Beruházási_ktg_input!AG92,""))</f>
        <v>0</v>
      </c>
      <c r="AN92" s="51">
        <f>IF($AE92=0,0,IF($B92=Háttér_listák!$B$122,Beruházási_ktg_input!$V92*Beruházási_ktg_input!AH92,""))</f>
        <v>0</v>
      </c>
      <c r="AO92" s="51">
        <f>IF($AE92=0,0,IF($B92=Háttér_listák!$B$122,Beruházási_ktg_input!$V92*Beruházási_ktg_input!AI92,""))</f>
        <v>0</v>
      </c>
      <c r="AP92" s="68">
        <f>IF($AE92=0,0,IF($B92=Háttér_listák!$B$122,Beruházási_ktg_input!$V92*Beruházási_ktg_input!AJ92,""))</f>
        <v>0</v>
      </c>
      <c r="AQ92" s="67">
        <f>IF($AE92=0,0,IF($B92=Háttér_listák!$B$122,Beruházási_ktg_input!$AD92*Beruházási_ktg_input!AF92,""))</f>
        <v>0</v>
      </c>
      <c r="AR92" s="51">
        <f>IF($AE92=0,0,IF($B92=Háttér_listák!$B$122,Beruházási_ktg_input!$AD92*Beruházási_ktg_input!AG92,""))</f>
        <v>0</v>
      </c>
      <c r="AS92" s="51">
        <f>IF($AE92=0,0,IF($B92=Háttér_listák!$B$122,Beruházási_ktg_input!$AD92*Beruházási_ktg_input!AH92,""))</f>
        <v>0</v>
      </c>
      <c r="AT92" s="51">
        <f>IF($AE92=0,0,IF($B92=Háttér_listák!$B$122,Beruházási_ktg_input!$AD92*Beruházási_ktg_input!AI92,""))</f>
        <v>0</v>
      </c>
      <c r="AU92" s="71">
        <f>IF($AE92=0,0,IF($B92=Háttér_listák!$B$122,Beruházási_ktg_input!$AD92*Beruházási_ktg_input!AJ92,""))</f>
        <v>0</v>
      </c>
      <c r="AV92" s="67">
        <f>IF($AE92=0,0,IF($B92=Háttér_listák!$B$122,($T92+$Y92)*AF92,""))</f>
        <v>0</v>
      </c>
      <c r="AW92" s="51">
        <f>IF($AE92=0,0,IF($B92=Háttér_listák!$B$122,($T92+$Y92)*AG92,""))</f>
        <v>0</v>
      </c>
      <c r="AX92" s="51">
        <f>IF($AE92=0,0,IF($B92=Háttér_listák!$B$122,($T92+$Y92)*AH92,""))</f>
        <v>0</v>
      </c>
      <c r="AY92" s="51">
        <f>IF($AE92=0,0,IF($B92=Háttér_listák!$B$122,($T92+$Y92)*AI92,""))</f>
        <v>0</v>
      </c>
      <c r="AZ92" s="68">
        <f>IF($AE92=0,0,IF($B92=Háttér_listák!$B$122,($T92+$Y92)*AJ92,""))</f>
        <v>0</v>
      </c>
    </row>
    <row r="93" spans="2:52">
      <c r="B93" s="251"/>
      <c r="C93" s="246">
        <f>IF(B93=Háttér_listák!$B$121,1,0)</f>
        <v>0</v>
      </c>
      <c r="D93" s="246">
        <f t="shared" si="6"/>
        <v>12</v>
      </c>
      <c r="E93" s="247"/>
      <c r="F93" s="248"/>
      <c r="G93" s="247"/>
      <c r="H93" s="248"/>
      <c r="I93" s="249"/>
      <c r="J93" s="561"/>
      <c r="K93" s="574">
        <f>IF(B93=Háttér_listák!$B$121,"",Beruházási_ktg_input!I93*Beruházási_ktg_input!J93)</f>
        <v>0</v>
      </c>
      <c r="L93" s="576">
        <f>IF(B93=Háttér_listák!$B$121,SUMIF(Beruházási_ktg_input!D93:$D$107,Beruházási_ktg_input!D93+1,Beruházási_ktg_input!L93:$L$107),Beruházási_ktg_input!$K93)</f>
        <v>0</v>
      </c>
      <c r="M93" s="570"/>
      <c r="N93" s="566">
        <v>0</v>
      </c>
      <c r="O93" s="559">
        <f>IF(B93=Háttér_listák!$B$121,SUMIF(Beruházási_ktg_input!$D$107:D158,Beruházási_ktg_input!D93+1,$O$107:O158),L93+N93)</f>
        <v>0</v>
      </c>
      <c r="P93" s="249">
        <v>0</v>
      </c>
      <c r="Q93" s="251"/>
      <c r="R93" s="248"/>
      <c r="S93" s="248"/>
      <c r="T93" s="67">
        <f>IF($B93=Háttér_listák!$B$121,SUMIF($D$107:D158,D93+1,$T$107:T158),IF(Q93=Háttér_listák!$B$125,Beruházási_ktg_input!L93,0))</f>
        <v>0</v>
      </c>
      <c r="U93" s="51">
        <f>IF($B93=Háttér_listák!$B$121,SUMIF($D$107:D158,D93+1,$U$107:U158),IF(AND(Q93=Háttér_listák!$B$125,Beruházási_ktg_input!S93=Háttér_listák!$B$130,Főoldal!$C$15="Igen"),Beruházási_ktg_input!N93,0))</f>
        <v>0</v>
      </c>
      <c r="V93" s="51">
        <f t="shared" si="7"/>
        <v>0</v>
      </c>
      <c r="W93" s="51">
        <f>IF($B93=Háttér_listák!$B$121,SUMIF($D$107:D158,D93+1,$W$107:W158),IF(AND(Q93=Háttér_listák!$B$125,Beruházási_ktg_input!S93=Háttér_listák!$B$130,Főoldal!$C$15="Nem"),Beruházási_ktg_input!N93,0))</f>
        <v>0</v>
      </c>
      <c r="X93" s="51">
        <f>IF($B93=Háttér_listák!$B$121,SUMIF($D$107:D158,D93+1,$X$107:X158),IF(AND(Q93=Háttér_listák!$B$125,Beruházási_ktg_input!S93=Háttér_listák!$B$129),Beruházási_ktg_input!N93,0))</f>
        <v>0</v>
      </c>
      <c r="Y93" s="51">
        <f>IF($B93=Háttér_listák!$B$121,SUMIF($D$107:D158,D93+1,$Y$107:Y158),IF(Q93=Háttér_listák!$B$126,Beruházási_ktg_input!L93,0))</f>
        <v>0</v>
      </c>
      <c r="Z93" s="51">
        <f>IF($B93=Háttér_listák!$B$121,SUMIF($D$107:D158,D93+1,$Z$107:Z158),IF(AND(Q93=Háttér_listák!$B$126,Beruházási_ktg_input!S93=Háttér_listák!$B$129),Beruházási_ktg_input!N93,0))</f>
        <v>0</v>
      </c>
      <c r="AA93" s="51">
        <f>IF($B93=Háttér_listák!$B$121,SUMIF($D$107:D158,D93+1,$AA$107:AA158),IF(AND(Q93=Háttér_listák!$B$126,Beruházási_ktg_input!S93=Háttér_listák!$B$130),Beruházási_ktg_input!N93,0))</f>
        <v>0</v>
      </c>
      <c r="AB93" s="51">
        <f t="shared" si="8"/>
        <v>0</v>
      </c>
      <c r="AC93" s="51">
        <f t="shared" si="9"/>
        <v>0</v>
      </c>
      <c r="AD93" s="51">
        <f t="shared" si="10"/>
        <v>0</v>
      </c>
      <c r="AE93" s="68">
        <f t="shared" si="11"/>
        <v>0</v>
      </c>
      <c r="AF93" s="258"/>
      <c r="AG93" s="259"/>
      <c r="AH93" s="259"/>
      <c r="AI93" s="259"/>
      <c r="AJ93" s="260"/>
      <c r="AK93" s="70" t="str">
        <f>IF(SUM(AF93:AJ93)=0,"",IF(SUM(AF93:AJ93)=1,Háttér_listák!$B$133,Háttér_listák!$B$134))</f>
        <v/>
      </c>
      <c r="AL93" s="67">
        <f>IF($AE93=0,0,IF($B93=Háttér_listák!$B$122,Beruházási_ktg_input!$V93*Beruházási_ktg_input!AF93,""))</f>
        <v>0</v>
      </c>
      <c r="AM93" s="51">
        <f>IF($AE93=0,0,IF($B93=Háttér_listák!$B$122,Beruházási_ktg_input!$V93*Beruházási_ktg_input!AG93,""))</f>
        <v>0</v>
      </c>
      <c r="AN93" s="51">
        <f>IF($AE93=0,0,IF($B93=Háttér_listák!$B$122,Beruházási_ktg_input!$V93*Beruházási_ktg_input!AH93,""))</f>
        <v>0</v>
      </c>
      <c r="AO93" s="51">
        <f>IF($AE93=0,0,IF($B93=Háttér_listák!$B$122,Beruházási_ktg_input!$V93*Beruházási_ktg_input!AI93,""))</f>
        <v>0</v>
      </c>
      <c r="AP93" s="68">
        <f>IF($AE93=0,0,IF($B93=Háttér_listák!$B$122,Beruházási_ktg_input!$V93*Beruházási_ktg_input!AJ93,""))</f>
        <v>0</v>
      </c>
      <c r="AQ93" s="67">
        <f>IF($AE93=0,0,IF($B93=Háttér_listák!$B$122,Beruházási_ktg_input!$AD93*Beruházási_ktg_input!AF93,""))</f>
        <v>0</v>
      </c>
      <c r="AR93" s="51">
        <f>IF($AE93=0,0,IF($B93=Háttér_listák!$B$122,Beruházási_ktg_input!$AD93*Beruházási_ktg_input!AG93,""))</f>
        <v>0</v>
      </c>
      <c r="AS93" s="51">
        <f>IF($AE93=0,0,IF($B93=Háttér_listák!$B$122,Beruházási_ktg_input!$AD93*Beruházási_ktg_input!AH93,""))</f>
        <v>0</v>
      </c>
      <c r="AT93" s="51">
        <f>IF($AE93=0,0,IF($B93=Háttér_listák!$B$122,Beruházási_ktg_input!$AD93*Beruházási_ktg_input!AI93,""))</f>
        <v>0</v>
      </c>
      <c r="AU93" s="71">
        <f>IF($AE93=0,0,IF($B93=Háttér_listák!$B$122,Beruházási_ktg_input!$AD93*Beruházási_ktg_input!AJ93,""))</f>
        <v>0</v>
      </c>
      <c r="AV93" s="67">
        <f>IF($AE93=0,0,IF($B93=Háttér_listák!$B$122,($T93+$Y93)*AF93,""))</f>
        <v>0</v>
      </c>
      <c r="AW93" s="51">
        <f>IF($AE93=0,0,IF($B93=Háttér_listák!$B$122,($T93+$Y93)*AG93,""))</f>
        <v>0</v>
      </c>
      <c r="AX93" s="51">
        <f>IF($AE93=0,0,IF($B93=Háttér_listák!$B$122,($T93+$Y93)*AH93,""))</f>
        <v>0</v>
      </c>
      <c r="AY93" s="51">
        <f>IF($AE93=0,0,IF($B93=Háttér_listák!$B$122,($T93+$Y93)*AI93,""))</f>
        <v>0</v>
      </c>
      <c r="AZ93" s="68">
        <f>IF($AE93=0,0,IF($B93=Háttér_listák!$B$122,($T93+$Y93)*AJ93,""))</f>
        <v>0</v>
      </c>
    </row>
    <row r="94" spans="2:52">
      <c r="B94" s="251"/>
      <c r="C94" s="246">
        <f>IF(B94=Háttér_listák!$B$121,1,0)</f>
        <v>0</v>
      </c>
      <c r="D94" s="246">
        <f t="shared" si="6"/>
        <v>12</v>
      </c>
      <c r="E94" s="247"/>
      <c r="F94" s="248"/>
      <c r="G94" s="247"/>
      <c r="H94" s="248"/>
      <c r="I94" s="249"/>
      <c r="J94" s="561"/>
      <c r="K94" s="574">
        <f>IF(B94=Háttér_listák!$B$121,"",Beruházási_ktg_input!I94*Beruházási_ktg_input!J94)</f>
        <v>0</v>
      </c>
      <c r="L94" s="576">
        <f>IF(B94=Háttér_listák!$B$121,SUMIF(Beruházási_ktg_input!D94:$D$107,Beruházási_ktg_input!D94+1,Beruházási_ktg_input!L94:$L$107),Beruházási_ktg_input!$K94)</f>
        <v>0</v>
      </c>
      <c r="M94" s="570"/>
      <c r="N94" s="566">
        <v>0</v>
      </c>
      <c r="O94" s="559">
        <f>IF(B94=Háttér_listák!$B$121,SUMIF(Beruházási_ktg_input!$D$107:D159,Beruházási_ktg_input!D94+1,$O$107:O159),L94+N94)</f>
        <v>0</v>
      </c>
      <c r="P94" s="249">
        <v>0</v>
      </c>
      <c r="Q94" s="251"/>
      <c r="R94" s="248"/>
      <c r="S94" s="248"/>
      <c r="T94" s="67">
        <f>IF($B94=Háttér_listák!$B$121,SUMIF($D$107:D159,D94+1,$T$107:T159),IF(Q94=Háttér_listák!$B$125,Beruházási_ktg_input!L94,0))</f>
        <v>0</v>
      </c>
      <c r="U94" s="51">
        <f>IF($B94=Háttér_listák!$B$121,SUMIF($D$107:D159,D94+1,$U$107:U159),IF(AND(Q94=Háttér_listák!$B$125,Beruházási_ktg_input!S94=Háttér_listák!$B$130,Főoldal!$C$15="Igen"),Beruházási_ktg_input!N94,0))</f>
        <v>0</v>
      </c>
      <c r="V94" s="51">
        <f t="shared" si="7"/>
        <v>0</v>
      </c>
      <c r="W94" s="51">
        <f>IF($B94=Háttér_listák!$B$121,SUMIF($D$107:D159,D94+1,$W$107:W159),IF(AND(Q94=Háttér_listák!$B$125,Beruházási_ktg_input!S94=Háttér_listák!$B$130,Főoldal!$C$15="Nem"),Beruházási_ktg_input!N94,0))</f>
        <v>0</v>
      </c>
      <c r="X94" s="51">
        <f>IF($B94=Háttér_listák!$B$121,SUMIF($D$107:D159,D94+1,$X$107:X159),IF(AND(Q94=Háttér_listák!$B$125,Beruházási_ktg_input!S94=Háttér_listák!$B$129),Beruházási_ktg_input!N94,0))</f>
        <v>0</v>
      </c>
      <c r="Y94" s="51">
        <f>IF($B94=Háttér_listák!$B$121,SUMIF($D$107:D159,D94+1,$Y$107:Y159),IF(Q94=Háttér_listák!$B$126,Beruházási_ktg_input!L94,0))</f>
        <v>0</v>
      </c>
      <c r="Z94" s="51">
        <f>IF($B94=Háttér_listák!$B$121,SUMIF($D$107:D159,D94+1,$Z$107:Z159),IF(AND(Q94=Háttér_listák!$B$126,Beruházási_ktg_input!S94=Háttér_listák!$B$129),Beruházási_ktg_input!N94,0))</f>
        <v>0</v>
      </c>
      <c r="AA94" s="51">
        <f>IF($B94=Háttér_listák!$B$121,SUMIF($D$107:D159,D94+1,$AA$107:AA159),IF(AND(Q94=Háttér_listák!$B$126,Beruházási_ktg_input!S94=Háttér_listák!$B$130),Beruházási_ktg_input!N94,0))</f>
        <v>0</v>
      </c>
      <c r="AB94" s="51">
        <f t="shared" si="8"/>
        <v>0</v>
      </c>
      <c r="AC94" s="51">
        <f t="shared" si="9"/>
        <v>0</v>
      </c>
      <c r="AD94" s="51">
        <f t="shared" si="10"/>
        <v>0</v>
      </c>
      <c r="AE94" s="68">
        <f t="shared" si="11"/>
        <v>0</v>
      </c>
      <c r="AF94" s="258"/>
      <c r="AG94" s="259"/>
      <c r="AH94" s="259"/>
      <c r="AI94" s="259"/>
      <c r="AJ94" s="260"/>
      <c r="AK94" s="70" t="str">
        <f>IF(SUM(AF94:AJ94)=0,"",IF(SUM(AF94:AJ94)=1,Háttér_listák!$B$133,Háttér_listák!$B$134))</f>
        <v/>
      </c>
      <c r="AL94" s="67">
        <f>IF($AE94=0,0,IF($B94=Háttér_listák!$B$122,Beruházási_ktg_input!$V94*Beruházási_ktg_input!AF94,""))</f>
        <v>0</v>
      </c>
      <c r="AM94" s="51">
        <f>IF($AE94=0,0,IF($B94=Háttér_listák!$B$122,Beruházási_ktg_input!$V94*Beruházási_ktg_input!AG94,""))</f>
        <v>0</v>
      </c>
      <c r="AN94" s="51">
        <f>IF($AE94=0,0,IF($B94=Háttér_listák!$B$122,Beruházási_ktg_input!$V94*Beruházási_ktg_input!AH94,""))</f>
        <v>0</v>
      </c>
      <c r="AO94" s="51">
        <f>IF($AE94=0,0,IF($B94=Háttér_listák!$B$122,Beruházási_ktg_input!$V94*Beruházási_ktg_input!AI94,""))</f>
        <v>0</v>
      </c>
      <c r="AP94" s="68">
        <f>IF($AE94=0,0,IF($B94=Háttér_listák!$B$122,Beruházási_ktg_input!$V94*Beruházási_ktg_input!AJ94,""))</f>
        <v>0</v>
      </c>
      <c r="AQ94" s="67">
        <f>IF($AE94=0,0,IF($B94=Háttér_listák!$B$122,Beruházási_ktg_input!$AD94*Beruházási_ktg_input!AF94,""))</f>
        <v>0</v>
      </c>
      <c r="AR94" s="51">
        <f>IF($AE94=0,0,IF($B94=Háttér_listák!$B$122,Beruházási_ktg_input!$AD94*Beruházási_ktg_input!AG94,""))</f>
        <v>0</v>
      </c>
      <c r="AS94" s="51">
        <f>IF($AE94=0,0,IF($B94=Háttér_listák!$B$122,Beruházási_ktg_input!$AD94*Beruházási_ktg_input!AH94,""))</f>
        <v>0</v>
      </c>
      <c r="AT94" s="51">
        <f>IF($AE94=0,0,IF($B94=Háttér_listák!$B$122,Beruházási_ktg_input!$AD94*Beruházási_ktg_input!AI94,""))</f>
        <v>0</v>
      </c>
      <c r="AU94" s="71">
        <f>IF($AE94=0,0,IF($B94=Háttér_listák!$B$122,Beruházási_ktg_input!$AD94*Beruházási_ktg_input!AJ94,""))</f>
        <v>0</v>
      </c>
      <c r="AV94" s="67">
        <f>IF($AE94=0,0,IF($B94=Háttér_listák!$B$122,($T94+$Y94)*AF94,""))</f>
        <v>0</v>
      </c>
      <c r="AW94" s="51">
        <f>IF($AE94=0,0,IF($B94=Háttér_listák!$B$122,($T94+$Y94)*AG94,""))</f>
        <v>0</v>
      </c>
      <c r="AX94" s="51">
        <f>IF($AE94=0,0,IF($B94=Háttér_listák!$B$122,($T94+$Y94)*AH94,""))</f>
        <v>0</v>
      </c>
      <c r="AY94" s="51">
        <f>IF($AE94=0,0,IF($B94=Háttér_listák!$B$122,($T94+$Y94)*AI94,""))</f>
        <v>0</v>
      </c>
      <c r="AZ94" s="68">
        <f>IF($AE94=0,0,IF($B94=Háttér_listák!$B$122,($T94+$Y94)*AJ94,""))</f>
        <v>0</v>
      </c>
    </row>
    <row r="95" spans="2:52">
      <c r="B95" s="251"/>
      <c r="C95" s="246">
        <f>IF(B95=Háttér_listák!$B$121,1,0)</f>
        <v>0</v>
      </c>
      <c r="D95" s="246">
        <f t="shared" si="6"/>
        <v>12</v>
      </c>
      <c r="E95" s="247"/>
      <c r="F95" s="248"/>
      <c r="G95" s="247"/>
      <c r="H95" s="248"/>
      <c r="I95" s="249"/>
      <c r="J95" s="561"/>
      <c r="K95" s="574">
        <f>IF(B95=Háttér_listák!$B$121,"",Beruházási_ktg_input!I95*Beruházási_ktg_input!J95)</f>
        <v>0</v>
      </c>
      <c r="L95" s="576">
        <f>IF(B95=Háttér_listák!$B$121,SUMIF(Beruházási_ktg_input!D95:$D$107,Beruházási_ktg_input!D95+1,Beruházási_ktg_input!L95:$L$107),Beruházási_ktg_input!$K95)</f>
        <v>0</v>
      </c>
      <c r="M95" s="570"/>
      <c r="N95" s="566">
        <v>0</v>
      </c>
      <c r="O95" s="559">
        <f>IF(B95=Háttér_listák!$B$121,SUMIF(Beruházási_ktg_input!$D$107:D160,Beruházási_ktg_input!D95+1,$O$107:O160),L95+N95)</f>
        <v>0</v>
      </c>
      <c r="P95" s="249">
        <v>0</v>
      </c>
      <c r="Q95" s="251"/>
      <c r="R95" s="248"/>
      <c r="S95" s="248"/>
      <c r="T95" s="67">
        <f>IF($B95=Háttér_listák!$B$121,SUMIF($D$107:D160,D95+1,$T$107:T160),IF(Q95=Háttér_listák!$B$125,Beruházási_ktg_input!L95,0))</f>
        <v>0</v>
      </c>
      <c r="U95" s="51">
        <f>IF($B95=Háttér_listák!$B$121,SUMIF($D$107:D160,D95+1,$U$107:U160),IF(AND(Q95=Háttér_listák!$B$125,Beruházási_ktg_input!S95=Háttér_listák!$B$130,Főoldal!$C$15="Igen"),Beruházási_ktg_input!N95,0))</f>
        <v>0</v>
      </c>
      <c r="V95" s="51">
        <f t="shared" si="7"/>
        <v>0</v>
      </c>
      <c r="W95" s="51">
        <f>IF($B95=Háttér_listák!$B$121,SUMIF($D$107:D160,D95+1,$W$107:W160),IF(AND(Q95=Háttér_listák!$B$125,Beruházási_ktg_input!S95=Háttér_listák!$B$130,Főoldal!$C$15="Nem"),Beruházási_ktg_input!N95,0))</f>
        <v>0</v>
      </c>
      <c r="X95" s="51">
        <f>IF($B95=Háttér_listák!$B$121,SUMIF($D$107:D160,D95+1,$X$107:X160),IF(AND(Q95=Háttér_listák!$B$125,Beruházási_ktg_input!S95=Háttér_listák!$B$129),Beruházási_ktg_input!N95,0))</f>
        <v>0</v>
      </c>
      <c r="Y95" s="51">
        <f>IF($B95=Háttér_listák!$B$121,SUMIF($D$107:D160,D95+1,$Y$107:Y160),IF(Q95=Háttér_listák!$B$126,Beruházási_ktg_input!L95,0))</f>
        <v>0</v>
      </c>
      <c r="Z95" s="51">
        <f>IF($B95=Háttér_listák!$B$121,SUMIF($D$107:D160,D95+1,$Z$107:Z160),IF(AND(Q95=Háttér_listák!$B$126,Beruházási_ktg_input!S95=Háttér_listák!$B$129),Beruházási_ktg_input!N95,0))</f>
        <v>0</v>
      </c>
      <c r="AA95" s="51">
        <f>IF($B95=Háttér_listák!$B$121,SUMIF($D$107:D160,D95+1,$AA$107:AA160),IF(AND(Q95=Háttér_listák!$B$126,Beruházási_ktg_input!S95=Háttér_listák!$B$130),Beruházási_ktg_input!N95,0))</f>
        <v>0</v>
      </c>
      <c r="AB95" s="51">
        <f t="shared" si="8"/>
        <v>0</v>
      </c>
      <c r="AC95" s="51">
        <f t="shared" si="9"/>
        <v>0</v>
      </c>
      <c r="AD95" s="51">
        <f t="shared" si="10"/>
        <v>0</v>
      </c>
      <c r="AE95" s="68">
        <f t="shared" si="11"/>
        <v>0</v>
      </c>
      <c r="AF95" s="258"/>
      <c r="AG95" s="259"/>
      <c r="AH95" s="259"/>
      <c r="AI95" s="259"/>
      <c r="AJ95" s="260"/>
      <c r="AK95" s="70" t="str">
        <f>IF(SUM(AF95:AJ95)=0,"",IF(SUM(AF95:AJ95)=1,Háttér_listák!$B$133,Háttér_listák!$B$134))</f>
        <v/>
      </c>
      <c r="AL95" s="67">
        <f>IF($AE95=0,0,IF($B95=Háttér_listák!$B$122,Beruházási_ktg_input!$V95*Beruházási_ktg_input!AF95,""))</f>
        <v>0</v>
      </c>
      <c r="AM95" s="51">
        <f>IF($AE95=0,0,IF($B95=Háttér_listák!$B$122,Beruházási_ktg_input!$V95*Beruházási_ktg_input!AG95,""))</f>
        <v>0</v>
      </c>
      <c r="AN95" s="51">
        <f>IF($AE95=0,0,IF($B95=Háttér_listák!$B$122,Beruházási_ktg_input!$V95*Beruházási_ktg_input!AH95,""))</f>
        <v>0</v>
      </c>
      <c r="AO95" s="51">
        <f>IF($AE95=0,0,IF($B95=Háttér_listák!$B$122,Beruházási_ktg_input!$V95*Beruházási_ktg_input!AI95,""))</f>
        <v>0</v>
      </c>
      <c r="AP95" s="68">
        <f>IF($AE95=0,0,IF($B95=Háttér_listák!$B$122,Beruházási_ktg_input!$V95*Beruházási_ktg_input!AJ95,""))</f>
        <v>0</v>
      </c>
      <c r="AQ95" s="67">
        <f>IF($AE95=0,0,IF($B95=Háttér_listák!$B$122,Beruházási_ktg_input!$AD95*Beruházási_ktg_input!AF95,""))</f>
        <v>0</v>
      </c>
      <c r="AR95" s="51">
        <f>IF($AE95=0,0,IF($B95=Háttér_listák!$B$122,Beruházási_ktg_input!$AD95*Beruházási_ktg_input!AG95,""))</f>
        <v>0</v>
      </c>
      <c r="AS95" s="51">
        <f>IF($AE95=0,0,IF($B95=Háttér_listák!$B$122,Beruházási_ktg_input!$AD95*Beruházási_ktg_input!AH95,""))</f>
        <v>0</v>
      </c>
      <c r="AT95" s="51">
        <f>IF($AE95=0,0,IF($B95=Háttér_listák!$B$122,Beruházási_ktg_input!$AD95*Beruházási_ktg_input!AI95,""))</f>
        <v>0</v>
      </c>
      <c r="AU95" s="71">
        <f>IF($AE95=0,0,IF($B95=Háttér_listák!$B$122,Beruházási_ktg_input!$AD95*Beruházási_ktg_input!AJ95,""))</f>
        <v>0</v>
      </c>
      <c r="AV95" s="67">
        <f>IF($AE95=0,0,IF($B95=Háttér_listák!$B$122,($T95+$Y95)*AF95,""))</f>
        <v>0</v>
      </c>
      <c r="AW95" s="51">
        <f>IF($AE95=0,0,IF($B95=Háttér_listák!$B$122,($T95+$Y95)*AG95,""))</f>
        <v>0</v>
      </c>
      <c r="AX95" s="51">
        <f>IF($AE95=0,0,IF($B95=Háttér_listák!$B$122,($T95+$Y95)*AH95,""))</f>
        <v>0</v>
      </c>
      <c r="AY95" s="51">
        <f>IF($AE95=0,0,IF($B95=Háttér_listák!$B$122,($T95+$Y95)*AI95,""))</f>
        <v>0</v>
      </c>
      <c r="AZ95" s="68">
        <f>IF($AE95=0,0,IF($B95=Háttér_listák!$B$122,($T95+$Y95)*AJ95,""))</f>
        <v>0</v>
      </c>
    </row>
    <row r="96" spans="2:52">
      <c r="B96" s="251"/>
      <c r="C96" s="246">
        <f>IF(B96=Háttér_listák!$B$121,1,0)</f>
        <v>0</v>
      </c>
      <c r="D96" s="246">
        <f t="shared" si="6"/>
        <v>12</v>
      </c>
      <c r="E96" s="247"/>
      <c r="F96" s="248"/>
      <c r="G96" s="247"/>
      <c r="H96" s="248"/>
      <c r="I96" s="249"/>
      <c r="J96" s="561"/>
      <c r="K96" s="574">
        <f>IF(B96=Háttér_listák!$B$121,"",Beruházási_ktg_input!I96*Beruházási_ktg_input!J96)</f>
        <v>0</v>
      </c>
      <c r="L96" s="576">
        <f>IF(B96=Háttér_listák!$B$121,SUMIF(Beruházási_ktg_input!D96:$D$107,Beruházási_ktg_input!D96+1,Beruházási_ktg_input!L96:$L$107),Beruházási_ktg_input!$K96)</f>
        <v>0</v>
      </c>
      <c r="M96" s="570"/>
      <c r="N96" s="566">
        <v>0</v>
      </c>
      <c r="O96" s="559">
        <f>IF(B96=Háttér_listák!$B$121,SUMIF(Beruházási_ktg_input!$D$107:D161,Beruházási_ktg_input!D96+1,$O$107:O161),L96+N96)</f>
        <v>0</v>
      </c>
      <c r="P96" s="249">
        <v>0</v>
      </c>
      <c r="Q96" s="251"/>
      <c r="R96" s="248"/>
      <c r="S96" s="248"/>
      <c r="T96" s="67">
        <f>IF($B96=Háttér_listák!$B$121,SUMIF($D$107:D161,D96+1,$T$107:T161),IF(Q96=Háttér_listák!$B$125,Beruházási_ktg_input!L96,0))</f>
        <v>0</v>
      </c>
      <c r="U96" s="51">
        <f>IF($B96=Háttér_listák!$B$121,SUMIF($D$107:D161,D96+1,$U$107:U161),IF(AND(Q96=Háttér_listák!$B$125,Beruházási_ktg_input!S96=Háttér_listák!$B$130,Főoldal!$C$15="Igen"),Beruházási_ktg_input!N96,0))</f>
        <v>0</v>
      </c>
      <c r="V96" s="51">
        <f t="shared" si="7"/>
        <v>0</v>
      </c>
      <c r="W96" s="51">
        <f>IF($B96=Háttér_listák!$B$121,SUMIF($D$107:D161,D96+1,$W$107:W161),IF(AND(Q96=Háttér_listák!$B$125,Beruházási_ktg_input!S96=Háttér_listák!$B$130,Főoldal!$C$15="Nem"),Beruházási_ktg_input!N96,0))</f>
        <v>0</v>
      </c>
      <c r="X96" s="51">
        <f>IF($B96=Háttér_listák!$B$121,SUMIF($D$107:D161,D96+1,$X$107:X161),IF(AND(Q96=Háttér_listák!$B$125,Beruházási_ktg_input!S96=Háttér_listák!$B$129),Beruházási_ktg_input!N96,0))</f>
        <v>0</v>
      </c>
      <c r="Y96" s="51">
        <f>IF($B96=Háttér_listák!$B$121,SUMIF($D$107:D161,D96+1,$Y$107:Y161),IF(Q96=Háttér_listák!$B$126,Beruházási_ktg_input!L96,0))</f>
        <v>0</v>
      </c>
      <c r="Z96" s="51">
        <f>IF($B96=Háttér_listák!$B$121,SUMIF($D$107:D161,D96+1,$Z$107:Z161),IF(AND(Q96=Háttér_listák!$B$126,Beruházási_ktg_input!S96=Háttér_listák!$B$129),Beruházási_ktg_input!N96,0))</f>
        <v>0</v>
      </c>
      <c r="AA96" s="51">
        <f>IF($B96=Háttér_listák!$B$121,SUMIF($D$107:D161,D96+1,$AA$107:AA161),IF(AND(Q96=Háttér_listák!$B$126,Beruházási_ktg_input!S96=Háttér_listák!$B$130),Beruházási_ktg_input!N96,0))</f>
        <v>0</v>
      </c>
      <c r="AB96" s="51">
        <f t="shared" si="8"/>
        <v>0</v>
      </c>
      <c r="AC96" s="51">
        <f t="shared" si="9"/>
        <v>0</v>
      </c>
      <c r="AD96" s="51">
        <f t="shared" si="10"/>
        <v>0</v>
      </c>
      <c r="AE96" s="68">
        <f t="shared" si="11"/>
        <v>0</v>
      </c>
      <c r="AF96" s="258"/>
      <c r="AG96" s="259"/>
      <c r="AH96" s="259"/>
      <c r="AI96" s="259"/>
      <c r="AJ96" s="260"/>
      <c r="AK96" s="70" t="str">
        <f>IF(SUM(AF96:AJ96)=0,"",IF(SUM(AF96:AJ96)=1,Háttér_listák!$B$133,Háttér_listák!$B$134))</f>
        <v/>
      </c>
      <c r="AL96" s="67">
        <f>IF($AE96=0,0,IF($B96=Háttér_listák!$B$122,Beruházási_ktg_input!$V96*Beruházási_ktg_input!AF96,""))</f>
        <v>0</v>
      </c>
      <c r="AM96" s="51">
        <f>IF($AE96=0,0,IF($B96=Háttér_listák!$B$122,Beruházási_ktg_input!$V96*Beruházási_ktg_input!AG96,""))</f>
        <v>0</v>
      </c>
      <c r="AN96" s="51">
        <f>IF($AE96=0,0,IF($B96=Háttér_listák!$B$122,Beruházási_ktg_input!$V96*Beruházási_ktg_input!AH96,""))</f>
        <v>0</v>
      </c>
      <c r="AO96" s="51">
        <f>IF($AE96=0,0,IF($B96=Háttér_listák!$B$122,Beruházási_ktg_input!$V96*Beruházási_ktg_input!AI96,""))</f>
        <v>0</v>
      </c>
      <c r="AP96" s="68">
        <f>IF($AE96=0,0,IF($B96=Háttér_listák!$B$122,Beruházási_ktg_input!$V96*Beruházási_ktg_input!AJ96,""))</f>
        <v>0</v>
      </c>
      <c r="AQ96" s="67">
        <f>IF($AE96=0,0,IF($B96=Háttér_listák!$B$122,Beruházási_ktg_input!$AD96*Beruházási_ktg_input!AF96,""))</f>
        <v>0</v>
      </c>
      <c r="AR96" s="51">
        <f>IF($AE96=0,0,IF($B96=Háttér_listák!$B$122,Beruházási_ktg_input!$AD96*Beruházási_ktg_input!AG96,""))</f>
        <v>0</v>
      </c>
      <c r="AS96" s="51">
        <f>IF($AE96=0,0,IF($B96=Háttér_listák!$B$122,Beruházási_ktg_input!$AD96*Beruházási_ktg_input!AH96,""))</f>
        <v>0</v>
      </c>
      <c r="AT96" s="51">
        <f>IF($AE96=0,0,IF($B96=Háttér_listák!$B$122,Beruházási_ktg_input!$AD96*Beruházási_ktg_input!AI96,""))</f>
        <v>0</v>
      </c>
      <c r="AU96" s="71">
        <f>IF($AE96=0,0,IF($B96=Háttér_listák!$B$122,Beruházási_ktg_input!$AD96*Beruházási_ktg_input!AJ96,""))</f>
        <v>0</v>
      </c>
      <c r="AV96" s="67">
        <f>IF($AE96=0,0,IF($B96=Háttér_listák!$B$122,($T96+$Y96)*AF96,""))</f>
        <v>0</v>
      </c>
      <c r="AW96" s="51">
        <f>IF($AE96=0,0,IF($B96=Háttér_listák!$B$122,($T96+$Y96)*AG96,""))</f>
        <v>0</v>
      </c>
      <c r="AX96" s="51">
        <f>IF($AE96=0,0,IF($B96=Háttér_listák!$B$122,($T96+$Y96)*AH96,""))</f>
        <v>0</v>
      </c>
      <c r="AY96" s="51">
        <f>IF($AE96=0,0,IF($B96=Háttér_listák!$B$122,($T96+$Y96)*AI96,""))</f>
        <v>0</v>
      </c>
      <c r="AZ96" s="68">
        <f>IF($AE96=0,0,IF($B96=Háttér_listák!$B$122,($T96+$Y96)*AJ96,""))</f>
        <v>0</v>
      </c>
    </row>
    <row r="97" spans="2:52">
      <c r="B97" s="251"/>
      <c r="C97" s="246">
        <f>IF(B97=Háttér_listák!$B$121,1,0)</f>
        <v>0</v>
      </c>
      <c r="D97" s="246">
        <f t="shared" si="6"/>
        <v>12</v>
      </c>
      <c r="E97" s="247"/>
      <c r="F97" s="248"/>
      <c r="G97" s="247"/>
      <c r="H97" s="248"/>
      <c r="I97" s="249"/>
      <c r="J97" s="561"/>
      <c r="K97" s="574">
        <f>IF(B97=Háttér_listák!$B$121,"",Beruházási_ktg_input!I97*Beruházási_ktg_input!J97)</f>
        <v>0</v>
      </c>
      <c r="L97" s="576">
        <f>IF(B97=Háttér_listák!$B$121,SUMIF(Beruházási_ktg_input!D97:$D$107,Beruházási_ktg_input!D97+1,Beruházási_ktg_input!L97:$L$107),Beruházási_ktg_input!$K97)</f>
        <v>0</v>
      </c>
      <c r="M97" s="570"/>
      <c r="N97" s="566">
        <v>0</v>
      </c>
      <c r="O97" s="559">
        <f>IF(B97=Háttér_listák!$B$121,SUMIF(Beruházási_ktg_input!$D$107:D162,Beruházási_ktg_input!D97+1,$O$107:O162),L97+N97)</f>
        <v>0</v>
      </c>
      <c r="P97" s="249">
        <v>0</v>
      </c>
      <c r="Q97" s="251"/>
      <c r="R97" s="248"/>
      <c r="S97" s="248"/>
      <c r="T97" s="67">
        <f>IF($B97=Háttér_listák!$B$121,SUMIF($D$107:D162,D97+1,$T$107:T162),IF(Q97=Háttér_listák!$B$125,Beruházási_ktg_input!L97,0))</f>
        <v>0</v>
      </c>
      <c r="U97" s="51">
        <f>IF($B97=Háttér_listák!$B$121,SUMIF($D$107:D162,D97+1,$U$107:U162),IF(AND(Q97=Háttér_listák!$B$125,Beruházási_ktg_input!S97=Háttér_listák!$B$130,Főoldal!$C$15="Igen"),Beruházási_ktg_input!N97,0))</f>
        <v>0</v>
      </c>
      <c r="V97" s="51">
        <f t="shared" si="7"/>
        <v>0</v>
      </c>
      <c r="W97" s="51">
        <f>IF($B97=Háttér_listák!$B$121,SUMIF($D$107:D162,D97+1,$W$107:W162),IF(AND(Q97=Háttér_listák!$B$125,Beruházási_ktg_input!S97=Háttér_listák!$B$130,Főoldal!$C$15="Nem"),Beruházási_ktg_input!N97,0))</f>
        <v>0</v>
      </c>
      <c r="X97" s="51">
        <f>IF($B97=Háttér_listák!$B$121,SUMIF($D$107:D162,D97+1,$X$107:X162),IF(AND(Q97=Háttér_listák!$B$125,Beruházási_ktg_input!S97=Háttér_listák!$B$129),Beruházási_ktg_input!N97,0))</f>
        <v>0</v>
      </c>
      <c r="Y97" s="51">
        <f>IF($B97=Háttér_listák!$B$121,SUMIF($D$107:D162,D97+1,$Y$107:Y162),IF(Q97=Háttér_listák!$B$126,Beruházási_ktg_input!L97,0))</f>
        <v>0</v>
      </c>
      <c r="Z97" s="51">
        <f>IF($B97=Háttér_listák!$B$121,SUMIF($D$107:D162,D97+1,$Z$107:Z162),IF(AND(Q97=Háttér_listák!$B$126,Beruházási_ktg_input!S97=Háttér_listák!$B$129),Beruházási_ktg_input!N97,0))</f>
        <v>0</v>
      </c>
      <c r="AA97" s="51">
        <f>IF($B97=Háttér_listák!$B$121,SUMIF($D$107:D162,D97+1,$AA$107:AA162),IF(AND(Q97=Háttér_listák!$B$126,Beruházási_ktg_input!S97=Háttér_listák!$B$130),Beruházási_ktg_input!N97,0))</f>
        <v>0</v>
      </c>
      <c r="AB97" s="51">
        <f t="shared" si="8"/>
        <v>0</v>
      </c>
      <c r="AC97" s="51">
        <f t="shared" si="9"/>
        <v>0</v>
      </c>
      <c r="AD97" s="51">
        <f t="shared" si="10"/>
        <v>0</v>
      </c>
      <c r="AE97" s="68">
        <f t="shared" si="11"/>
        <v>0</v>
      </c>
      <c r="AF97" s="258"/>
      <c r="AG97" s="259"/>
      <c r="AH97" s="259"/>
      <c r="AI97" s="259"/>
      <c r="AJ97" s="260"/>
      <c r="AK97" s="70" t="str">
        <f>IF(SUM(AF97:AJ97)=0,"",IF(SUM(AF97:AJ97)=1,Háttér_listák!$B$133,Háttér_listák!$B$134))</f>
        <v/>
      </c>
      <c r="AL97" s="67">
        <f>IF($AE97=0,0,IF($B97=Háttér_listák!$B$122,Beruházási_ktg_input!$V97*Beruházási_ktg_input!AF97,""))</f>
        <v>0</v>
      </c>
      <c r="AM97" s="51">
        <f>IF($AE97=0,0,IF($B97=Háttér_listák!$B$122,Beruházási_ktg_input!$V97*Beruházási_ktg_input!AG97,""))</f>
        <v>0</v>
      </c>
      <c r="AN97" s="51">
        <f>IF($AE97=0,0,IF($B97=Háttér_listák!$B$122,Beruházási_ktg_input!$V97*Beruházási_ktg_input!AH97,""))</f>
        <v>0</v>
      </c>
      <c r="AO97" s="51">
        <f>IF($AE97=0,0,IF($B97=Háttér_listák!$B$122,Beruházási_ktg_input!$V97*Beruházási_ktg_input!AI97,""))</f>
        <v>0</v>
      </c>
      <c r="AP97" s="68">
        <f>IF($AE97=0,0,IF($B97=Háttér_listák!$B$122,Beruházási_ktg_input!$V97*Beruházási_ktg_input!AJ97,""))</f>
        <v>0</v>
      </c>
      <c r="AQ97" s="67">
        <f>IF($AE97=0,0,IF($B97=Háttér_listák!$B$122,Beruházási_ktg_input!$AD97*Beruházási_ktg_input!AF97,""))</f>
        <v>0</v>
      </c>
      <c r="AR97" s="51">
        <f>IF($AE97=0,0,IF($B97=Háttér_listák!$B$122,Beruházási_ktg_input!$AD97*Beruházási_ktg_input!AG97,""))</f>
        <v>0</v>
      </c>
      <c r="AS97" s="51">
        <f>IF($AE97=0,0,IF($B97=Háttér_listák!$B$122,Beruházási_ktg_input!$AD97*Beruházási_ktg_input!AH97,""))</f>
        <v>0</v>
      </c>
      <c r="AT97" s="51">
        <f>IF($AE97=0,0,IF($B97=Háttér_listák!$B$122,Beruházási_ktg_input!$AD97*Beruházási_ktg_input!AI97,""))</f>
        <v>0</v>
      </c>
      <c r="AU97" s="71">
        <f>IF($AE97=0,0,IF($B97=Háttér_listák!$B$122,Beruházási_ktg_input!$AD97*Beruházási_ktg_input!AJ97,""))</f>
        <v>0</v>
      </c>
      <c r="AV97" s="67">
        <f>IF($AE97=0,0,IF($B97=Háttér_listák!$B$122,($T97+$Y97)*AF97,""))</f>
        <v>0</v>
      </c>
      <c r="AW97" s="51">
        <f>IF($AE97=0,0,IF($B97=Háttér_listák!$B$122,($T97+$Y97)*AG97,""))</f>
        <v>0</v>
      </c>
      <c r="AX97" s="51">
        <f>IF($AE97=0,0,IF($B97=Háttér_listák!$B$122,($T97+$Y97)*AH97,""))</f>
        <v>0</v>
      </c>
      <c r="AY97" s="51">
        <f>IF($AE97=0,0,IF($B97=Háttér_listák!$B$122,($T97+$Y97)*AI97,""))</f>
        <v>0</v>
      </c>
      <c r="AZ97" s="68">
        <f>IF($AE97=0,0,IF($B97=Háttér_listák!$B$122,($T97+$Y97)*AJ97,""))</f>
        <v>0</v>
      </c>
    </row>
    <row r="98" spans="2:52">
      <c r="B98" s="251"/>
      <c r="C98" s="246">
        <f>IF(B98=Háttér_listák!$B$121,1,0)</f>
        <v>0</v>
      </c>
      <c r="D98" s="246">
        <f t="shared" si="6"/>
        <v>12</v>
      </c>
      <c r="E98" s="247"/>
      <c r="F98" s="248"/>
      <c r="G98" s="247"/>
      <c r="H98" s="248"/>
      <c r="I98" s="249"/>
      <c r="J98" s="561"/>
      <c r="K98" s="574">
        <f>IF(B98=Háttér_listák!$B$121,"",Beruházási_ktg_input!I98*Beruházási_ktg_input!J98)</f>
        <v>0</v>
      </c>
      <c r="L98" s="576">
        <f>IF(B98=Háttér_listák!$B$121,SUMIF(Beruházási_ktg_input!D98:$D$107,Beruházási_ktg_input!D98+1,Beruházási_ktg_input!L98:$L$107),Beruházási_ktg_input!$K98)</f>
        <v>0</v>
      </c>
      <c r="M98" s="570"/>
      <c r="N98" s="566">
        <v>0</v>
      </c>
      <c r="O98" s="559">
        <f>IF(B98=Háttér_listák!$B$121,SUMIF(Beruházási_ktg_input!$D$107:D163,Beruházási_ktg_input!D98+1,$O$107:O163),L98+N98)</f>
        <v>0</v>
      </c>
      <c r="P98" s="249">
        <v>0</v>
      </c>
      <c r="Q98" s="251"/>
      <c r="R98" s="248"/>
      <c r="S98" s="248"/>
      <c r="T98" s="67">
        <f>IF($B98=Háttér_listák!$B$121,SUMIF($D$107:D163,D98+1,$T$107:T163),IF(Q98=Háttér_listák!$B$125,Beruházási_ktg_input!L98,0))</f>
        <v>0</v>
      </c>
      <c r="U98" s="51">
        <f>IF($B98=Háttér_listák!$B$121,SUMIF($D$107:D163,D98+1,$U$107:U163),IF(AND(Q98=Háttér_listák!$B$125,Beruházási_ktg_input!S98=Háttér_listák!$B$130,Főoldal!$C$15="Igen"),Beruházási_ktg_input!N98,0))</f>
        <v>0</v>
      </c>
      <c r="V98" s="51">
        <f t="shared" si="7"/>
        <v>0</v>
      </c>
      <c r="W98" s="51">
        <f>IF($B98=Háttér_listák!$B$121,SUMIF($D$107:D163,D98+1,$W$107:W163),IF(AND(Q98=Háttér_listák!$B$125,Beruházási_ktg_input!S98=Háttér_listák!$B$130,Főoldal!$C$15="Nem"),Beruházási_ktg_input!N98,0))</f>
        <v>0</v>
      </c>
      <c r="X98" s="51">
        <f>IF($B98=Háttér_listák!$B$121,SUMIF($D$107:D163,D98+1,$X$107:X163),IF(AND(Q98=Háttér_listák!$B$125,Beruházási_ktg_input!S98=Háttér_listák!$B$129),Beruházási_ktg_input!N98,0))</f>
        <v>0</v>
      </c>
      <c r="Y98" s="51">
        <f>IF($B98=Háttér_listák!$B$121,SUMIF($D$107:D163,D98+1,$Y$107:Y163),IF(Q98=Háttér_listák!$B$126,Beruházási_ktg_input!L98,0))</f>
        <v>0</v>
      </c>
      <c r="Z98" s="51">
        <f>IF($B98=Háttér_listák!$B$121,SUMIF($D$107:D163,D98+1,$Z$107:Z163),IF(AND(Q98=Háttér_listák!$B$126,Beruházási_ktg_input!S98=Háttér_listák!$B$129),Beruházási_ktg_input!N98,0))</f>
        <v>0</v>
      </c>
      <c r="AA98" s="51">
        <f>IF($B98=Háttér_listák!$B$121,SUMIF($D$107:D163,D98+1,$AA$107:AA163),IF(AND(Q98=Háttér_listák!$B$126,Beruházási_ktg_input!S98=Háttér_listák!$B$130),Beruházási_ktg_input!N98,0))</f>
        <v>0</v>
      </c>
      <c r="AB98" s="51">
        <f t="shared" si="8"/>
        <v>0</v>
      </c>
      <c r="AC98" s="51">
        <f t="shared" si="9"/>
        <v>0</v>
      </c>
      <c r="AD98" s="51">
        <f t="shared" si="10"/>
        <v>0</v>
      </c>
      <c r="AE98" s="68">
        <f t="shared" si="11"/>
        <v>0</v>
      </c>
      <c r="AF98" s="258"/>
      <c r="AG98" s="259"/>
      <c r="AH98" s="259"/>
      <c r="AI98" s="259"/>
      <c r="AJ98" s="260"/>
      <c r="AK98" s="70" t="str">
        <f>IF(SUM(AF98:AJ98)=0,"",IF(SUM(AF98:AJ98)=1,Háttér_listák!$B$133,Háttér_listák!$B$134))</f>
        <v/>
      </c>
      <c r="AL98" s="67">
        <f>IF($AE98=0,0,IF($B98=Háttér_listák!$B$122,Beruházási_ktg_input!$V98*Beruházási_ktg_input!AF98,""))</f>
        <v>0</v>
      </c>
      <c r="AM98" s="51">
        <f>IF($AE98=0,0,IF($B98=Háttér_listák!$B$122,Beruházási_ktg_input!$V98*Beruházási_ktg_input!AG98,""))</f>
        <v>0</v>
      </c>
      <c r="AN98" s="51">
        <f>IF($AE98=0,0,IF($B98=Háttér_listák!$B$122,Beruházási_ktg_input!$V98*Beruházási_ktg_input!AH98,""))</f>
        <v>0</v>
      </c>
      <c r="AO98" s="51">
        <f>IF($AE98=0,0,IF($B98=Háttér_listák!$B$122,Beruházási_ktg_input!$V98*Beruházási_ktg_input!AI98,""))</f>
        <v>0</v>
      </c>
      <c r="AP98" s="68">
        <f>IF($AE98=0,0,IF($B98=Háttér_listák!$B$122,Beruházási_ktg_input!$V98*Beruházási_ktg_input!AJ98,""))</f>
        <v>0</v>
      </c>
      <c r="AQ98" s="67">
        <f>IF($AE98=0,0,IF($B98=Háttér_listák!$B$122,Beruházási_ktg_input!$AD98*Beruházási_ktg_input!AF98,""))</f>
        <v>0</v>
      </c>
      <c r="AR98" s="51">
        <f>IF($AE98=0,0,IF($B98=Háttér_listák!$B$122,Beruházási_ktg_input!$AD98*Beruházási_ktg_input!AG98,""))</f>
        <v>0</v>
      </c>
      <c r="AS98" s="51">
        <f>IF($AE98=0,0,IF($B98=Háttér_listák!$B$122,Beruházási_ktg_input!$AD98*Beruházási_ktg_input!AH98,""))</f>
        <v>0</v>
      </c>
      <c r="AT98" s="51">
        <f>IF($AE98=0,0,IF($B98=Háttér_listák!$B$122,Beruházási_ktg_input!$AD98*Beruházási_ktg_input!AI98,""))</f>
        <v>0</v>
      </c>
      <c r="AU98" s="71">
        <f>IF($AE98=0,0,IF($B98=Háttér_listák!$B$122,Beruházási_ktg_input!$AD98*Beruházási_ktg_input!AJ98,""))</f>
        <v>0</v>
      </c>
      <c r="AV98" s="67">
        <f>IF($AE98=0,0,IF($B98=Háttér_listák!$B$122,($T98+$Y98)*AF98,""))</f>
        <v>0</v>
      </c>
      <c r="AW98" s="51">
        <f>IF($AE98=0,0,IF($B98=Háttér_listák!$B$122,($T98+$Y98)*AG98,""))</f>
        <v>0</v>
      </c>
      <c r="AX98" s="51">
        <f>IF($AE98=0,0,IF($B98=Háttér_listák!$B$122,($T98+$Y98)*AH98,""))</f>
        <v>0</v>
      </c>
      <c r="AY98" s="51">
        <f>IF($AE98=0,0,IF($B98=Háttér_listák!$B$122,($T98+$Y98)*AI98,""))</f>
        <v>0</v>
      </c>
      <c r="AZ98" s="68">
        <f>IF($AE98=0,0,IF($B98=Háttér_listák!$B$122,($T98+$Y98)*AJ98,""))</f>
        <v>0</v>
      </c>
    </row>
    <row r="99" spans="2:52">
      <c r="B99" s="251"/>
      <c r="C99" s="246">
        <f>IF(B99=Háttér_listák!$B$121,1,0)</f>
        <v>0</v>
      </c>
      <c r="D99" s="246">
        <f t="shared" si="6"/>
        <v>12</v>
      </c>
      <c r="E99" s="247"/>
      <c r="F99" s="248"/>
      <c r="G99" s="247"/>
      <c r="H99" s="248"/>
      <c r="I99" s="249"/>
      <c r="J99" s="561"/>
      <c r="K99" s="574">
        <f>IF(B99=Háttér_listák!$B$121,"",Beruházási_ktg_input!I99*Beruházási_ktg_input!J99)</f>
        <v>0</v>
      </c>
      <c r="L99" s="576">
        <f>IF(B99=Háttér_listák!$B$121,SUMIF(Beruházási_ktg_input!D99:$D$107,Beruházási_ktg_input!D99+1,Beruházási_ktg_input!L99:$L$107),Beruházási_ktg_input!$K99)</f>
        <v>0</v>
      </c>
      <c r="M99" s="570"/>
      <c r="N99" s="566">
        <v>0</v>
      </c>
      <c r="O99" s="559">
        <f>IF(B99=Háttér_listák!$B$121,SUMIF(Beruházási_ktg_input!$D$107:D164,Beruházási_ktg_input!D99+1,$O$107:O164),L99+N99)</f>
        <v>0</v>
      </c>
      <c r="P99" s="249">
        <v>0</v>
      </c>
      <c r="Q99" s="251"/>
      <c r="R99" s="248"/>
      <c r="S99" s="248"/>
      <c r="T99" s="67">
        <f>IF($B99=Háttér_listák!$B$121,SUMIF($D$107:D164,D99+1,$T$107:T164),IF(Q99=Háttér_listák!$B$125,Beruházási_ktg_input!L99,0))</f>
        <v>0</v>
      </c>
      <c r="U99" s="51">
        <f>IF($B99=Háttér_listák!$B$121,SUMIF($D$107:D164,D99+1,$U$107:U164),IF(AND(Q99=Háttér_listák!$B$125,Beruházási_ktg_input!S99=Háttér_listák!$B$130,Főoldal!$C$15="Igen"),Beruházási_ktg_input!N99,0))</f>
        <v>0</v>
      </c>
      <c r="V99" s="51">
        <f t="shared" si="7"/>
        <v>0</v>
      </c>
      <c r="W99" s="51">
        <f>IF($B99=Háttér_listák!$B$121,SUMIF($D$107:D164,D99+1,$W$107:W164),IF(AND(Q99=Háttér_listák!$B$125,Beruházási_ktg_input!S99=Háttér_listák!$B$130,Főoldal!$C$15="Nem"),Beruházási_ktg_input!N99,0))</f>
        <v>0</v>
      </c>
      <c r="X99" s="51">
        <f>IF($B99=Háttér_listák!$B$121,SUMIF($D$107:D164,D99+1,$X$107:X164),IF(AND(Q99=Háttér_listák!$B$125,Beruházási_ktg_input!S99=Háttér_listák!$B$129),Beruházási_ktg_input!N99,0))</f>
        <v>0</v>
      </c>
      <c r="Y99" s="51">
        <f>IF($B99=Háttér_listák!$B$121,SUMIF($D$107:D164,D99+1,$Y$107:Y164),IF(Q99=Háttér_listák!$B$126,Beruházási_ktg_input!L99,0))</f>
        <v>0</v>
      </c>
      <c r="Z99" s="51">
        <f>IF($B99=Háttér_listák!$B$121,SUMIF($D$107:D164,D99+1,$Z$107:Z164),IF(AND(Q99=Háttér_listák!$B$126,Beruházási_ktg_input!S99=Háttér_listák!$B$129),Beruházási_ktg_input!N99,0))</f>
        <v>0</v>
      </c>
      <c r="AA99" s="51">
        <f>IF($B99=Háttér_listák!$B$121,SUMIF($D$107:D164,D99+1,$AA$107:AA164),IF(AND(Q99=Háttér_listák!$B$126,Beruházási_ktg_input!S99=Háttér_listák!$B$130),Beruházási_ktg_input!N99,0))</f>
        <v>0</v>
      </c>
      <c r="AB99" s="51">
        <f t="shared" si="8"/>
        <v>0</v>
      </c>
      <c r="AC99" s="51">
        <f t="shared" si="9"/>
        <v>0</v>
      </c>
      <c r="AD99" s="51">
        <f t="shared" si="10"/>
        <v>0</v>
      </c>
      <c r="AE99" s="68">
        <f t="shared" si="11"/>
        <v>0</v>
      </c>
      <c r="AF99" s="258"/>
      <c r="AG99" s="259"/>
      <c r="AH99" s="259"/>
      <c r="AI99" s="259"/>
      <c r="AJ99" s="260"/>
      <c r="AK99" s="70" t="str">
        <f>IF(SUM(AF99:AJ99)=0,"",IF(SUM(AF99:AJ99)=1,Háttér_listák!$B$133,Háttér_listák!$B$134))</f>
        <v/>
      </c>
      <c r="AL99" s="67">
        <f>IF($AE99=0,0,IF($B99=Háttér_listák!$B$122,Beruházási_ktg_input!$V99*Beruházási_ktg_input!AF99,""))</f>
        <v>0</v>
      </c>
      <c r="AM99" s="51">
        <f>IF($AE99=0,0,IF($B99=Háttér_listák!$B$122,Beruházási_ktg_input!$V99*Beruházási_ktg_input!AG99,""))</f>
        <v>0</v>
      </c>
      <c r="AN99" s="51">
        <f>IF($AE99=0,0,IF($B99=Háttér_listák!$B$122,Beruházási_ktg_input!$V99*Beruházási_ktg_input!AH99,""))</f>
        <v>0</v>
      </c>
      <c r="AO99" s="51">
        <f>IF($AE99=0,0,IF($B99=Háttér_listák!$B$122,Beruházási_ktg_input!$V99*Beruházási_ktg_input!AI99,""))</f>
        <v>0</v>
      </c>
      <c r="AP99" s="68">
        <f>IF($AE99=0,0,IF($B99=Háttér_listák!$B$122,Beruházási_ktg_input!$V99*Beruházási_ktg_input!AJ99,""))</f>
        <v>0</v>
      </c>
      <c r="AQ99" s="67">
        <f>IF($AE99=0,0,IF($B99=Háttér_listák!$B$122,Beruházási_ktg_input!$AD99*Beruházási_ktg_input!AF99,""))</f>
        <v>0</v>
      </c>
      <c r="AR99" s="51">
        <f>IF($AE99=0,0,IF($B99=Háttér_listák!$B$122,Beruházási_ktg_input!$AD99*Beruházási_ktg_input!AG99,""))</f>
        <v>0</v>
      </c>
      <c r="AS99" s="51">
        <f>IF($AE99=0,0,IF($B99=Háttér_listák!$B$122,Beruházási_ktg_input!$AD99*Beruházási_ktg_input!AH99,""))</f>
        <v>0</v>
      </c>
      <c r="AT99" s="51">
        <f>IF($AE99=0,0,IF($B99=Háttér_listák!$B$122,Beruházási_ktg_input!$AD99*Beruházási_ktg_input!AI99,""))</f>
        <v>0</v>
      </c>
      <c r="AU99" s="71">
        <f>IF($AE99=0,0,IF($B99=Háttér_listák!$B$122,Beruházási_ktg_input!$AD99*Beruházási_ktg_input!AJ99,""))</f>
        <v>0</v>
      </c>
      <c r="AV99" s="67">
        <f>IF($AE99=0,0,IF($B99=Háttér_listák!$B$122,($T99+$Y99)*AF99,""))</f>
        <v>0</v>
      </c>
      <c r="AW99" s="51">
        <f>IF($AE99=0,0,IF($B99=Háttér_listák!$B$122,($T99+$Y99)*AG99,""))</f>
        <v>0</v>
      </c>
      <c r="AX99" s="51">
        <f>IF($AE99=0,0,IF($B99=Háttér_listák!$B$122,($T99+$Y99)*AH99,""))</f>
        <v>0</v>
      </c>
      <c r="AY99" s="51">
        <f>IF($AE99=0,0,IF($B99=Háttér_listák!$B$122,($T99+$Y99)*AI99,""))</f>
        <v>0</v>
      </c>
      <c r="AZ99" s="68">
        <f>IF($AE99=0,0,IF($B99=Háttér_listák!$B$122,($T99+$Y99)*AJ99,""))</f>
        <v>0</v>
      </c>
    </row>
    <row r="100" spans="2:52">
      <c r="B100" s="251"/>
      <c r="C100" s="246">
        <f>IF(B100=Háttér_listák!$B$121,1,0)</f>
        <v>0</v>
      </c>
      <c r="D100" s="246">
        <f t="shared" si="6"/>
        <v>12</v>
      </c>
      <c r="E100" s="247"/>
      <c r="F100" s="248"/>
      <c r="G100" s="247"/>
      <c r="H100" s="248"/>
      <c r="I100" s="249"/>
      <c r="J100" s="561"/>
      <c r="K100" s="574">
        <f>IF(B100=Háttér_listák!$B$121,"",Beruházási_ktg_input!I100*Beruházási_ktg_input!J100)</f>
        <v>0</v>
      </c>
      <c r="L100" s="576">
        <f>IF(B100=Háttér_listák!$B$121,SUMIF(Beruházási_ktg_input!D100:$D$107,Beruházási_ktg_input!D100+1,Beruházási_ktg_input!L100:$L$107),Beruházási_ktg_input!$K100)</f>
        <v>0</v>
      </c>
      <c r="M100" s="570"/>
      <c r="N100" s="566">
        <v>0</v>
      </c>
      <c r="O100" s="559">
        <f>IF(B100=Háttér_listák!$B$121,SUMIF(Beruházási_ktg_input!$D$107:D165,Beruházási_ktg_input!D100+1,$O$107:O165),L100+N100)</f>
        <v>0</v>
      </c>
      <c r="P100" s="249">
        <v>0</v>
      </c>
      <c r="Q100" s="251"/>
      <c r="R100" s="248"/>
      <c r="S100" s="248"/>
      <c r="T100" s="67">
        <f>IF($B100=Háttér_listák!$B$121,SUMIF($D$107:D165,D100+1,$T$107:T165),IF(Q100=Háttér_listák!$B$125,Beruházási_ktg_input!L100,0))</f>
        <v>0</v>
      </c>
      <c r="U100" s="51">
        <f>IF($B100=Háttér_listák!$B$121,SUMIF($D$107:D165,D100+1,$U$107:U165),IF(AND(Q100=Háttér_listák!$B$125,Beruházási_ktg_input!S100=Háttér_listák!$B$130,Főoldal!$C$15="Igen"),Beruházási_ktg_input!N100,0))</f>
        <v>0</v>
      </c>
      <c r="V100" s="51">
        <f t="shared" si="7"/>
        <v>0</v>
      </c>
      <c r="W100" s="51">
        <f>IF($B100=Háttér_listák!$B$121,SUMIF($D$107:D165,D100+1,$W$107:W165),IF(AND(Q100=Háttér_listák!$B$125,Beruházási_ktg_input!S100=Háttér_listák!$B$130,Főoldal!$C$15="Nem"),Beruházási_ktg_input!N100,0))</f>
        <v>0</v>
      </c>
      <c r="X100" s="51">
        <f>IF($B100=Háttér_listák!$B$121,SUMIF($D$107:D165,D100+1,$X$107:X165),IF(AND(Q100=Háttér_listák!$B$125,Beruházási_ktg_input!S100=Háttér_listák!$B$129),Beruházási_ktg_input!N100,0))</f>
        <v>0</v>
      </c>
      <c r="Y100" s="51">
        <f>IF($B100=Háttér_listák!$B$121,SUMIF($D$107:D165,D100+1,$Y$107:Y165),IF(Q100=Háttér_listák!$B$126,Beruházási_ktg_input!L100,0))</f>
        <v>0</v>
      </c>
      <c r="Z100" s="51">
        <f>IF($B100=Háttér_listák!$B$121,SUMIF($D$107:D165,D100+1,$Z$107:Z165),IF(AND(Q100=Háttér_listák!$B$126,Beruházási_ktg_input!S100=Háttér_listák!$B$129),Beruházási_ktg_input!N100,0))</f>
        <v>0</v>
      </c>
      <c r="AA100" s="51">
        <f>IF($B100=Háttér_listák!$B$121,SUMIF($D$107:D165,D100+1,$AA$107:AA165),IF(AND(Q100=Háttér_listák!$B$126,Beruházási_ktg_input!S100=Háttér_listák!$B$130),Beruházási_ktg_input!N100,0))</f>
        <v>0</v>
      </c>
      <c r="AB100" s="51">
        <f t="shared" si="8"/>
        <v>0</v>
      </c>
      <c r="AC100" s="51">
        <f t="shared" si="9"/>
        <v>0</v>
      </c>
      <c r="AD100" s="51">
        <f t="shared" si="10"/>
        <v>0</v>
      </c>
      <c r="AE100" s="68">
        <f t="shared" si="11"/>
        <v>0</v>
      </c>
      <c r="AF100" s="258"/>
      <c r="AG100" s="259"/>
      <c r="AH100" s="259"/>
      <c r="AI100" s="259"/>
      <c r="AJ100" s="260"/>
      <c r="AK100" s="70" t="str">
        <f>IF(SUM(AF100:AJ100)=0,"",IF(SUM(AF100:AJ100)=1,Háttér_listák!$B$133,Háttér_listák!$B$134))</f>
        <v/>
      </c>
      <c r="AL100" s="67">
        <f>IF($AE100=0,0,IF($B100=Háttér_listák!$B$122,Beruházási_ktg_input!$V100*Beruházási_ktg_input!AF100,""))</f>
        <v>0</v>
      </c>
      <c r="AM100" s="51">
        <f>IF($AE100=0,0,IF($B100=Háttér_listák!$B$122,Beruházási_ktg_input!$V100*Beruházási_ktg_input!AG100,""))</f>
        <v>0</v>
      </c>
      <c r="AN100" s="51">
        <f>IF($AE100=0,0,IF($B100=Háttér_listák!$B$122,Beruházási_ktg_input!$V100*Beruházási_ktg_input!AH100,""))</f>
        <v>0</v>
      </c>
      <c r="AO100" s="51">
        <f>IF($AE100=0,0,IF($B100=Háttér_listák!$B$122,Beruházási_ktg_input!$V100*Beruházási_ktg_input!AI100,""))</f>
        <v>0</v>
      </c>
      <c r="AP100" s="68">
        <f>IF($AE100=0,0,IF($B100=Háttér_listák!$B$122,Beruházási_ktg_input!$V100*Beruházási_ktg_input!AJ100,""))</f>
        <v>0</v>
      </c>
      <c r="AQ100" s="67">
        <f>IF($AE100=0,0,IF($B100=Háttér_listák!$B$122,Beruházási_ktg_input!$AD100*Beruházási_ktg_input!AF100,""))</f>
        <v>0</v>
      </c>
      <c r="AR100" s="51">
        <f>IF($AE100=0,0,IF($B100=Háttér_listák!$B$122,Beruházási_ktg_input!$AD100*Beruházási_ktg_input!AG100,""))</f>
        <v>0</v>
      </c>
      <c r="AS100" s="51">
        <f>IF($AE100=0,0,IF($B100=Háttér_listák!$B$122,Beruházási_ktg_input!$AD100*Beruházási_ktg_input!AH100,""))</f>
        <v>0</v>
      </c>
      <c r="AT100" s="51">
        <f>IF($AE100=0,0,IF($B100=Háttér_listák!$B$122,Beruházási_ktg_input!$AD100*Beruházási_ktg_input!AI100,""))</f>
        <v>0</v>
      </c>
      <c r="AU100" s="71">
        <f>IF($AE100=0,0,IF($B100=Háttér_listák!$B$122,Beruházási_ktg_input!$AD100*Beruházási_ktg_input!AJ100,""))</f>
        <v>0</v>
      </c>
      <c r="AV100" s="67">
        <f>IF($AE100=0,0,IF($B100=Háttér_listák!$B$122,($T100+$Y100)*AF100,""))</f>
        <v>0</v>
      </c>
      <c r="AW100" s="51">
        <f>IF($AE100=0,0,IF($B100=Háttér_listák!$B$122,($T100+$Y100)*AG100,""))</f>
        <v>0</v>
      </c>
      <c r="AX100" s="51">
        <f>IF($AE100=0,0,IF($B100=Háttér_listák!$B$122,($T100+$Y100)*AH100,""))</f>
        <v>0</v>
      </c>
      <c r="AY100" s="51">
        <f>IF($AE100=0,0,IF($B100=Háttér_listák!$B$122,($T100+$Y100)*AI100,""))</f>
        <v>0</v>
      </c>
      <c r="AZ100" s="68">
        <f>IF($AE100=0,0,IF($B100=Háttér_listák!$B$122,($T100+$Y100)*AJ100,""))</f>
        <v>0</v>
      </c>
    </row>
    <row r="101" spans="2:52">
      <c r="B101" s="251"/>
      <c r="C101" s="246">
        <f>IF(B101=Háttér_listák!$B$121,1,0)</f>
        <v>0</v>
      </c>
      <c r="D101" s="246">
        <f t="shared" si="6"/>
        <v>12</v>
      </c>
      <c r="E101" s="247"/>
      <c r="F101" s="248"/>
      <c r="G101" s="247"/>
      <c r="H101" s="248"/>
      <c r="I101" s="249"/>
      <c r="J101" s="561"/>
      <c r="K101" s="574">
        <f>IF(B101=Háttér_listák!$B$121,"",Beruházási_ktg_input!I101*Beruházási_ktg_input!J101)</f>
        <v>0</v>
      </c>
      <c r="L101" s="576">
        <f>IF(B101=Háttér_listák!$B$121,SUMIF(Beruházási_ktg_input!D101:$D$107,Beruházási_ktg_input!D101+1,Beruházási_ktg_input!L101:$L$107),Beruházási_ktg_input!$K101)</f>
        <v>0</v>
      </c>
      <c r="M101" s="570"/>
      <c r="N101" s="566">
        <v>0</v>
      </c>
      <c r="O101" s="559">
        <f>IF(B101=Háttér_listák!$B$121,SUMIF(Beruházási_ktg_input!$D$107:D166,Beruházási_ktg_input!D101+1,$O$107:O166),L101+N101)</f>
        <v>0</v>
      </c>
      <c r="P101" s="249">
        <v>0</v>
      </c>
      <c r="Q101" s="251"/>
      <c r="R101" s="248"/>
      <c r="S101" s="248"/>
      <c r="T101" s="67">
        <f>IF($B101=Háttér_listák!$B$121,SUMIF($D$107:D166,D101+1,$T$107:T166),IF(Q101=Háttér_listák!$B$125,Beruházási_ktg_input!L101,0))</f>
        <v>0</v>
      </c>
      <c r="U101" s="51">
        <f>IF($B101=Háttér_listák!$B$121,SUMIF($D$107:D166,D101+1,$U$107:U166),IF(AND(Q101=Háttér_listák!$B$125,Beruházási_ktg_input!S101=Háttér_listák!$B$130,Főoldal!$C$15="Igen"),Beruházási_ktg_input!N101,0))</f>
        <v>0</v>
      </c>
      <c r="V101" s="51">
        <f t="shared" si="7"/>
        <v>0</v>
      </c>
      <c r="W101" s="51">
        <f>IF($B101=Háttér_listák!$B$121,SUMIF($D$107:D166,D101+1,$W$107:W166),IF(AND(Q101=Háttér_listák!$B$125,Beruházási_ktg_input!S101=Háttér_listák!$B$130,Főoldal!$C$15="Nem"),Beruházási_ktg_input!N101,0))</f>
        <v>0</v>
      </c>
      <c r="X101" s="51">
        <f>IF($B101=Háttér_listák!$B$121,SUMIF($D$107:D166,D101+1,$X$107:X166),IF(AND(Q101=Háttér_listák!$B$125,Beruházási_ktg_input!S101=Háttér_listák!$B$129),Beruházási_ktg_input!N101,0))</f>
        <v>0</v>
      </c>
      <c r="Y101" s="51">
        <f>IF($B101=Háttér_listák!$B$121,SUMIF($D$107:D166,D101+1,$Y$107:Y166),IF(Q101=Háttér_listák!$B$126,Beruházási_ktg_input!L101,0))</f>
        <v>0</v>
      </c>
      <c r="Z101" s="51">
        <f>IF($B101=Háttér_listák!$B$121,SUMIF($D$107:D166,D101+1,$Z$107:Z166),IF(AND(Q101=Háttér_listák!$B$126,Beruházási_ktg_input!S101=Háttér_listák!$B$129),Beruházási_ktg_input!N101,0))</f>
        <v>0</v>
      </c>
      <c r="AA101" s="51">
        <f>IF($B101=Háttér_listák!$B$121,SUMIF($D$107:D166,D101+1,$AA$107:AA166),IF(AND(Q101=Háttér_listák!$B$126,Beruházási_ktg_input!S101=Háttér_listák!$B$130),Beruházási_ktg_input!N101,0))</f>
        <v>0</v>
      </c>
      <c r="AB101" s="51">
        <f t="shared" si="8"/>
        <v>0</v>
      </c>
      <c r="AC101" s="51">
        <f t="shared" si="9"/>
        <v>0</v>
      </c>
      <c r="AD101" s="51">
        <f t="shared" si="10"/>
        <v>0</v>
      </c>
      <c r="AE101" s="68">
        <f t="shared" si="11"/>
        <v>0</v>
      </c>
      <c r="AF101" s="258"/>
      <c r="AG101" s="259"/>
      <c r="AH101" s="259"/>
      <c r="AI101" s="259"/>
      <c r="AJ101" s="260"/>
      <c r="AK101" s="70" t="str">
        <f>IF(SUM(AF101:AJ101)=0,"",IF(SUM(AF101:AJ101)=1,Háttér_listák!$B$133,Háttér_listák!$B$134))</f>
        <v/>
      </c>
      <c r="AL101" s="67">
        <f>IF($AE101=0,0,IF($B101=Háttér_listák!$B$122,Beruházási_ktg_input!$V101*Beruházási_ktg_input!AF101,""))</f>
        <v>0</v>
      </c>
      <c r="AM101" s="51">
        <f>IF($AE101=0,0,IF($B101=Háttér_listák!$B$122,Beruházási_ktg_input!$V101*Beruházási_ktg_input!AG101,""))</f>
        <v>0</v>
      </c>
      <c r="AN101" s="51">
        <f>IF($AE101=0,0,IF($B101=Háttér_listák!$B$122,Beruházási_ktg_input!$V101*Beruházási_ktg_input!AH101,""))</f>
        <v>0</v>
      </c>
      <c r="AO101" s="51">
        <f>IF($AE101=0,0,IF($B101=Háttér_listák!$B$122,Beruházási_ktg_input!$V101*Beruházási_ktg_input!AI101,""))</f>
        <v>0</v>
      </c>
      <c r="AP101" s="68">
        <f>IF($AE101=0,0,IF($B101=Háttér_listák!$B$122,Beruházási_ktg_input!$V101*Beruházási_ktg_input!AJ101,""))</f>
        <v>0</v>
      </c>
      <c r="AQ101" s="67">
        <f>IF($AE101=0,0,IF($B101=Háttér_listák!$B$122,Beruházási_ktg_input!$AD101*Beruházási_ktg_input!AF101,""))</f>
        <v>0</v>
      </c>
      <c r="AR101" s="51">
        <f>IF($AE101=0,0,IF($B101=Háttér_listák!$B$122,Beruházási_ktg_input!$AD101*Beruházási_ktg_input!AG101,""))</f>
        <v>0</v>
      </c>
      <c r="AS101" s="51">
        <f>IF($AE101=0,0,IF($B101=Háttér_listák!$B$122,Beruházási_ktg_input!$AD101*Beruházási_ktg_input!AH101,""))</f>
        <v>0</v>
      </c>
      <c r="AT101" s="51">
        <f>IF($AE101=0,0,IF($B101=Háttér_listák!$B$122,Beruházási_ktg_input!$AD101*Beruházási_ktg_input!AI101,""))</f>
        <v>0</v>
      </c>
      <c r="AU101" s="71">
        <f>IF($AE101=0,0,IF($B101=Háttér_listák!$B$122,Beruházási_ktg_input!$AD101*Beruházási_ktg_input!AJ101,""))</f>
        <v>0</v>
      </c>
      <c r="AV101" s="67">
        <f>IF($AE101=0,0,IF($B101=Háttér_listák!$B$122,($T101+$Y101)*AF101,""))</f>
        <v>0</v>
      </c>
      <c r="AW101" s="51">
        <f>IF($AE101=0,0,IF($B101=Háttér_listák!$B$122,($T101+$Y101)*AG101,""))</f>
        <v>0</v>
      </c>
      <c r="AX101" s="51">
        <f>IF($AE101=0,0,IF($B101=Háttér_listák!$B$122,($T101+$Y101)*AH101,""))</f>
        <v>0</v>
      </c>
      <c r="AY101" s="51">
        <f>IF($AE101=0,0,IF($B101=Háttér_listák!$B$122,($T101+$Y101)*AI101,""))</f>
        <v>0</v>
      </c>
      <c r="AZ101" s="68">
        <f>IF($AE101=0,0,IF($B101=Háttér_listák!$B$122,($T101+$Y101)*AJ101,""))</f>
        <v>0</v>
      </c>
    </row>
    <row r="102" spans="2:52">
      <c r="B102" s="251"/>
      <c r="C102" s="246">
        <f>IF(B102=Háttér_listák!$B$121,1,0)</f>
        <v>0</v>
      </c>
      <c r="D102" s="246">
        <f t="shared" si="6"/>
        <v>12</v>
      </c>
      <c r="E102" s="247"/>
      <c r="F102" s="248"/>
      <c r="G102" s="247"/>
      <c r="H102" s="248"/>
      <c r="I102" s="249"/>
      <c r="J102" s="561"/>
      <c r="K102" s="574">
        <f>IF(B102=Háttér_listák!$B$121,"",Beruházási_ktg_input!I102*Beruházási_ktg_input!J102)</f>
        <v>0</v>
      </c>
      <c r="L102" s="576">
        <f>IF(B102=Háttér_listák!$B$121,SUMIF(Beruházási_ktg_input!D102:$D$107,Beruházási_ktg_input!D102+1,Beruházási_ktg_input!L102:$L$107),Beruházási_ktg_input!$K102)</f>
        <v>0</v>
      </c>
      <c r="M102" s="570"/>
      <c r="N102" s="566">
        <v>0</v>
      </c>
      <c r="O102" s="559">
        <f>IF(B102=Háttér_listák!$B$121,SUMIF(Beruházási_ktg_input!$D$107:D167,Beruházási_ktg_input!D102+1,$O$107:O167),L102+N102)</f>
        <v>0</v>
      </c>
      <c r="P102" s="249">
        <v>0</v>
      </c>
      <c r="Q102" s="251"/>
      <c r="R102" s="248"/>
      <c r="S102" s="248"/>
      <c r="T102" s="67">
        <f>IF($B102=Háttér_listák!$B$121,SUMIF($D$107:D167,D102+1,$T$107:T167),IF(Q102=Háttér_listák!$B$125,Beruházási_ktg_input!L102,0))</f>
        <v>0</v>
      </c>
      <c r="U102" s="51">
        <f>IF($B102=Háttér_listák!$B$121,SUMIF($D$107:D167,D102+1,$U$107:U167),IF(AND(Q102=Háttér_listák!$B$125,Beruházási_ktg_input!S102=Háttér_listák!$B$130,Főoldal!$C$15="Igen"),Beruházási_ktg_input!N102,0))</f>
        <v>0</v>
      </c>
      <c r="V102" s="51">
        <f t="shared" si="7"/>
        <v>0</v>
      </c>
      <c r="W102" s="51">
        <f>IF($B102=Háttér_listák!$B$121,SUMIF($D$107:D167,D102+1,$W$107:W167),IF(AND(Q102=Háttér_listák!$B$125,Beruházási_ktg_input!S102=Háttér_listák!$B$130,Főoldal!$C$15="Nem"),Beruházási_ktg_input!N102,0))</f>
        <v>0</v>
      </c>
      <c r="X102" s="51">
        <f>IF($B102=Háttér_listák!$B$121,SUMIF($D$107:D167,D102+1,$X$107:X167),IF(AND(Q102=Háttér_listák!$B$125,Beruházási_ktg_input!S102=Háttér_listák!$B$129),Beruházási_ktg_input!N102,0))</f>
        <v>0</v>
      </c>
      <c r="Y102" s="51">
        <f>IF($B102=Háttér_listák!$B$121,SUMIF($D$107:D167,D102+1,$Y$107:Y167),IF(Q102=Háttér_listák!$B$126,Beruházási_ktg_input!L102,0))</f>
        <v>0</v>
      </c>
      <c r="Z102" s="51">
        <f>IF($B102=Háttér_listák!$B$121,SUMIF($D$107:D167,D102+1,$Z$107:Z167),IF(AND(Q102=Háttér_listák!$B$126,Beruházási_ktg_input!S102=Háttér_listák!$B$129),Beruházási_ktg_input!N102,0))</f>
        <v>0</v>
      </c>
      <c r="AA102" s="51">
        <f>IF($B102=Háttér_listák!$B$121,SUMIF($D$107:D167,D102+1,$AA$107:AA167),IF(AND(Q102=Háttér_listák!$B$126,Beruházási_ktg_input!S102=Háttér_listák!$B$130),Beruházási_ktg_input!N102,0))</f>
        <v>0</v>
      </c>
      <c r="AB102" s="51">
        <f t="shared" si="8"/>
        <v>0</v>
      </c>
      <c r="AC102" s="51">
        <f t="shared" si="9"/>
        <v>0</v>
      </c>
      <c r="AD102" s="51">
        <f t="shared" si="10"/>
        <v>0</v>
      </c>
      <c r="AE102" s="68">
        <f t="shared" si="11"/>
        <v>0</v>
      </c>
      <c r="AF102" s="258"/>
      <c r="AG102" s="259"/>
      <c r="AH102" s="259"/>
      <c r="AI102" s="259"/>
      <c r="AJ102" s="260"/>
      <c r="AK102" s="70" t="str">
        <f>IF(SUM(AF102:AJ102)=0,"",IF(SUM(AF102:AJ102)=1,Háttér_listák!$B$133,Háttér_listák!$B$134))</f>
        <v/>
      </c>
      <c r="AL102" s="67">
        <f>IF($AE102=0,0,IF($B102=Háttér_listák!$B$122,Beruházási_ktg_input!$V102*Beruházási_ktg_input!AF102,""))</f>
        <v>0</v>
      </c>
      <c r="AM102" s="51">
        <f>IF($AE102=0,0,IF($B102=Háttér_listák!$B$122,Beruházási_ktg_input!$V102*Beruházási_ktg_input!AG102,""))</f>
        <v>0</v>
      </c>
      <c r="AN102" s="51">
        <f>IF($AE102=0,0,IF($B102=Háttér_listák!$B$122,Beruházási_ktg_input!$V102*Beruházási_ktg_input!AH102,""))</f>
        <v>0</v>
      </c>
      <c r="AO102" s="51">
        <f>IF($AE102=0,0,IF($B102=Háttér_listák!$B$122,Beruházási_ktg_input!$V102*Beruházási_ktg_input!AI102,""))</f>
        <v>0</v>
      </c>
      <c r="AP102" s="68">
        <f>IF($AE102=0,0,IF($B102=Háttér_listák!$B$122,Beruházási_ktg_input!$V102*Beruházási_ktg_input!AJ102,""))</f>
        <v>0</v>
      </c>
      <c r="AQ102" s="67">
        <f>IF($AE102=0,0,IF($B102=Háttér_listák!$B$122,Beruházási_ktg_input!$AD102*Beruházási_ktg_input!AF102,""))</f>
        <v>0</v>
      </c>
      <c r="AR102" s="51">
        <f>IF($AE102=0,0,IF($B102=Háttér_listák!$B$122,Beruházási_ktg_input!$AD102*Beruházási_ktg_input!AG102,""))</f>
        <v>0</v>
      </c>
      <c r="AS102" s="51">
        <f>IF($AE102=0,0,IF($B102=Háttér_listák!$B$122,Beruházási_ktg_input!$AD102*Beruházási_ktg_input!AH102,""))</f>
        <v>0</v>
      </c>
      <c r="AT102" s="51">
        <f>IF($AE102=0,0,IF($B102=Háttér_listák!$B$122,Beruházási_ktg_input!$AD102*Beruházási_ktg_input!AI102,""))</f>
        <v>0</v>
      </c>
      <c r="AU102" s="71">
        <f>IF($AE102=0,0,IF($B102=Háttér_listák!$B$122,Beruházási_ktg_input!$AD102*Beruházási_ktg_input!AJ102,""))</f>
        <v>0</v>
      </c>
      <c r="AV102" s="67">
        <f>IF($AE102=0,0,IF($B102=Háttér_listák!$B$122,($T102+$Y102)*AF102,""))</f>
        <v>0</v>
      </c>
      <c r="AW102" s="51">
        <f>IF($AE102=0,0,IF($B102=Háttér_listák!$B$122,($T102+$Y102)*AG102,""))</f>
        <v>0</v>
      </c>
      <c r="AX102" s="51">
        <f>IF($AE102=0,0,IF($B102=Háttér_listák!$B$122,($T102+$Y102)*AH102,""))</f>
        <v>0</v>
      </c>
      <c r="AY102" s="51">
        <f>IF($AE102=0,0,IF($B102=Háttér_listák!$B$122,($T102+$Y102)*AI102,""))</f>
        <v>0</v>
      </c>
      <c r="AZ102" s="68">
        <f>IF($AE102=0,0,IF($B102=Háttér_listák!$B$122,($T102+$Y102)*AJ102,""))</f>
        <v>0</v>
      </c>
    </row>
    <row r="103" spans="2:52">
      <c r="B103" s="251"/>
      <c r="C103" s="246">
        <f>IF(B103=Háttér_listák!$B$121,1,0)</f>
        <v>0</v>
      </c>
      <c r="D103" s="246">
        <f t="shared" si="6"/>
        <v>12</v>
      </c>
      <c r="E103" s="247"/>
      <c r="F103" s="248"/>
      <c r="G103" s="247"/>
      <c r="H103" s="248"/>
      <c r="I103" s="249"/>
      <c r="J103" s="561"/>
      <c r="K103" s="574">
        <f>IF(B103=Háttér_listák!$B$121,"",Beruházási_ktg_input!I103*Beruházási_ktg_input!J103)</f>
        <v>0</v>
      </c>
      <c r="L103" s="576">
        <f>IF(B103=Háttér_listák!$B$121,SUMIF(Beruházási_ktg_input!D103:$D$107,Beruházási_ktg_input!D103+1,Beruházási_ktg_input!L103:$L$107),Beruházási_ktg_input!$K103)</f>
        <v>0</v>
      </c>
      <c r="M103" s="570"/>
      <c r="N103" s="566">
        <v>0</v>
      </c>
      <c r="O103" s="559">
        <f>IF(B103=Háttér_listák!$B$121,SUMIF(Beruházási_ktg_input!$D$107:D168,Beruházási_ktg_input!D103+1,$O$107:O168),L103+N103)</f>
        <v>0</v>
      </c>
      <c r="P103" s="249">
        <v>0</v>
      </c>
      <c r="Q103" s="251"/>
      <c r="R103" s="248"/>
      <c r="S103" s="248"/>
      <c r="T103" s="67">
        <f>IF($B103=Háttér_listák!$B$121,SUMIF($D$107:D168,D103+1,$T$107:T168),IF(Q103=Háttér_listák!$B$125,Beruházási_ktg_input!L103,0))</f>
        <v>0</v>
      </c>
      <c r="U103" s="51">
        <f>IF($B103=Háttér_listák!$B$121,SUMIF($D$107:D168,D103+1,$U$107:U168),IF(AND(Q103=Háttér_listák!$B$125,Beruházási_ktg_input!S103=Háttér_listák!$B$130,Főoldal!$C$15="Igen"),Beruházási_ktg_input!N103,0))</f>
        <v>0</v>
      </c>
      <c r="V103" s="51">
        <f t="shared" si="7"/>
        <v>0</v>
      </c>
      <c r="W103" s="51">
        <f>IF($B103=Háttér_listák!$B$121,SUMIF($D$107:D168,D103+1,$W$107:W168),IF(AND(Q103=Háttér_listák!$B$125,Beruházási_ktg_input!S103=Háttér_listák!$B$130,Főoldal!$C$15="Nem"),Beruházási_ktg_input!N103,0))</f>
        <v>0</v>
      </c>
      <c r="X103" s="51">
        <f>IF($B103=Háttér_listák!$B$121,SUMIF($D$107:D168,D103+1,$X$107:X168),IF(AND(Q103=Háttér_listák!$B$125,Beruházási_ktg_input!S103=Háttér_listák!$B$129),Beruházási_ktg_input!N103,0))</f>
        <v>0</v>
      </c>
      <c r="Y103" s="51">
        <f>IF($B103=Háttér_listák!$B$121,SUMIF($D$107:D168,D103+1,$Y$107:Y168),IF(Q103=Háttér_listák!$B$126,Beruházási_ktg_input!L103,0))</f>
        <v>0</v>
      </c>
      <c r="Z103" s="51">
        <f>IF($B103=Háttér_listák!$B$121,SUMIF($D$107:D168,D103+1,$Z$107:Z168),IF(AND(Q103=Háttér_listák!$B$126,Beruházási_ktg_input!S103=Háttér_listák!$B$129),Beruházási_ktg_input!N103,0))</f>
        <v>0</v>
      </c>
      <c r="AA103" s="51">
        <f>IF($B103=Háttér_listák!$B$121,SUMIF($D$107:D168,D103+1,$AA$107:AA168),IF(AND(Q103=Háttér_listák!$B$126,Beruházási_ktg_input!S103=Háttér_listák!$B$130),Beruházási_ktg_input!N103,0))</f>
        <v>0</v>
      </c>
      <c r="AB103" s="51">
        <f t="shared" si="8"/>
        <v>0</v>
      </c>
      <c r="AC103" s="51">
        <f t="shared" si="9"/>
        <v>0</v>
      </c>
      <c r="AD103" s="51">
        <f t="shared" si="10"/>
        <v>0</v>
      </c>
      <c r="AE103" s="68">
        <f t="shared" si="11"/>
        <v>0</v>
      </c>
      <c r="AF103" s="258"/>
      <c r="AG103" s="259"/>
      <c r="AH103" s="259"/>
      <c r="AI103" s="259"/>
      <c r="AJ103" s="260"/>
      <c r="AK103" s="70" t="str">
        <f>IF(SUM(AF103:AJ103)=0,"",IF(SUM(AF103:AJ103)=1,Háttér_listák!$B$133,Háttér_listák!$B$134))</f>
        <v/>
      </c>
      <c r="AL103" s="67">
        <f>IF($AE103=0,0,IF($B103=Háttér_listák!$B$122,Beruházási_ktg_input!$V103*Beruházási_ktg_input!AF103,""))</f>
        <v>0</v>
      </c>
      <c r="AM103" s="51">
        <f>IF($AE103=0,0,IF($B103=Háttér_listák!$B$122,Beruházási_ktg_input!$V103*Beruházási_ktg_input!AG103,""))</f>
        <v>0</v>
      </c>
      <c r="AN103" s="51">
        <f>IF($AE103=0,0,IF($B103=Háttér_listák!$B$122,Beruházási_ktg_input!$V103*Beruházási_ktg_input!AH103,""))</f>
        <v>0</v>
      </c>
      <c r="AO103" s="51">
        <f>IF($AE103=0,0,IF($B103=Háttér_listák!$B$122,Beruházási_ktg_input!$V103*Beruházási_ktg_input!AI103,""))</f>
        <v>0</v>
      </c>
      <c r="AP103" s="68">
        <f>IF($AE103=0,0,IF($B103=Háttér_listák!$B$122,Beruházási_ktg_input!$V103*Beruházási_ktg_input!AJ103,""))</f>
        <v>0</v>
      </c>
      <c r="AQ103" s="67">
        <f>IF($AE103=0,0,IF($B103=Háttér_listák!$B$122,Beruházási_ktg_input!$AD103*Beruházási_ktg_input!AF103,""))</f>
        <v>0</v>
      </c>
      <c r="AR103" s="51">
        <f>IF($AE103=0,0,IF($B103=Háttér_listák!$B$122,Beruházási_ktg_input!$AD103*Beruházási_ktg_input!AG103,""))</f>
        <v>0</v>
      </c>
      <c r="AS103" s="51">
        <f>IF($AE103=0,0,IF($B103=Háttér_listák!$B$122,Beruházási_ktg_input!$AD103*Beruházási_ktg_input!AH103,""))</f>
        <v>0</v>
      </c>
      <c r="AT103" s="51">
        <f>IF($AE103=0,0,IF($B103=Háttér_listák!$B$122,Beruházási_ktg_input!$AD103*Beruházási_ktg_input!AI103,""))</f>
        <v>0</v>
      </c>
      <c r="AU103" s="71">
        <f>IF($AE103=0,0,IF($B103=Háttér_listák!$B$122,Beruházási_ktg_input!$AD103*Beruházási_ktg_input!AJ103,""))</f>
        <v>0</v>
      </c>
      <c r="AV103" s="67">
        <f>IF($AE103=0,0,IF($B103=Háttér_listák!$B$122,($T103+$Y103)*AF103,""))</f>
        <v>0</v>
      </c>
      <c r="AW103" s="51">
        <f>IF($AE103=0,0,IF($B103=Háttér_listák!$B$122,($T103+$Y103)*AG103,""))</f>
        <v>0</v>
      </c>
      <c r="AX103" s="51">
        <f>IF($AE103=0,0,IF($B103=Háttér_listák!$B$122,($T103+$Y103)*AH103,""))</f>
        <v>0</v>
      </c>
      <c r="AY103" s="51">
        <f>IF($AE103=0,0,IF($B103=Háttér_listák!$B$122,($T103+$Y103)*AI103,""))</f>
        <v>0</v>
      </c>
      <c r="AZ103" s="68">
        <f>IF($AE103=0,0,IF($B103=Háttér_listák!$B$122,($T103+$Y103)*AJ103,""))</f>
        <v>0</v>
      </c>
    </row>
    <row r="104" spans="2:52">
      <c r="B104" s="251"/>
      <c r="C104" s="246">
        <f>IF(B104=Háttér_listák!$B$121,1,0)</f>
        <v>0</v>
      </c>
      <c r="D104" s="246">
        <f t="shared" si="6"/>
        <v>12</v>
      </c>
      <c r="E104" s="247"/>
      <c r="F104" s="248"/>
      <c r="G104" s="247"/>
      <c r="H104" s="248"/>
      <c r="I104" s="249"/>
      <c r="J104" s="561"/>
      <c r="K104" s="574">
        <f>IF(B104=Háttér_listák!$B$121,"",Beruházási_ktg_input!I104*Beruházási_ktg_input!J104)</f>
        <v>0</v>
      </c>
      <c r="L104" s="576">
        <f>IF(B104=Háttér_listák!$B$121,SUMIF(Beruházási_ktg_input!D104:$D$107,Beruházási_ktg_input!D104+1,Beruházási_ktg_input!L104:$L$107),Beruházási_ktg_input!$K104)</f>
        <v>0</v>
      </c>
      <c r="M104" s="570"/>
      <c r="N104" s="566">
        <v>0</v>
      </c>
      <c r="O104" s="559">
        <f>IF(B104=Háttér_listák!$B$121,SUMIF(Beruházási_ktg_input!$D$107:D169,Beruházási_ktg_input!D104+1,$O$107:O169),L104+N104)</f>
        <v>0</v>
      </c>
      <c r="P104" s="249">
        <v>0</v>
      </c>
      <c r="Q104" s="251"/>
      <c r="R104" s="248"/>
      <c r="S104" s="248"/>
      <c r="T104" s="67">
        <f>IF($B104=Háttér_listák!$B$121,SUMIF($D$107:D169,D104+1,$T$107:T169),IF(Q104=Háttér_listák!$B$125,Beruházási_ktg_input!L104,0))</f>
        <v>0</v>
      </c>
      <c r="U104" s="51">
        <f>IF($B104=Háttér_listák!$B$121,SUMIF($D$107:D169,D104+1,$U$107:U169),IF(AND(Q104=Háttér_listák!$B$125,Beruházási_ktg_input!S104=Háttér_listák!$B$130,Főoldal!$C$15="Igen"),Beruházási_ktg_input!N104,0))</f>
        <v>0</v>
      </c>
      <c r="V104" s="51">
        <f t="shared" si="7"/>
        <v>0</v>
      </c>
      <c r="W104" s="51">
        <f>IF($B104=Háttér_listák!$B$121,SUMIF($D$107:D169,D104+1,$W$107:W169),IF(AND(Q104=Háttér_listák!$B$125,Beruházási_ktg_input!S104=Háttér_listák!$B$130,Főoldal!$C$15="Nem"),Beruházási_ktg_input!N104,0))</f>
        <v>0</v>
      </c>
      <c r="X104" s="51">
        <f>IF($B104=Háttér_listák!$B$121,SUMIF($D$107:D169,D104+1,$X$107:X169),IF(AND(Q104=Háttér_listák!$B$125,Beruházási_ktg_input!S104=Háttér_listák!$B$129),Beruházási_ktg_input!N104,0))</f>
        <v>0</v>
      </c>
      <c r="Y104" s="51">
        <f>IF($B104=Háttér_listák!$B$121,SUMIF($D$107:D169,D104+1,$Y$107:Y169),IF(Q104=Háttér_listák!$B$126,Beruházási_ktg_input!L104,0))</f>
        <v>0</v>
      </c>
      <c r="Z104" s="51">
        <f>IF($B104=Háttér_listák!$B$121,SUMIF($D$107:D169,D104+1,$Z$107:Z169),IF(AND(Q104=Háttér_listák!$B$126,Beruházási_ktg_input!S104=Háttér_listák!$B$129),Beruházási_ktg_input!N104,0))</f>
        <v>0</v>
      </c>
      <c r="AA104" s="51">
        <f>IF($B104=Háttér_listák!$B$121,SUMIF($D$107:D169,D104+1,$AA$107:AA169),IF(AND(Q104=Háttér_listák!$B$126,Beruházási_ktg_input!S104=Háttér_listák!$B$130),Beruházási_ktg_input!N104,0))</f>
        <v>0</v>
      </c>
      <c r="AB104" s="51">
        <f t="shared" si="8"/>
        <v>0</v>
      </c>
      <c r="AC104" s="51">
        <f t="shared" si="9"/>
        <v>0</v>
      </c>
      <c r="AD104" s="51">
        <f t="shared" si="10"/>
        <v>0</v>
      </c>
      <c r="AE104" s="68">
        <f t="shared" si="11"/>
        <v>0</v>
      </c>
      <c r="AF104" s="258"/>
      <c r="AG104" s="259"/>
      <c r="AH104" s="259"/>
      <c r="AI104" s="259"/>
      <c r="AJ104" s="260"/>
      <c r="AK104" s="70" t="str">
        <f>IF(SUM(AF104:AJ104)=0,"",IF(SUM(AF104:AJ104)=1,Háttér_listák!$B$133,Háttér_listák!$B$134))</f>
        <v/>
      </c>
      <c r="AL104" s="67">
        <f>IF($AE104=0,0,IF($B104=Háttér_listák!$B$122,Beruházási_ktg_input!$V104*Beruházási_ktg_input!AF104,""))</f>
        <v>0</v>
      </c>
      <c r="AM104" s="51">
        <f>IF($AE104=0,0,IF($B104=Háttér_listák!$B$122,Beruházási_ktg_input!$V104*Beruházási_ktg_input!AG104,""))</f>
        <v>0</v>
      </c>
      <c r="AN104" s="51">
        <f>IF($AE104=0,0,IF($B104=Háttér_listák!$B$122,Beruházási_ktg_input!$V104*Beruházási_ktg_input!AH104,""))</f>
        <v>0</v>
      </c>
      <c r="AO104" s="51">
        <f>IF($AE104=0,0,IF($B104=Háttér_listák!$B$122,Beruházási_ktg_input!$V104*Beruházási_ktg_input!AI104,""))</f>
        <v>0</v>
      </c>
      <c r="AP104" s="68">
        <f>IF($AE104=0,0,IF($B104=Háttér_listák!$B$122,Beruházási_ktg_input!$V104*Beruházási_ktg_input!AJ104,""))</f>
        <v>0</v>
      </c>
      <c r="AQ104" s="67">
        <f>IF($AE104=0,0,IF($B104=Háttér_listák!$B$122,Beruházási_ktg_input!$AD104*Beruházási_ktg_input!AF104,""))</f>
        <v>0</v>
      </c>
      <c r="AR104" s="51">
        <f>IF($AE104=0,0,IF($B104=Háttér_listák!$B$122,Beruházási_ktg_input!$AD104*Beruházási_ktg_input!AG104,""))</f>
        <v>0</v>
      </c>
      <c r="AS104" s="51">
        <f>IF($AE104=0,0,IF($B104=Háttér_listák!$B$122,Beruházási_ktg_input!$AD104*Beruházási_ktg_input!AH104,""))</f>
        <v>0</v>
      </c>
      <c r="AT104" s="51">
        <f>IF($AE104=0,0,IF($B104=Háttér_listák!$B$122,Beruházási_ktg_input!$AD104*Beruházási_ktg_input!AI104,""))</f>
        <v>0</v>
      </c>
      <c r="AU104" s="71">
        <f>IF($AE104=0,0,IF($B104=Háttér_listák!$B$122,Beruházási_ktg_input!$AD104*Beruházási_ktg_input!AJ104,""))</f>
        <v>0</v>
      </c>
      <c r="AV104" s="67">
        <f>IF($AE104=0,0,IF($B104=Háttér_listák!$B$122,($T104+$Y104)*AF104,""))</f>
        <v>0</v>
      </c>
      <c r="AW104" s="51">
        <f>IF($AE104=0,0,IF($B104=Háttér_listák!$B$122,($T104+$Y104)*AG104,""))</f>
        <v>0</v>
      </c>
      <c r="AX104" s="51">
        <f>IF($AE104=0,0,IF($B104=Háttér_listák!$B$122,($T104+$Y104)*AH104,""))</f>
        <v>0</v>
      </c>
      <c r="AY104" s="51">
        <f>IF($AE104=0,0,IF($B104=Háttér_listák!$B$122,($T104+$Y104)*AI104,""))</f>
        <v>0</v>
      </c>
      <c r="AZ104" s="68">
        <f>IF($AE104=0,0,IF($B104=Háttér_listák!$B$122,($T104+$Y104)*AJ104,""))</f>
        <v>0</v>
      </c>
    </row>
    <row r="105" spans="2:52">
      <c r="B105" s="251"/>
      <c r="C105" s="246">
        <f>IF(B105=Háttér_listák!$B$121,1,0)</f>
        <v>0</v>
      </c>
      <c r="D105" s="246">
        <f>IF(C105=C104,D104,D104+1)</f>
        <v>12</v>
      </c>
      <c r="E105" s="247"/>
      <c r="F105" s="248"/>
      <c r="G105" s="247"/>
      <c r="H105" s="248"/>
      <c r="I105" s="249"/>
      <c r="J105" s="561"/>
      <c r="K105" s="574">
        <f>IF(B105=Háttér_listák!$B$121,"",Beruházási_ktg_input!I105*Beruházási_ktg_input!J105)</f>
        <v>0</v>
      </c>
      <c r="L105" s="576">
        <f>IF(B105=Háttér_listák!$B$121,SUMIF(Beruházási_ktg_input!D105:$D$107,Beruházási_ktg_input!D105+1,Beruházási_ktg_input!L105:$L$107),Beruházási_ktg_input!$K105)</f>
        <v>0</v>
      </c>
      <c r="M105" s="570"/>
      <c r="N105" s="566">
        <v>0</v>
      </c>
      <c r="O105" s="559">
        <f>IF(B105=Háttér_listák!$B$121,SUMIF(Beruházási_ktg_input!$D$107:D122,Beruházási_ktg_input!D105+1,$O$107:O122),L105+N105)</f>
        <v>0</v>
      </c>
      <c r="P105" s="249">
        <v>0</v>
      </c>
      <c r="Q105" s="251"/>
      <c r="R105" s="248"/>
      <c r="S105" s="248"/>
      <c r="T105" s="67">
        <f>IF($B105=Háttér_listák!$B$121,SUMIF($D$107:D122,D105+1,$T$107:T122),IF(Q105=Háttér_listák!$B$125,Beruházási_ktg_input!L105,0))</f>
        <v>0</v>
      </c>
      <c r="U105" s="51">
        <f>IF($B105=Háttér_listák!$B$121,SUMIF($D$107:D122,D105+1,$U$107:U122),IF(AND(Q105=Háttér_listák!$B$125,Beruházási_ktg_input!S105=Háttér_listák!$B$130,Főoldal!$C$15="Igen"),Beruházási_ktg_input!N105,0))</f>
        <v>0</v>
      </c>
      <c r="V105" s="51">
        <f>SUM(T105:U105)</f>
        <v>0</v>
      </c>
      <c r="W105" s="51">
        <f>IF($B105=Háttér_listák!$B$121,SUMIF($D$107:D122,D105+1,$W$107:W122),IF(AND(Q105=Háttér_listák!$B$125,Beruházási_ktg_input!S105=Háttér_listák!$B$130,Főoldal!$C$15="Nem"),Beruházási_ktg_input!N105,0))</f>
        <v>0</v>
      </c>
      <c r="X105" s="51">
        <f>IF($B105=Háttér_listák!$B$121,SUMIF($D$107:D122,D105+1,$X$107:X122),IF(AND(Q105=Háttér_listák!$B$125,Beruházási_ktg_input!S105=Háttér_listák!$B$129),Beruházási_ktg_input!N105,0))</f>
        <v>0</v>
      </c>
      <c r="Y105" s="51">
        <f>IF($B105=Háttér_listák!$B$121,SUMIF($D$107:D122,D105+1,$Y$107:Y122),IF(Q105=Háttér_listák!$B$126,Beruházási_ktg_input!L105,0))</f>
        <v>0</v>
      </c>
      <c r="Z105" s="51">
        <f>IF($B105=Háttér_listák!$B$121,SUMIF($D$107:D122,D105+1,$Z$107:Z122),IF(AND(Q105=Háttér_listák!$B$126,Beruházási_ktg_input!S105=Háttér_listák!$B$129),Beruházási_ktg_input!N105,0))</f>
        <v>0</v>
      </c>
      <c r="AA105" s="51">
        <f>IF($B105=Háttér_listák!$B$121,SUMIF($D$107:D122,D105+1,$AA$107:AA122),IF(AND(Q105=Háttér_listák!$B$126,Beruházási_ktg_input!S105=Háttér_listák!$B$130),Beruházási_ktg_input!N105,0))</f>
        <v>0</v>
      </c>
      <c r="AB105" s="51">
        <f>Y105+AA105</f>
        <v>0</v>
      </c>
      <c r="AC105" s="51">
        <f>V105+AB105</f>
        <v>0</v>
      </c>
      <c r="AD105" s="51">
        <f>SUM(W105:AA105)</f>
        <v>0</v>
      </c>
      <c r="AE105" s="68">
        <f>V105+AD105</f>
        <v>0</v>
      </c>
      <c r="AF105" s="258"/>
      <c r="AG105" s="259"/>
      <c r="AH105" s="259"/>
      <c r="AI105" s="259"/>
      <c r="AJ105" s="260"/>
      <c r="AK105" s="70" t="str">
        <f>IF(SUM(AF105:AJ105)=0,"",IF(SUM(AF105:AJ105)=1,Háttér_listák!$B$133,Háttér_listák!$B$134))</f>
        <v/>
      </c>
      <c r="AL105" s="67">
        <f>IF($AE105=0,0,IF($B105=Háttér_listák!$B$122,Beruházási_ktg_input!$V105*Beruházási_ktg_input!AF105,""))</f>
        <v>0</v>
      </c>
      <c r="AM105" s="51">
        <f>IF($AE105=0,0,IF($B105=Háttér_listák!$B$122,Beruházási_ktg_input!$V105*Beruházási_ktg_input!AG105,""))</f>
        <v>0</v>
      </c>
      <c r="AN105" s="51">
        <f>IF($AE105=0,0,IF($B105=Háttér_listák!$B$122,Beruházási_ktg_input!$V105*Beruházási_ktg_input!AH105,""))</f>
        <v>0</v>
      </c>
      <c r="AO105" s="51">
        <f>IF($AE105=0,0,IF($B105=Háttér_listák!$B$122,Beruházási_ktg_input!$V105*Beruházási_ktg_input!AI105,""))</f>
        <v>0</v>
      </c>
      <c r="AP105" s="68">
        <f>IF($AE105=0,0,IF($B105=Háttér_listák!$B$122,Beruházási_ktg_input!$V105*Beruházási_ktg_input!AJ105,""))</f>
        <v>0</v>
      </c>
      <c r="AQ105" s="67">
        <f>IF($AE105=0,0,IF($B105=Háttér_listák!$B$122,Beruházási_ktg_input!$AD105*Beruházási_ktg_input!AF105,""))</f>
        <v>0</v>
      </c>
      <c r="AR105" s="51">
        <f>IF($AE105=0,0,IF($B105=Háttér_listák!$B$122,Beruházási_ktg_input!$AD105*Beruházási_ktg_input!AG105,""))</f>
        <v>0</v>
      </c>
      <c r="AS105" s="51">
        <f>IF($AE105=0,0,IF($B105=Háttér_listák!$B$122,Beruházási_ktg_input!$AD105*Beruházási_ktg_input!AH105,""))</f>
        <v>0</v>
      </c>
      <c r="AT105" s="51">
        <f>IF($AE105=0,0,IF($B105=Háttér_listák!$B$122,Beruházási_ktg_input!$AD105*Beruházási_ktg_input!AI105,""))</f>
        <v>0</v>
      </c>
      <c r="AU105" s="71">
        <f>IF($AE105=0,0,IF($B105=Háttér_listák!$B$122,Beruházási_ktg_input!$AD105*Beruházási_ktg_input!AJ105,""))</f>
        <v>0</v>
      </c>
      <c r="AV105" s="67">
        <f>IF($AE105=0,0,IF($B105=Háttér_listák!$B$122,($T105+$Y105)*AF105,""))</f>
        <v>0</v>
      </c>
      <c r="AW105" s="51">
        <f>IF($AE105=0,0,IF($B105=Háttér_listák!$B$122,($T105+$Y105)*AG105,""))</f>
        <v>0</v>
      </c>
      <c r="AX105" s="51">
        <f>IF($AE105=0,0,IF($B105=Háttér_listák!$B$122,($T105+$Y105)*AH105,""))</f>
        <v>0</v>
      </c>
      <c r="AY105" s="51">
        <f>IF($AE105=0,0,IF($B105=Háttér_listák!$B$122,($T105+$Y105)*AI105,""))</f>
        <v>0</v>
      </c>
      <c r="AZ105" s="68">
        <f>IF($AE105=0,0,IF($B105=Háttér_listák!$B$122,($T105+$Y105)*AJ105,""))</f>
        <v>0</v>
      </c>
    </row>
    <row r="106" spans="2:52">
      <c r="B106" s="251"/>
      <c r="C106" s="246">
        <f>IF(B106=Háttér_listák!$B$121,1,0)</f>
        <v>0</v>
      </c>
      <c r="D106" s="246">
        <f>IF(C106=C105,D105,D105+1)</f>
        <v>12</v>
      </c>
      <c r="E106" s="247"/>
      <c r="F106" s="248"/>
      <c r="G106" s="247"/>
      <c r="H106" s="248"/>
      <c r="I106" s="249"/>
      <c r="J106" s="561"/>
      <c r="K106" s="574">
        <f>IF(B106=Háttér_listák!$B$121,"",Beruházási_ktg_input!I106*Beruházási_ktg_input!J106)</f>
        <v>0</v>
      </c>
      <c r="L106" s="576">
        <f>IF(B106=Háttér_listák!$B$121,SUMIF(Beruházási_ktg_input!D106:$D$107,Beruházási_ktg_input!D106+1,Beruházási_ktg_input!L106:$L$107),Beruházási_ktg_input!$K106)</f>
        <v>0</v>
      </c>
      <c r="M106" s="570"/>
      <c r="N106" s="566">
        <v>0</v>
      </c>
      <c r="O106" s="559">
        <f>IF(B106=Háttér_listák!$B$121,SUMIF(Beruházási_ktg_input!$D$107:D123,Beruházási_ktg_input!D106+1,$O$107:O123),L106+N106)</f>
        <v>0</v>
      </c>
      <c r="P106" s="249">
        <v>0</v>
      </c>
      <c r="Q106" s="251"/>
      <c r="R106" s="248"/>
      <c r="S106" s="248"/>
      <c r="T106" s="67">
        <f>IF($B106=Háttér_listák!$B$121,SUMIF($D$107:D123,D106+1,$T$107:T123),IF(Q106=Háttér_listák!$B$125,Beruházási_ktg_input!L106,0))</f>
        <v>0</v>
      </c>
      <c r="U106" s="51">
        <f>IF($B106=Háttér_listák!$B$121,SUMIF($D$107:D123,D106+1,$U$107:U123),IF(AND(Q106=Háttér_listák!$B$125,Beruházási_ktg_input!S106=Háttér_listák!$B$130,Főoldal!$C$15="Igen"),Beruházási_ktg_input!N106,0))</f>
        <v>0</v>
      </c>
      <c r="V106" s="51">
        <f>SUM(T106:U106)</f>
        <v>0</v>
      </c>
      <c r="W106" s="51">
        <f>IF($B106=Háttér_listák!$B$121,SUMIF($D$107:D123,D106+1,$W$107:W123),IF(AND(Q106=Háttér_listák!$B$125,Beruházási_ktg_input!S106=Háttér_listák!$B$130,Főoldal!$C$15="Nem"),Beruházási_ktg_input!N106,0))</f>
        <v>0</v>
      </c>
      <c r="X106" s="51">
        <f>IF($B106=Háttér_listák!$B$121,SUMIF($D$107:D123,D106+1,$X$107:X123),IF(AND(Q106=Háttér_listák!$B$125,Beruházási_ktg_input!S106=Háttér_listák!$B$129),Beruházási_ktg_input!N106,0))</f>
        <v>0</v>
      </c>
      <c r="Y106" s="51">
        <f>IF($B106=Háttér_listák!$B$121,SUMIF($D$107:D123,D106+1,$Y$107:Y123),IF(Q106=Háttér_listák!$B$126,Beruházási_ktg_input!L106,0))</f>
        <v>0</v>
      </c>
      <c r="Z106" s="51">
        <f>IF($B106=Háttér_listák!$B$121,SUMIF($D$107:D123,D106+1,$Z$107:Z123),IF(AND(Q106=Háttér_listák!$B$126,Beruházási_ktg_input!S106=Háttér_listák!$B$129),Beruházási_ktg_input!N106,0))</f>
        <v>0</v>
      </c>
      <c r="AA106" s="51">
        <f>IF($B106=Háttér_listák!$B$121,SUMIF($D$107:D123,D106+1,$AA$107:AA123),IF(AND(Q106=Háttér_listák!$B$126,Beruházási_ktg_input!S106=Háttér_listák!$B$130),Beruházási_ktg_input!N106,0))</f>
        <v>0</v>
      </c>
      <c r="AB106" s="51">
        <f>Y106+AA106</f>
        <v>0</v>
      </c>
      <c r="AC106" s="51">
        <f>V106+AB106</f>
        <v>0</v>
      </c>
      <c r="AD106" s="51">
        <f>SUM(W106:AA106)</f>
        <v>0</v>
      </c>
      <c r="AE106" s="68">
        <f>V106+AD106</f>
        <v>0</v>
      </c>
      <c r="AF106" s="258"/>
      <c r="AG106" s="259"/>
      <c r="AH106" s="259"/>
      <c r="AI106" s="259"/>
      <c r="AJ106" s="260"/>
      <c r="AK106" s="70" t="str">
        <f>IF(SUM(AF106:AJ106)=0,"",IF(SUM(AF106:AJ106)=1,Háttér_listák!$B$133,Háttér_listák!$B$134))</f>
        <v/>
      </c>
      <c r="AL106" s="67">
        <f>IF($AE106=0,0,IF($B106=Háttér_listák!$B$122,Beruházási_ktg_input!$V106*Beruházási_ktg_input!AF106,""))</f>
        <v>0</v>
      </c>
      <c r="AM106" s="51">
        <f>IF($AE106=0,0,IF($B106=Háttér_listák!$B$122,Beruházási_ktg_input!$V106*Beruházási_ktg_input!AG106,""))</f>
        <v>0</v>
      </c>
      <c r="AN106" s="51">
        <f>IF($AE106=0,0,IF($B106=Háttér_listák!$B$122,Beruházási_ktg_input!$V106*Beruházási_ktg_input!AH106,""))</f>
        <v>0</v>
      </c>
      <c r="AO106" s="51">
        <f>IF($AE106=0,0,IF($B106=Háttér_listák!$B$122,Beruházási_ktg_input!$V106*Beruházási_ktg_input!AI106,""))</f>
        <v>0</v>
      </c>
      <c r="AP106" s="68">
        <f>IF($AE106=0,0,IF($B106=Háttér_listák!$B$122,Beruházási_ktg_input!$V106*Beruházási_ktg_input!AJ106,""))</f>
        <v>0</v>
      </c>
      <c r="AQ106" s="67">
        <f>IF($AE106=0,0,IF($B106=Háttér_listák!$B$122,Beruházási_ktg_input!$AD106*Beruházási_ktg_input!AF106,""))</f>
        <v>0</v>
      </c>
      <c r="AR106" s="51">
        <f>IF($AE106=0,0,IF($B106=Háttér_listák!$B$122,Beruházási_ktg_input!$AD106*Beruházási_ktg_input!AG106,""))</f>
        <v>0</v>
      </c>
      <c r="AS106" s="51">
        <f>IF($AE106=0,0,IF($B106=Háttér_listák!$B$122,Beruházási_ktg_input!$AD106*Beruházási_ktg_input!AH106,""))</f>
        <v>0</v>
      </c>
      <c r="AT106" s="51">
        <f>IF($AE106=0,0,IF($B106=Háttér_listák!$B$122,Beruházási_ktg_input!$AD106*Beruházási_ktg_input!AI106,""))</f>
        <v>0</v>
      </c>
      <c r="AU106" s="71">
        <f>IF($AE106=0,0,IF($B106=Háttér_listák!$B$122,Beruházási_ktg_input!$AD106*Beruházási_ktg_input!AJ106,""))</f>
        <v>0</v>
      </c>
      <c r="AV106" s="67">
        <f>IF($AE106=0,0,IF($B106=Háttér_listák!$B$122,($T106+$Y106)*AF106,""))</f>
        <v>0</v>
      </c>
      <c r="AW106" s="51">
        <f>IF($AE106=0,0,IF($B106=Háttér_listák!$B$122,($T106+$Y106)*AG106,""))</f>
        <v>0</v>
      </c>
      <c r="AX106" s="51">
        <f>IF($AE106=0,0,IF($B106=Háttér_listák!$B$122,($T106+$Y106)*AH106,""))</f>
        <v>0</v>
      </c>
      <c r="AY106" s="51">
        <f>IF($AE106=0,0,IF($B106=Háttér_listák!$B$122,($T106+$Y106)*AI106,""))</f>
        <v>0</v>
      </c>
      <c r="AZ106" s="68">
        <f>IF($AE106=0,0,IF($B106=Háttér_listák!$B$122,($T106+$Y106)*AJ106,""))</f>
        <v>0</v>
      </c>
    </row>
    <row r="107" spans="2:52" ht="14.4" thickBot="1">
      <c r="B107" s="252"/>
      <c r="C107" s="253">
        <f>IF(B107=Háttér_listák!$B$121,1,0)</f>
        <v>0</v>
      </c>
      <c r="D107" s="254">
        <f>IF(C107=C106,D106,D106+1)</f>
        <v>12</v>
      </c>
      <c r="E107" s="255"/>
      <c r="F107" s="256"/>
      <c r="G107" s="255"/>
      <c r="H107" s="256"/>
      <c r="I107" s="257"/>
      <c r="J107" s="563"/>
      <c r="K107" s="575">
        <f>IF(B107=Háttér_listák!$B$121,"",Beruházási_ktg_input!I107*Beruházási_ktg_input!J107)</f>
        <v>0</v>
      </c>
      <c r="L107" s="577">
        <f>IF(B107=Háttér_listák!$B$121,SUMIF(Beruházási_ktg_input!D107:$D$107,Beruházási_ktg_input!D107+1,Beruházási_ktg_input!L107:$L$107),Beruházási_ktg_input!$K107)</f>
        <v>0</v>
      </c>
      <c r="M107" s="572"/>
      <c r="N107" s="568">
        <v>0</v>
      </c>
      <c r="O107" s="560">
        <f>IF(B107=Háttér_listák!$B$121,SUMIF(Beruházási_ktg_input!$D$107:D124,Beruházási_ktg_input!D107+1,$O$107:O124),L107+N107)</f>
        <v>0</v>
      </c>
      <c r="P107" s="257">
        <v>0</v>
      </c>
      <c r="Q107" s="252"/>
      <c r="R107" s="256"/>
      <c r="S107" s="256"/>
      <c r="T107" s="72">
        <f>IF($B107=Háttér_listák!$B$121,SUMIF($D$107:D124,D107+1,$T$107:T124),IF(Q107=Háttér_listák!$B$125,Beruházási_ktg_input!L107,0))</f>
        <v>0</v>
      </c>
      <c r="U107" s="51">
        <f>IF($B107=Háttér_listák!$B$121,SUMIF($D$107:D124,D107+1,$U$107:U124),IF(AND(Q107=Háttér_listák!$B$125,Beruházási_ktg_input!S107=Háttér_listák!$B$130,Főoldal!$C$15="Igen"),Beruházási_ktg_input!N107,0))</f>
        <v>0</v>
      </c>
      <c r="V107" s="51">
        <f>SUM(T107:U107)</f>
        <v>0</v>
      </c>
      <c r="W107" s="51">
        <f>IF($B107=Háttér_listák!$B$121,SUMIF($D$107:D124,D107+1,$W$107:W124),IF(AND(Q107=Háttér_listák!$B$125,Beruházási_ktg_input!S107=Háttér_listák!$B$130,Főoldal!$C$15="Nem"),Beruházási_ktg_input!N107,0))</f>
        <v>0</v>
      </c>
      <c r="X107" s="51">
        <f>IF($B107=Háttér_listák!$B$121,SUMIF($D$107:D124,D107+1,$X$107:X124),IF(AND(Q107=Háttér_listák!$B$125,Beruházási_ktg_input!S107=Háttér_listák!$B$129),Beruházási_ktg_input!N107,0))</f>
        <v>0</v>
      </c>
      <c r="Y107" s="51">
        <f>IF($B107=Háttér_listák!$B$121,SUMIF($D$107:D124,D107+1,$Y$107:Y124),IF(Q107=Háttér_listák!$B$126,Beruházási_ktg_input!L107,0))</f>
        <v>0</v>
      </c>
      <c r="Z107" s="51">
        <f>IF($B107=Háttér_listák!$B$121,SUMIF($D$107:D124,D107+1,$Z$107:Z124),IF(AND(Q107=Háttér_listák!$B$126,Beruházási_ktg_input!S107=Háttér_listák!$B$129),Beruházási_ktg_input!N107,0))</f>
        <v>0</v>
      </c>
      <c r="AA107" s="51">
        <f>IF($B107=Háttér_listák!$B$121,SUMIF($D$107:D124,D107+1,$AA$107:AA124),IF(AND(Q107=Háttér_listák!$B$126,Beruházási_ktg_input!S107=Háttér_listák!$B$130),Beruházási_ktg_input!N107,0))</f>
        <v>0</v>
      </c>
      <c r="AB107" s="51">
        <f>Y107+AA107</f>
        <v>0</v>
      </c>
      <c r="AC107" s="51">
        <f>V107+AB107</f>
        <v>0</v>
      </c>
      <c r="AD107" s="51">
        <f>SUM(W107:AA107)</f>
        <v>0</v>
      </c>
      <c r="AE107" s="68">
        <f>V107+AD107</f>
        <v>0</v>
      </c>
      <c r="AF107" s="261"/>
      <c r="AG107" s="262"/>
      <c r="AH107" s="262"/>
      <c r="AI107" s="262"/>
      <c r="AJ107" s="263"/>
      <c r="AK107" s="75" t="str">
        <f>IF(SUM(AF107:AJ107)=0,"",IF(SUM(AF107:AJ107)=1,Háttér_listák!$B$133,Háttér_listák!$B$134))</f>
        <v/>
      </c>
      <c r="AL107" s="72">
        <f>IF($AE107=0,0,IF($B107=Háttér_listák!$B$122,Beruházási_ktg_input!$V107*Beruházási_ktg_input!AF107,""))</f>
        <v>0</v>
      </c>
      <c r="AM107" s="74">
        <f>IF($AE107=0,0,IF($B107=Háttér_listák!$B$122,Beruházási_ktg_input!$V107*Beruházási_ktg_input!AG107,""))</f>
        <v>0</v>
      </c>
      <c r="AN107" s="74">
        <f>IF($AE107=0,0,IF($B107=Háttér_listák!$B$122,Beruházási_ktg_input!$V107*Beruházási_ktg_input!AH107,""))</f>
        <v>0</v>
      </c>
      <c r="AO107" s="74">
        <f>IF($AE107=0,0,IF($B107=Háttér_listák!$B$122,Beruházási_ktg_input!$V107*Beruházási_ktg_input!AI107,""))</f>
        <v>0</v>
      </c>
      <c r="AP107" s="73">
        <f>IF($AE107=0,0,IF($B107=Háttér_listák!$B$122,Beruházási_ktg_input!$V107*Beruházási_ktg_input!AJ107,""))</f>
        <v>0</v>
      </c>
      <c r="AQ107" s="72">
        <f>IF($AE107=0,0,IF($B107=Háttér_listák!$B$122,Beruházási_ktg_input!$AD107*Beruházási_ktg_input!AF107,""))</f>
        <v>0</v>
      </c>
      <c r="AR107" s="74">
        <f>IF($AE107=0,0,IF($B107=Háttér_listák!$B$122,Beruházási_ktg_input!$AD107*Beruházási_ktg_input!AG107,""))</f>
        <v>0</v>
      </c>
      <c r="AS107" s="74">
        <f>IF($AE107=0,0,IF($B107=Háttér_listák!$B$122,Beruházási_ktg_input!$AD107*Beruházási_ktg_input!AH107,""))</f>
        <v>0</v>
      </c>
      <c r="AT107" s="74">
        <f>IF($AE107=0,0,IF($B107=Háttér_listák!$B$122,Beruházási_ktg_input!$AD107*Beruházási_ktg_input!AI107,""))</f>
        <v>0</v>
      </c>
      <c r="AU107" s="76">
        <f>IF($AE107=0,0,IF($B107=Háttér_listák!$B$122,Beruházási_ktg_input!$AD107*Beruházási_ktg_input!AJ107,""))</f>
        <v>0</v>
      </c>
      <c r="AV107" s="72">
        <f>IF($AE107=0,0,IF($B107=Háttér_listák!$B$122,($T107+$Y107)*AF107,""))</f>
        <v>0</v>
      </c>
      <c r="AW107" s="74">
        <f>IF($AE107=0,0,IF($B107=Háttér_listák!$B$122,($T107+$Y107)*AG107,""))</f>
        <v>0</v>
      </c>
      <c r="AX107" s="74">
        <f>IF($AE107=0,0,IF($B107=Háttér_listák!$B$122,($T107+$Y107)*AH107,""))</f>
        <v>0</v>
      </c>
      <c r="AY107" s="74">
        <f>IF($AE107=0,0,IF($B107=Háttér_listák!$B$122,($T107+$Y107)*AI107,""))</f>
        <v>0</v>
      </c>
      <c r="AZ107" s="73">
        <f>IF($AE107=0,0,IF($B107=Háttér_listák!$B$122,($T107+$Y107)*AJ107,""))</f>
        <v>0</v>
      </c>
    </row>
    <row r="108" spans="2:52" ht="14.4" thickBot="1">
      <c r="C108" s="49"/>
      <c r="D108" s="49"/>
      <c r="E108" s="244" t="s">
        <v>288</v>
      </c>
      <c r="I108" s="78"/>
      <c r="J108" s="78"/>
      <c r="L108" s="79">
        <f>IF(SUM($D$8:$D$107)&gt;0,SUMIF($B$8:$B$107,Háttér_listák!$B$121,Beruházási_ktg_input!L8:L107),SUM(L8:L107))</f>
        <v>380700000</v>
      </c>
      <c r="N108" s="79">
        <f>SUMIF($B$8:$B$107,"alsor",$N$8:$N$107)</f>
        <v>102804769</v>
      </c>
      <c r="O108" s="79">
        <f>IF(SUM($D$8:$D$107)&gt;0,SUMIF($B$8:$B$107,Háttér_listák!$B$121,Beruházási_ktg_input!O8:O107),SUM(O8:O107))</f>
        <v>483504769</v>
      </c>
      <c r="P108" s="81">
        <f>SUM(P8:P107)</f>
        <v>130900000</v>
      </c>
      <c r="T108" s="81">
        <f>IF(SUM($D$8:$D$107)&gt;0,SUMIF($B$8:$B$107,Háttér_listák!$B$121,Beruházási_ktg_input!T8:T107),SUM(T8:T107))</f>
        <v>380700000</v>
      </c>
      <c r="U108" s="80">
        <f>IF(SUM($D$8:$D$107)&gt;0,SUMIF($B$8:$B$107,Háttér_listák!$B$121,Beruházási_ktg_input!U8:U107),SUM(U8:U107))</f>
        <v>102804769</v>
      </c>
      <c r="V108" s="80">
        <f>IF(SUM($D$8:$D$107)&gt;0,SUMIF($B$8:$B$107,Háttér_listák!$B$121,Beruházási_ktg_input!V8:V107),SUM(V8:V107))</f>
        <v>483504769</v>
      </c>
      <c r="W108" s="80">
        <f>IF(SUM($D$8:$D$107)&gt;0,SUMIF($B$8:$B$107,Háttér_listák!$B$121,Beruházási_ktg_input!W8:W107),SUM(W8:W107))</f>
        <v>0</v>
      </c>
      <c r="X108" s="80">
        <f>IF(SUM($D$8:$D$107)&gt;0,SUMIF($B$8:$B$107,Háttér_listák!$B$121,Beruházási_ktg_input!X8:X107),SUM(X8:X107))</f>
        <v>0</v>
      </c>
      <c r="Y108" s="80">
        <f>IF(SUM($D$8:$D$107)&gt;0,SUMIF($B$8:$B$107,Háttér_listák!$B$121,Beruházási_ktg_input!Y8:Y107),SUM(Y8:Y107))</f>
        <v>0</v>
      </c>
      <c r="Z108" s="80">
        <f>IF(SUM($D$8:$D$107)&gt;0,SUMIF($B$8:$B$107,Háttér_listák!$B$121,Beruházási_ktg_input!Z8:Z107),SUM(Z8:Z107))</f>
        <v>0</v>
      </c>
      <c r="AA108" s="80">
        <f>IF(SUM($D$8:$D$107)&gt;0,SUMIF($B$8:$B$107,Háttér_listák!$B$121,Beruházási_ktg_input!AA8:AA107),SUM(AA8:AA107))</f>
        <v>0</v>
      </c>
      <c r="AB108" s="80">
        <f>IF(SUM($D$8:$D$107)&gt;0,SUMIF($B$8:$B$107,Háttér_listák!$B$121,Beruházási_ktg_input!AB8:AB107),SUM(AB8:AB107))</f>
        <v>0</v>
      </c>
      <c r="AC108" s="80">
        <f>IF(SUM($D$8:$D$107)&gt;0,SUMIF($B$8:$B$107,Háttér_listák!$B$121,Beruházási_ktg_input!AC8:AC107),SUM(AC8:AC107))</f>
        <v>483504769</v>
      </c>
      <c r="AD108" s="80">
        <f>IF(SUM($D$8:$D$107)&gt;0,SUMIF($B$8:$B$107,Háttér_listák!$B$121,Beruházási_ktg_input!AD8:AD107),SUM(AD8:AD107))</f>
        <v>0</v>
      </c>
      <c r="AE108" s="80">
        <f>IF(SUM($D$8:$D$107)&gt;0,SUMIF($B$8:$B$107,Háttér_listák!$B$121,Beruházási_ktg_input!AE8:AE107),SUM(AE8:AE107))</f>
        <v>483504769</v>
      </c>
      <c r="AL108" s="81">
        <f t="shared" ref="AL108:AZ108" si="18">SUM(AL8:AL107)</f>
        <v>483504769</v>
      </c>
      <c r="AM108" s="81">
        <f t="shared" si="18"/>
        <v>0</v>
      </c>
      <c r="AN108" s="81">
        <f t="shared" si="18"/>
        <v>0</v>
      </c>
      <c r="AO108" s="81">
        <f t="shared" si="18"/>
        <v>0</v>
      </c>
      <c r="AP108" s="81">
        <f t="shared" si="18"/>
        <v>0</v>
      </c>
      <c r="AQ108" s="81">
        <f t="shared" si="18"/>
        <v>0</v>
      </c>
      <c r="AR108" s="81">
        <f t="shared" si="18"/>
        <v>0</v>
      </c>
      <c r="AS108" s="81">
        <f t="shared" si="18"/>
        <v>0</v>
      </c>
      <c r="AT108" s="81">
        <f t="shared" si="18"/>
        <v>0</v>
      </c>
      <c r="AU108" s="81">
        <f t="shared" si="18"/>
        <v>0</v>
      </c>
      <c r="AV108" s="81">
        <f t="shared" si="18"/>
        <v>380700000</v>
      </c>
      <c r="AW108" s="81">
        <f t="shared" si="18"/>
        <v>0</v>
      </c>
      <c r="AX108" s="81">
        <f t="shared" si="18"/>
        <v>0</v>
      </c>
      <c r="AY108" s="81">
        <f t="shared" si="18"/>
        <v>0</v>
      </c>
      <c r="AZ108" s="81">
        <f t="shared" si="18"/>
        <v>0</v>
      </c>
    </row>
    <row r="110" spans="2:52">
      <c r="L110" s="78"/>
    </row>
  </sheetData>
  <sheetProtection algorithmName="SHA-512" hashValue="vjeZScXScAzxCIn+MJ/TrQk33g2Zxr8CY4FEGSbZWAGJDiL86EzsXHOdF7DYsiFX+1nibykTyEfyqsJamopOWA==" saltValue="vAVsk9m6Ky4gmiqv6OqBVw==" spinCount="100000" sheet="1" objects="1" scenarios="1"/>
  <conditionalFormatting sqref="B8:AZ107">
    <cfRule type="expression" dxfId="274" priority="2">
      <formula>$B8="Fősor"</formula>
    </cfRule>
  </conditionalFormatting>
  <dataValidations count="6">
    <dataValidation type="list" allowBlank="1" showInputMessage="1" showErrorMessage="1" sqref="B8:B107" xr:uid="{E0AF8F66-2A4C-4A77-8E41-C917B18759D8}">
      <formula1>ktg_sor</formula1>
    </dataValidation>
    <dataValidation type="list" allowBlank="1" showInputMessage="1" showErrorMessage="1" sqref="Q8:Q107" xr:uid="{EEE2C780-DA52-43F6-9D08-36B699241D96}">
      <formula1>elsz_nem_elsz_ktg</formula1>
    </dataValidation>
    <dataValidation type="list" allowBlank="1" showInputMessage="1" showErrorMessage="1" sqref="S8:S107" xr:uid="{952FBF48-48FF-4301-966B-EB279B66B1ED}">
      <formula1>afa_visszaig</formula1>
    </dataValidation>
    <dataValidation type="decimal" allowBlank="1" showInputMessage="1" showErrorMessage="1" sqref="AF8:AJ107" xr:uid="{6C69976A-A857-4556-A7C6-15BF4945EF20}">
      <formula1>0</formula1>
      <formula2>1</formula2>
    </dataValidation>
    <dataValidation type="whole" operator="greaterThan" allowBlank="1" showInputMessage="1" showErrorMessage="1" sqref="I8:I107" xr:uid="{B52FEC6D-3D4E-48B8-BE91-46BCDB23E571}">
      <formula1>0</formula1>
    </dataValidation>
    <dataValidation type="whole" operator="greaterThanOrEqual" allowBlank="1" showInputMessage="1" showErrorMessage="1" sqref="J8:J107 F8:F107" xr:uid="{3FE77E5D-5F9C-4816-9D86-A4399770DAA3}">
      <formula1>0</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EBAAAC-4CBF-48EE-A2CA-ECADEF2743E9}">
          <x14:formula1>
            <xm:f>IF($B8=Háttér_listák!$B$121,nem_rel,kiv_tam_jogcim)</xm:f>
          </x14:formula1>
          <xm:sqref>G8:G107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7239-A0A5-4473-B077-89318E80CFD0}">
  <sheetPr codeName="Munka17">
    <tabColor theme="9" tint="0.79998168889431442"/>
  </sheetPr>
  <dimension ref="A3:AG58"/>
  <sheetViews>
    <sheetView zoomScale="40" zoomScaleNormal="40" workbookViewId="0">
      <selection activeCell="AO33" sqref="AO33"/>
    </sheetView>
  </sheetViews>
  <sheetFormatPr defaultColWidth="9.19921875" defaultRowHeight="15" customHeight="1"/>
  <cols>
    <col min="1" max="1" width="17.5" style="47" customWidth="1"/>
    <col min="2" max="2" width="108.5" style="47" customWidth="1"/>
    <col min="3" max="33" width="18.69921875" style="47" customWidth="1"/>
    <col min="34" max="16384" width="9.19921875" style="47"/>
  </cols>
  <sheetData>
    <row r="3" spans="1:33" s="83" customFormat="1" ht="13.8">
      <c r="A3" s="82" t="s">
        <v>289</v>
      </c>
    </row>
    <row r="4" spans="1:33" ht="14.4" thickBot="1"/>
    <row r="5" spans="1:33" ht="14.4" thickBot="1">
      <c r="B5" s="265" t="s">
        <v>290</v>
      </c>
    </row>
    <row r="6" spans="1:33" ht="174" thickBot="1">
      <c r="B6" s="266" t="s">
        <v>291</v>
      </c>
      <c r="C6" s="45"/>
    </row>
    <row r="7" spans="1:33" ht="13.8"/>
    <row r="8" spans="1:33" ht="13.8">
      <c r="B8" s="267" t="s">
        <v>292</v>
      </c>
    </row>
    <row r="9" spans="1:33" ht="16.2" customHeight="1">
      <c r="B9" s="268" t="s">
        <v>293</v>
      </c>
      <c r="C9" s="270" t="s">
        <v>294</v>
      </c>
      <c r="D9" s="84" cm="1">
        <f t="array" ref="D9:W9">Háttér_listák!$B$139:INDEX(Háttér_listák!$B$139:$AF$139,MATCH(0,Háttér_listák!$B$138:$AF$138,0)-1)</f>
        <v>2025</v>
      </c>
      <c r="E9" s="84">
        <v>2026</v>
      </c>
      <c r="F9" s="84">
        <v>2027</v>
      </c>
      <c r="G9" s="84">
        <v>2028</v>
      </c>
      <c r="H9" s="84">
        <v>2029</v>
      </c>
      <c r="I9" s="84">
        <v>2030</v>
      </c>
      <c r="J9" s="84">
        <v>2031</v>
      </c>
      <c r="K9" s="84">
        <v>2032</v>
      </c>
      <c r="L9" s="84">
        <v>2033</v>
      </c>
      <c r="M9" s="84">
        <v>2034</v>
      </c>
      <c r="N9" s="84">
        <v>2035</v>
      </c>
      <c r="O9" s="84">
        <v>2036</v>
      </c>
      <c r="P9" s="84">
        <v>2037</v>
      </c>
      <c r="Q9" s="84">
        <v>2038</v>
      </c>
      <c r="R9" s="84">
        <v>2039</v>
      </c>
      <c r="S9" s="84">
        <v>2040</v>
      </c>
      <c r="T9" s="84">
        <v>2041</v>
      </c>
      <c r="U9" s="84">
        <v>2042</v>
      </c>
      <c r="V9" s="84">
        <v>2043</v>
      </c>
      <c r="W9" s="84">
        <v>2044</v>
      </c>
      <c r="X9" s="84"/>
      <c r="Y9" s="84"/>
      <c r="Z9" s="84"/>
      <c r="AA9" s="84"/>
      <c r="AB9" s="84"/>
      <c r="AC9" s="84"/>
      <c r="AD9" s="84"/>
      <c r="AE9" s="84"/>
      <c r="AF9" s="84"/>
      <c r="AG9" s="84"/>
    </row>
    <row r="10" spans="1:33" ht="16.2" customHeight="1">
      <c r="A10" s="66"/>
      <c r="B10" s="269" t="s">
        <v>295</v>
      </c>
      <c r="C10" s="534">
        <f>D10+NPV(fdr_áll,E10:AG10)</f>
        <v>11741018.834411377</v>
      </c>
      <c r="D10" s="271">
        <f>Háttérszámítások!D37</f>
        <v>0</v>
      </c>
      <c r="E10" s="271">
        <f>Háttérszámítások!E37</f>
        <v>1000000</v>
      </c>
      <c r="F10" s="271">
        <f>Háttérszámítások!F37</f>
        <v>1000000</v>
      </c>
      <c r="G10" s="271">
        <f>Háttérszámítások!G37</f>
        <v>1000000</v>
      </c>
      <c r="H10" s="271">
        <f>Háttérszámítások!H37</f>
        <v>1000000</v>
      </c>
      <c r="I10" s="271">
        <f>Háttérszámítások!I37</f>
        <v>1000000</v>
      </c>
      <c r="J10" s="271">
        <f>Háttérszámítások!J37</f>
        <v>1000000</v>
      </c>
      <c r="K10" s="271">
        <f>Háttérszámítások!K37</f>
        <v>1000000</v>
      </c>
      <c r="L10" s="271">
        <f>Háttérszámítások!L37</f>
        <v>1000000</v>
      </c>
      <c r="M10" s="271">
        <f>Háttérszámítások!M37</f>
        <v>1000000</v>
      </c>
      <c r="N10" s="271">
        <f>Háttérszámítások!N37</f>
        <v>1000000</v>
      </c>
      <c r="O10" s="271">
        <f>Háttérszámítások!O37</f>
        <v>1000000</v>
      </c>
      <c r="P10" s="271">
        <f>Háttérszámítások!P37</f>
        <v>1000000</v>
      </c>
      <c r="Q10" s="271">
        <f>Háttérszámítások!Q37</f>
        <v>1000000</v>
      </c>
      <c r="R10" s="271">
        <f>Háttérszámítások!R37</f>
        <v>1000000</v>
      </c>
      <c r="S10" s="271">
        <f>Háttérszámítások!S37</f>
        <v>1000000</v>
      </c>
      <c r="T10" s="271">
        <f>Háttérszámítások!T37</f>
        <v>1000000</v>
      </c>
      <c r="U10" s="271">
        <f>Háttérszámítások!U37</f>
        <v>1000000</v>
      </c>
      <c r="V10" s="271">
        <f>Háttérszámítások!V37</f>
        <v>1000000</v>
      </c>
      <c r="W10" s="271">
        <f>Háttérszámítások!W37</f>
        <v>1000000</v>
      </c>
      <c r="X10" s="271">
        <f>Háttérszámítások!X37</f>
        <v>1000000</v>
      </c>
      <c r="Y10" s="271">
        <f>Háttérszámítások!Y37</f>
        <v>1000000</v>
      </c>
      <c r="Z10" s="271">
        <f>Háttérszámítások!Z37</f>
        <v>1000000</v>
      </c>
      <c r="AA10" s="271">
        <f>Háttérszámítások!AA37</f>
        <v>1000000</v>
      </c>
      <c r="AB10" s="271">
        <f>Háttérszámítások!AB37</f>
        <v>1000000</v>
      </c>
      <c r="AC10" s="271">
        <f>Háttérszámítások!AC37</f>
        <v>1000000</v>
      </c>
      <c r="AD10" s="271">
        <f>Háttérszámítások!AD37</f>
        <v>1000000</v>
      </c>
      <c r="AE10" s="271">
        <f>Háttérszámítások!AE37</f>
        <v>1000000</v>
      </c>
      <c r="AF10" s="271">
        <f>Háttérszámítások!AF37</f>
        <v>1000000</v>
      </c>
      <c r="AG10" s="271">
        <f>Háttérszámítások!AG37</f>
        <v>1000000</v>
      </c>
    </row>
    <row r="11" spans="1:33" ht="16.2" customHeight="1">
      <c r="B11" s="269" t="s">
        <v>296</v>
      </c>
      <c r="C11" s="534">
        <f>D11+NPV(fdr_nem_áll,E11:AG11)</f>
        <v>8805764.1258085351</v>
      </c>
      <c r="D11" s="271">
        <f>Háttérszámítások!D38</f>
        <v>0</v>
      </c>
      <c r="E11" s="271">
        <f>Háttérszámítások!E38</f>
        <v>750000</v>
      </c>
      <c r="F11" s="271">
        <f>Háttérszámítások!F38</f>
        <v>750000</v>
      </c>
      <c r="G11" s="271">
        <f>Háttérszámítások!G38</f>
        <v>750000</v>
      </c>
      <c r="H11" s="271">
        <f>Háttérszámítások!H38</f>
        <v>750000</v>
      </c>
      <c r="I11" s="271">
        <f>Háttérszámítások!I38</f>
        <v>750000</v>
      </c>
      <c r="J11" s="271">
        <f>Háttérszámítások!J38</f>
        <v>750000</v>
      </c>
      <c r="K11" s="271">
        <f>Háttérszámítások!K38</f>
        <v>750000</v>
      </c>
      <c r="L11" s="271">
        <f>Háttérszámítások!L38</f>
        <v>750000</v>
      </c>
      <c r="M11" s="271">
        <f>Háttérszámítások!M38</f>
        <v>750000</v>
      </c>
      <c r="N11" s="271">
        <f>Háttérszámítások!N38</f>
        <v>750000</v>
      </c>
      <c r="O11" s="271">
        <f>Háttérszámítások!O38</f>
        <v>750000</v>
      </c>
      <c r="P11" s="271">
        <f>Háttérszámítások!P38</f>
        <v>750000</v>
      </c>
      <c r="Q11" s="271">
        <f>Háttérszámítások!Q38</f>
        <v>750000</v>
      </c>
      <c r="R11" s="271">
        <f>Háttérszámítások!R38</f>
        <v>750000</v>
      </c>
      <c r="S11" s="271">
        <f>Háttérszámítások!S38</f>
        <v>750000</v>
      </c>
      <c r="T11" s="271">
        <f>Háttérszámítások!T38</f>
        <v>750000</v>
      </c>
      <c r="U11" s="271">
        <f>Háttérszámítások!U38</f>
        <v>750000</v>
      </c>
      <c r="V11" s="271">
        <f>Háttérszámítások!V38</f>
        <v>750000</v>
      </c>
      <c r="W11" s="271">
        <f>Háttérszámítások!W38</f>
        <v>750000</v>
      </c>
      <c r="X11" s="271">
        <f>Háttérszámítások!X38</f>
        <v>750000</v>
      </c>
      <c r="Y11" s="271">
        <f>Háttérszámítások!Y38</f>
        <v>750000</v>
      </c>
      <c r="Z11" s="271">
        <f>Háttérszámítások!Z38</f>
        <v>750000</v>
      </c>
      <c r="AA11" s="271">
        <f>Háttérszámítások!AA38</f>
        <v>750000</v>
      </c>
      <c r="AB11" s="271">
        <f>Háttérszámítások!AB38</f>
        <v>750000</v>
      </c>
      <c r="AC11" s="271">
        <f>Háttérszámítások!AC38</f>
        <v>750000</v>
      </c>
      <c r="AD11" s="271">
        <f>Háttérszámítások!AD38</f>
        <v>750000</v>
      </c>
      <c r="AE11" s="271">
        <f>Háttérszámítások!AE38</f>
        <v>750000</v>
      </c>
      <c r="AF11" s="271">
        <f>Háttérszámítások!AF38</f>
        <v>750000</v>
      </c>
      <c r="AG11" s="271">
        <f>Háttérszámítások!AG38</f>
        <v>750000</v>
      </c>
    </row>
    <row r="12" spans="1:33" ht="16.2" customHeight="1">
      <c r="A12" s="66"/>
      <c r="B12" s="269" t="s">
        <v>297</v>
      </c>
      <c r="C12" s="534">
        <f>D12+NPV(fdr_áll,E12:AG12)</f>
        <v>0</v>
      </c>
      <c r="D12" s="271">
        <f>Háttérszámítások!D39</f>
        <v>0</v>
      </c>
      <c r="E12" s="271">
        <f>Háttérszámítások!E39</f>
        <v>0</v>
      </c>
      <c r="F12" s="271">
        <f>Háttérszámítások!F39</f>
        <v>0</v>
      </c>
      <c r="G12" s="271">
        <f>Háttérszámítások!G39</f>
        <v>0</v>
      </c>
      <c r="H12" s="271">
        <f>Háttérszámítások!H39</f>
        <v>0</v>
      </c>
      <c r="I12" s="271">
        <f>Háttérszámítások!I39</f>
        <v>0</v>
      </c>
      <c r="J12" s="271">
        <f>Háttérszámítások!J39</f>
        <v>0</v>
      </c>
      <c r="K12" s="271">
        <f>Háttérszámítások!K39</f>
        <v>0</v>
      </c>
      <c r="L12" s="271">
        <f>Háttérszámítások!L39</f>
        <v>0</v>
      </c>
      <c r="M12" s="271">
        <f>Háttérszámítások!M39</f>
        <v>0</v>
      </c>
      <c r="N12" s="271">
        <f>Háttérszámítások!N39</f>
        <v>0</v>
      </c>
      <c r="O12" s="271">
        <f>Háttérszámítások!O39</f>
        <v>0</v>
      </c>
      <c r="P12" s="271">
        <f>Háttérszámítások!P39</f>
        <v>0</v>
      </c>
      <c r="Q12" s="271">
        <f>Háttérszámítások!Q39</f>
        <v>0</v>
      </c>
      <c r="R12" s="271">
        <f>Háttérszámítások!R39</f>
        <v>0</v>
      </c>
      <c r="S12" s="271">
        <f>Háttérszámítások!S39</f>
        <v>0</v>
      </c>
      <c r="T12" s="271">
        <f>Háttérszámítások!T39</f>
        <v>0</v>
      </c>
      <c r="U12" s="271">
        <f>Háttérszámítások!U39</f>
        <v>0</v>
      </c>
      <c r="V12" s="271">
        <f>Háttérszámítások!V39</f>
        <v>0</v>
      </c>
      <c r="W12" s="271">
        <f>Háttérszámítások!W39</f>
        <v>0</v>
      </c>
      <c r="X12" s="271">
        <f>Háttérszámítások!X39</f>
        <v>0</v>
      </c>
      <c r="Y12" s="271">
        <f>Háttérszámítások!Y39</f>
        <v>0</v>
      </c>
      <c r="Z12" s="271">
        <f>Háttérszámítások!Z39</f>
        <v>0</v>
      </c>
      <c r="AA12" s="271">
        <f>Háttérszámítások!AA39</f>
        <v>0</v>
      </c>
      <c r="AB12" s="271">
        <f>Háttérszámítások!AB39</f>
        <v>0</v>
      </c>
      <c r="AC12" s="271">
        <f>Háttérszámítások!AC39</f>
        <v>0</v>
      </c>
      <c r="AD12" s="271">
        <f>Háttérszámítások!AD39</f>
        <v>0</v>
      </c>
      <c r="AE12" s="271">
        <f>Háttérszámítások!AE39</f>
        <v>0</v>
      </c>
      <c r="AF12" s="271">
        <f>Háttérszámítások!AF39</f>
        <v>0</v>
      </c>
      <c r="AG12" s="271">
        <f>Háttérszámítások!AG39</f>
        <v>0</v>
      </c>
    </row>
    <row r="13" spans="1:33" ht="16.2" customHeight="1">
      <c r="A13" s="66"/>
      <c r="B13" s="269" t="s">
        <v>298</v>
      </c>
      <c r="C13" s="534">
        <f>D13+NPV(fdr_nem_áll,E13:AG13)</f>
        <v>0</v>
      </c>
      <c r="D13" s="271">
        <f>Háttérszámítások!D40</f>
        <v>0</v>
      </c>
      <c r="E13" s="271">
        <f>Háttérszámítások!E40</f>
        <v>0</v>
      </c>
      <c r="F13" s="271">
        <f>Háttérszámítások!F40</f>
        <v>0</v>
      </c>
      <c r="G13" s="271">
        <f>Háttérszámítások!G40</f>
        <v>0</v>
      </c>
      <c r="H13" s="271">
        <f>Háttérszámítások!H40</f>
        <v>0</v>
      </c>
      <c r="I13" s="271">
        <f>Háttérszámítások!I40</f>
        <v>0</v>
      </c>
      <c r="J13" s="271">
        <f>Háttérszámítások!J40</f>
        <v>0</v>
      </c>
      <c r="K13" s="271">
        <f>Háttérszámítások!K40</f>
        <v>0</v>
      </c>
      <c r="L13" s="271">
        <f>Háttérszámítások!L40</f>
        <v>0</v>
      </c>
      <c r="M13" s="271">
        <f>Háttérszámítások!M40</f>
        <v>0</v>
      </c>
      <c r="N13" s="271">
        <f>Háttérszámítások!N40</f>
        <v>0</v>
      </c>
      <c r="O13" s="271">
        <f>Háttérszámítások!O40</f>
        <v>0</v>
      </c>
      <c r="P13" s="271">
        <f>Háttérszámítások!P40</f>
        <v>0</v>
      </c>
      <c r="Q13" s="271">
        <f>Háttérszámítások!Q40</f>
        <v>0</v>
      </c>
      <c r="R13" s="271">
        <f>Háttérszámítások!R40</f>
        <v>0</v>
      </c>
      <c r="S13" s="271">
        <f>Háttérszámítások!S40</f>
        <v>0</v>
      </c>
      <c r="T13" s="271">
        <f>Háttérszámítások!T40</f>
        <v>0</v>
      </c>
      <c r="U13" s="271">
        <f>Háttérszámítások!U40</f>
        <v>0</v>
      </c>
      <c r="V13" s="271">
        <f>Háttérszámítások!V40</f>
        <v>0</v>
      </c>
      <c r="W13" s="271">
        <f>Háttérszámítások!W40</f>
        <v>0</v>
      </c>
      <c r="X13" s="271">
        <f>Háttérszámítások!X40</f>
        <v>0</v>
      </c>
      <c r="Y13" s="271">
        <f>Háttérszámítások!Y40</f>
        <v>0</v>
      </c>
      <c r="Z13" s="271">
        <f>Háttérszámítások!Z40</f>
        <v>0</v>
      </c>
      <c r="AA13" s="271">
        <f>Háttérszámítások!AA40</f>
        <v>0</v>
      </c>
      <c r="AB13" s="271">
        <f>Háttérszámítások!AB40</f>
        <v>0</v>
      </c>
      <c r="AC13" s="271">
        <f>Háttérszámítások!AC40</f>
        <v>0</v>
      </c>
      <c r="AD13" s="271">
        <f>Háttérszámítások!AD40</f>
        <v>0</v>
      </c>
      <c r="AE13" s="271">
        <f>Háttérszámítások!AE40</f>
        <v>0</v>
      </c>
      <c r="AF13" s="271">
        <f>Háttérszámítások!AF40</f>
        <v>0</v>
      </c>
      <c r="AG13" s="271">
        <f>Háttérszámítások!AG40</f>
        <v>0</v>
      </c>
    </row>
    <row r="14" spans="1:33" ht="16.2" customHeight="1"/>
    <row r="15" spans="1:33" ht="14.4" thickBot="1"/>
    <row r="16" spans="1:33" ht="14.4" thickBot="1">
      <c r="B16" s="265" t="s">
        <v>299</v>
      </c>
    </row>
    <row r="17" spans="1:33" ht="255.6" thickBot="1">
      <c r="B17" s="266" t="s">
        <v>300</v>
      </c>
    </row>
    <row r="18" spans="1:33" ht="13.8"/>
    <row r="19" spans="1:33" ht="13.8">
      <c r="B19" s="267" t="s">
        <v>301</v>
      </c>
    </row>
    <row r="20" spans="1:33" ht="13.8">
      <c r="B20" s="268" t="s">
        <v>302</v>
      </c>
      <c r="C20" s="270" t="s">
        <v>294</v>
      </c>
      <c r="D20" s="84" cm="1">
        <f t="array" ref="D20:W20">Háttér_listák!$B$139:INDEX(Háttér_listák!$B$139:$AF$139,MATCH(0,Háttér_listák!$B$138:$AF$138,0)-1)</f>
        <v>2025</v>
      </c>
      <c r="E20" s="84">
        <v>2026</v>
      </c>
      <c r="F20" s="84">
        <v>2027</v>
      </c>
      <c r="G20" s="84">
        <v>2028</v>
      </c>
      <c r="H20" s="84">
        <v>2029</v>
      </c>
      <c r="I20" s="84">
        <v>2030</v>
      </c>
      <c r="J20" s="84">
        <v>2031</v>
      </c>
      <c r="K20" s="84">
        <v>2032</v>
      </c>
      <c r="L20" s="84">
        <v>2033</v>
      </c>
      <c r="M20" s="84">
        <v>2034</v>
      </c>
      <c r="N20" s="84">
        <v>2035</v>
      </c>
      <c r="O20" s="84">
        <v>2036</v>
      </c>
      <c r="P20" s="84">
        <v>2037</v>
      </c>
      <c r="Q20" s="84">
        <v>2038</v>
      </c>
      <c r="R20" s="84">
        <v>2039</v>
      </c>
      <c r="S20" s="84">
        <v>2040</v>
      </c>
      <c r="T20" s="84">
        <v>2041</v>
      </c>
      <c r="U20" s="84">
        <v>2042</v>
      </c>
      <c r="V20" s="84">
        <v>2043</v>
      </c>
      <c r="W20" s="84">
        <v>2044</v>
      </c>
      <c r="X20" s="84"/>
      <c r="Y20" s="84"/>
      <c r="Z20" s="84"/>
      <c r="AA20" s="84"/>
      <c r="AB20" s="84"/>
      <c r="AC20" s="84"/>
      <c r="AD20" s="84"/>
      <c r="AE20" s="84"/>
      <c r="AF20" s="84"/>
      <c r="AG20" s="84"/>
    </row>
    <row r="21" spans="1:33" ht="13.8">
      <c r="A21" s="66"/>
      <c r="B21" s="272" t="s">
        <v>303</v>
      </c>
      <c r="C21" s="535">
        <f>D21+NPV(fdr_áll,E21:AG21)</f>
        <v>1761311.3836450926</v>
      </c>
      <c r="D21" s="274">
        <f>Háttérszámítások!D74</f>
        <v>0</v>
      </c>
      <c r="E21" s="274">
        <f>Háttérszámítások!E74</f>
        <v>150013.50466136052</v>
      </c>
      <c r="F21" s="274">
        <f>Háttérszámítások!F74</f>
        <v>150013.50466136052</v>
      </c>
      <c r="G21" s="274">
        <f>Háttérszámítások!G74</f>
        <v>150013.50466136052</v>
      </c>
      <c r="H21" s="274">
        <f>Háttérszámítások!H74</f>
        <v>150013.50466136052</v>
      </c>
      <c r="I21" s="274">
        <f>Háttérszámítások!I74</f>
        <v>150013.50466136052</v>
      </c>
      <c r="J21" s="274">
        <f>Háttérszámítások!J74</f>
        <v>150013.50466136052</v>
      </c>
      <c r="K21" s="274">
        <f>Háttérszámítások!K74</f>
        <v>150013.50466136052</v>
      </c>
      <c r="L21" s="274">
        <f>Háttérszámítások!L74</f>
        <v>150013.50466136052</v>
      </c>
      <c r="M21" s="274">
        <f>Háttérszámítások!M74</f>
        <v>150013.50466136052</v>
      </c>
      <c r="N21" s="274">
        <f>Háttérszámítások!N74</f>
        <v>150013.50466136052</v>
      </c>
      <c r="O21" s="274">
        <f>Háttérszámítások!O74</f>
        <v>150013.50466136052</v>
      </c>
      <c r="P21" s="274">
        <f>Háttérszámítások!P74</f>
        <v>150013.50466136052</v>
      </c>
      <c r="Q21" s="274">
        <f>Háttérszámítások!Q74</f>
        <v>150013.50466136052</v>
      </c>
      <c r="R21" s="274">
        <f>Háttérszámítások!R74</f>
        <v>150013.50466136052</v>
      </c>
      <c r="S21" s="274">
        <f>Háttérszámítások!S74</f>
        <v>150013.50466136052</v>
      </c>
      <c r="T21" s="274">
        <f>Háttérszámítások!T74</f>
        <v>150013.50466136052</v>
      </c>
      <c r="U21" s="274">
        <f>Háttérszámítások!U74</f>
        <v>150013.50466136052</v>
      </c>
      <c r="V21" s="274">
        <f>Háttérszámítások!V74</f>
        <v>150013.50466136052</v>
      </c>
      <c r="W21" s="274">
        <f>Háttérszámítások!W74</f>
        <v>150013.50466136052</v>
      </c>
      <c r="X21" s="274">
        <f>Háttérszámítások!X74</f>
        <v>150013.50466136052</v>
      </c>
      <c r="Y21" s="274">
        <f>Háttérszámítások!Y74</f>
        <v>150013.50466136052</v>
      </c>
      <c r="Z21" s="274">
        <f>Háttérszámítások!Z74</f>
        <v>150013.50466136052</v>
      </c>
      <c r="AA21" s="274">
        <f>Háttérszámítások!AA74</f>
        <v>150013.50466136052</v>
      </c>
      <c r="AB21" s="274">
        <f>Háttérszámítások!AB74</f>
        <v>150013.50466136052</v>
      </c>
      <c r="AC21" s="274">
        <f>Háttérszámítások!AC74</f>
        <v>150013.50466136052</v>
      </c>
      <c r="AD21" s="274">
        <f>Háttérszámítások!AD74</f>
        <v>150013.50466136052</v>
      </c>
      <c r="AE21" s="274">
        <f>Háttérszámítások!AE74</f>
        <v>150013.50466136052</v>
      </c>
      <c r="AF21" s="274">
        <f>Háttérszámítások!AF74</f>
        <v>150013.50466136052</v>
      </c>
      <c r="AG21" s="274">
        <f>Háttérszámítások!AG74</f>
        <v>150013.50466136052</v>
      </c>
    </row>
    <row r="22" spans="1:33" ht="13.8">
      <c r="A22" s="66"/>
      <c r="B22" s="272" t="s">
        <v>304</v>
      </c>
      <c r="C22" s="535">
        <f>D22+NPV(fdr_áll,E22:AG22)</f>
        <v>0</v>
      </c>
      <c r="D22" s="274">
        <f>Háttérszámítások!D75</f>
        <v>0</v>
      </c>
      <c r="E22" s="274">
        <f>Háttérszámítások!E75</f>
        <v>0</v>
      </c>
      <c r="F22" s="274">
        <f>Háttérszámítások!F75</f>
        <v>0</v>
      </c>
      <c r="G22" s="274">
        <f>Háttérszámítások!G75</f>
        <v>0</v>
      </c>
      <c r="H22" s="274">
        <f>Háttérszámítások!H75</f>
        <v>0</v>
      </c>
      <c r="I22" s="274">
        <f>Háttérszámítások!I75</f>
        <v>0</v>
      </c>
      <c r="J22" s="274">
        <f>Háttérszámítások!J75</f>
        <v>0</v>
      </c>
      <c r="K22" s="274">
        <f>Háttérszámítások!K75</f>
        <v>0</v>
      </c>
      <c r="L22" s="274">
        <f>Háttérszámítások!L75</f>
        <v>0</v>
      </c>
      <c r="M22" s="274">
        <f>Háttérszámítások!M75</f>
        <v>0</v>
      </c>
      <c r="N22" s="274">
        <f>Háttérszámítások!N75</f>
        <v>0</v>
      </c>
      <c r="O22" s="274">
        <f>Háttérszámítások!O75</f>
        <v>0</v>
      </c>
      <c r="P22" s="274">
        <f>Háttérszámítások!P75</f>
        <v>0</v>
      </c>
      <c r="Q22" s="274">
        <f>Háttérszámítások!Q75</f>
        <v>0</v>
      </c>
      <c r="R22" s="274">
        <f>Háttérszámítások!R75</f>
        <v>0</v>
      </c>
      <c r="S22" s="274">
        <f>Háttérszámítások!S75</f>
        <v>0</v>
      </c>
      <c r="T22" s="274">
        <f>Háttérszámítások!T75</f>
        <v>0</v>
      </c>
      <c r="U22" s="274">
        <f>Háttérszámítások!U75</f>
        <v>0</v>
      </c>
      <c r="V22" s="274">
        <f>Háttérszámítások!V75</f>
        <v>0</v>
      </c>
      <c r="W22" s="274">
        <f>Háttérszámítások!W75</f>
        <v>0</v>
      </c>
      <c r="X22" s="274">
        <f>Háttérszámítások!X75</f>
        <v>0</v>
      </c>
      <c r="Y22" s="274">
        <f>Háttérszámítások!Y75</f>
        <v>0</v>
      </c>
      <c r="Z22" s="274">
        <f>Háttérszámítások!Z75</f>
        <v>0</v>
      </c>
      <c r="AA22" s="274">
        <f>Háttérszámítások!AA75</f>
        <v>0</v>
      </c>
      <c r="AB22" s="274">
        <f>Háttérszámítások!AB75</f>
        <v>0</v>
      </c>
      <c r="AC22" s="274">
        <f>Háttérszámítások!AC75</f>
        <v>0</v>
      </c>
      <c r="AD22" s="274">
        <f>Háttérszámítások!AD75</f>
        <v>0</v>
      </c>
      <c r="AE22" s="274">
        <f>Háttérszámítások!AE75</f>
        <v>0</v>
      </c>
      <c r="AF22" s="274">
        <f>Háttérszámítások!AF75</f>
        <v>0</v>
      </c>
      <c r="AG22" s="274">
        <f>Háttérszámítások!AG75</f>
        <v>0</v>
      </c>
    </row>
    <row r="23" spans="1:33" ht="13.8">
      <c r="B23" s="273" t="s">
        <v>305</v>
      </c>
      <c r="C23" s="536">
        <f>D23+NPV(fdr_áll,E23:AG23)</f>
        <v>1761311.3836450926</v>
      </c>
      <c r="D23" s="537">
        <f t="shared" ref="D23:AG23" si="0">SUM(D21:D22)</f>
        <v>0</v>
      </c>
      <c r="E23" s="537">
        <f t="shared" si="0"/>
        <v>150013.50466136052</v>
      </c>
      <c r="F23" s="537">
        <f t="shared" si="0"/>
        <v>150013.50466136052</v>
      </c>
      <c r="G23" s="537">
        <f t="shared" si="0"/>
        <v>150013.50466136052</v>
      </c>
      <c r="H23" s="537">
        <f t="shared" si="0"/>
        <v>150013.50466136052</v>
      </c>
      <c r="I23" s="537">
        <f t="shared" si="0"/>
        <v>150013.50466136052</v>
      </c>
      <c r="J23" s="537">
        <f t="shared" si="0"/>
        <v>150013.50466136052</v>
      </c>
      <c r="K23" s="537">
        <f t="shared" si="0"/>
        <v>150013.50466136052</v>
      </c>
      <c r="L23" s="537">
        <f t="shared" si="0"/>
        <v>150013.50466136052</v>
      </c>
      <c r="M23" s="537">
        <f t="shared" si="0"/>
        <v>150013.50466136052</v>
      </c>
      <c r="N23" s="537">
        <f t="shared" si="0"/>
        <v>150013.50466136052</v>
      </c>
      <c r="O23" s="537">
        <f t="shared" si="0"/>
        <v>150013.50466136052</v>
      </c>
      <c r="P23" s="537">
        <f t="shared" si="0"/>
        <v>150013.50466136052</v>
      </c>
      <c r="Q23" s="537">
        <f t="shared" si="0"/>
        <v>150013.50466136052</v>
      </c>
      <c r="R23" s="537">
        <f t="shared" si="0"/>
        <v>150013.50466136052</v>
      </c>
      <c r="S23" s="537">
        <f t="shared" si="0"/>
        <v>150013.50466136052</v>
      </c>
      <c r="T23" s="537">
        <f t="shared" si="0"/>
        <v>150013.50466136052</v>
      </c>
      <c r="U23" s="537">
        <f t="shared" si="0"/>
        <v>150013.50466136052</v>
      </c>
      <c r="V23" s="537">
        <f t="shared" si="0"/>
        <v>150013.50466136052</v>
      </c>
      <c r="W23" s="537">
        <f t="shared" si="0"/>
        <v>150013.50466136052</v>
      </c>
      <c r="X23" s="537">
        <f t="shared" si="0"/>
        <v>150013.50466136052</v>
      </c>
      <c r="Y23" s="537">
        <f t="shared" si="0"/>
        <v>150013.50466136052</v>
      </c>
      <c r="Z23" s="537">
        <f t="shared" si="0"/>
        <v>150013.50466136052</v>
      </c>
      <c r="AA23" s="537">
        <f t="shared" si="0"/>
        <v>150013.50466136052</v>
      </c>
      <c r="AB23" s="537">
        <f t="shared" si="0"/>
        <v>150013.50466136052</v>
      </c>
      <c r="AC23" s="537">
        <f t="shared" si="0"/>
        <v>150013.50466136052</v>
      </c>
      <c r="AD23" s="537">
        <f t="shared" si="0"/>
        <v>150013.50466136052</v>
      </c>
      <c r="AE23" s="537">
        <f t="shared" si="0"/>
        <v>150013.50466136052</v>
      </c>
      <c r="AF23" s="537">
        <f t="shared" si="0"/>
        <v>150013.50466136052</v>
      </c>
      <c r="AG23" s="537">
        <f t="shared" si="0"/>
        <v>150013.50466136052</v>
      </c>
    </row>
    <row r="24" spans="1:33" ht="13.8">
      <c r="B24" s="38"/>
      <c r="C24" s="38"/>
    </row>
    <row r="25" spans="1:33" ht="13.8">
      <c r="B25" s="38"/>
      <c r="C25" s="38"/>
    </row>
    <row r="26" spans="1:33" ht="13.8">
      <c r="B26" s="268" t="s">
        <v>306</v>
      </c>
      <c r="C26" s="270" t="s">
        <v>294</v>
      </c>
      <c r="D26" s="84" cm="1">
        <f t="array" ref="D26:W26">Háttér_listák!$B$139:INDEX(Háttér_listák!$B$139:$AF$139,MATCH(0,Háttér_listák!$B$138:$AF$138,0)-1)</f>
        <v>2025</v>
      </c>
      <c r="E26" s="84">
        <v>2026</v>
      </c>
      <c r="F26" s="84">
        <v>2027</v>
      </c>
      <c r="G26" s="84">
        <v>2028</v>
      </c>
      <c r="H26" s="84">
        <v>2029</v>
      </c>
      <c r="I26" s="84">
        <v>2030</v>
      </c>
      <c r="J26" s="84">
        <v>2031</v>
      </c>
      <c r="K26" s="84">
        <v>2032</v>
      </c>
      <c r="L26" s="84">
        <v>2033</v>
      </c>
      <c r="M26" s="84">
        <v>2034</v>
      </c>
      <c r="N26" s="84">
        <v>2035</v>
      </c>
      <c r="O26" s="84">
        <v>2036</v>
      </c>
      <c r="P26" s="84">
        <v>2037</v>
      </c>
      <c r="Q26" s="84">
        <v>2038</v>
      </c>
      <c r="R26" s="84">
        <v>2039</v>
      </c>
      <c r="S26" s="84">
        <v>2040</v>
      </c>
      <c r="T26" s="84">
        <v>2041</v>
      </c>
      <c r="U26" s="84">
        <v>2042</v>
      </c>
      <c r="V26" s="84">
        <v>2043</v>
      </c>
      <c r="W26" s="84">
        <v>2044</v>
      </c>
      <c r="X26" s="84"/>
      <c r="Y26" s="84"/>
      <c r="Z26" s="84"/>
      <c r="AA26" s="84"/>
      <c r="AB26" s="84"/>
      <c r="AC26" s="84"/>
      <c r="AD26" s="84"/>
      <c r="AE26" s="84"/>
      <c r="AF26" s="84"/>
      <c r="AG26" s="84"/>
    </row>
    <row r="27" spans="1:33" ht="13.8">
      <c r="B27" s="272" t="s">
        <v>303</v>
      </c>
      <c r="C27" s="535">
        <f>D27+NPV(fdr_nem_áll,E27:AG27)</f>
        <v>3522622.7672901852</v>
      </c>
      <c r="D27" s="274">
        <f>Háttérszámítások!D78</f>
        <v>0</v>
      </c>
      <c r="E27" s="274">
        <f>Háttérszámítások!E78</f>
        <v>300027.00932272105</v>
      </c>
      <c r="F27" s="274">
        <f>Háttérszámítások!F78</f>
        <v>300027.00932272105</v>
      </c>
      <c r="G27" s="274">
        <f>Háttérszámítások!G78</f>
        <v>300027.00932272105</v>
      </c>
      <c r="H27" s="274">
        <f>Háttérszámítások!H78</f>
        <v>300027.00932272105</v>
      </c>
      <c r="I27" s="274">
        <f>Háttérszámítások!I78</f>
        <v>300027.00932272105</v>
      </c>
      <c r="J27" s="274">
        <f>Háttérszámítások!J78</f>
        <v>300027.00932272105</v>
      </c>
      <c r="K27" s="274">
        <f>Háttérszámítások!K78</f>
        <v>300027.00932272105</v>
      </c>
      <c r="L27" s="274">
        <f>Háttérszámítások!L78</f>
        <v>300027.00932272105</v>
      </c>
      <c r="M27" s="274">
        <f>Háttérszámítások!M78</f>
        <v>300027.00932272105</v>
      </c>
      <c r="N27" s="274">
        <f>Háttérszámítások!N78</f>
        <v>300027.00932272105</v>
      </c>
      <c r="O27" s="274">
        <f>Háttérszámítások!O78</f>
        <v>300027.00932272105</v>
      </c>
      <c r="P27" s="274">
        <f>Háttérszámítások!P78</f>
        <v>300027.00932272105</v>
      </c>
      <c r="Q27" s="274">
        <f>Háttérszámítások!Q78</f>
        <v>300027.00932272105</v>
      </c>
      <c r="R27" s="274">
        <f>Háttérszámítások!R78</f>
        <v>300027.00932272105</v>
      </c>
      <c r="S27" s="274">
        <f>Háttérszámítások!S78</f>
        <v>300027.00932272105</v>
      </c>
      <c r="T27" s="274">
        <f>Háttérszámítások!T78</f>
        <v>300027.00932272105</v>
      </c>
      <c r="U27" s="274">
        <f>Háttérszámítások!U78</f>
        <v>300027.00932272105</v>
      </c>
      <c r="V27" s="274">
        <f>Háttérszámítások!V78</f>
        <v>300027.00932272105</v>
      </c>
      <c r="W27" s="274">
        <f>Háttérszámítások!W78</f>
        <v>300027.00932272105</v>
      </c>
      <c r="X27" s="274">
        <f>Háttérszámítások!X78</f>
        <v>300027.00932272105</v>
      </c>
      <c r="Y27" s="274">
        <f>Háttérszámítások!Y78</f>
        <v>300027.00932272105</v>
      </c>
      <c r="Z27" s="274">
        <f>Háttérszámítások!Z78</f>
        <v>300027.00932272105</v>
      </c>
      <c r="AA27" s="274">
        <f>Háttérszámítások!AA78</f>
        <v>300027.00932272105</v>
      </c>
      <c r="AB27" s="274">
        <f>Háttérszámítások!AB78</f>
        <v>300027.00932272105</v>
      </c>
      <c r="AC27" s="274">
        <f>Háttérszámítások!AC78</f>
        <v>300027.00932272105</v>
      </c>
      <c r="AD27" s="274">
        <f>Háttérszámítások!AD78</f>
        <v>300027.00932272105</v>
      </c>
      <c r="AE27" s="274">
        <f>Háttérszámítások!AE78</f>
        <v>300027.00932272105</v>
      </c>
      <c r="AF27" s="274">
        <f>Háttérszámítások!AF78</f>
        <v>300027.00932272105</v>
      </c>
      <c r="AG27" s="274">
        <f>Háttérszámítások!AG78</f>
        <v>300027.00932272105</v>
      </c>
    </row>
    <row r="28" spans="1:33" ht="13.8">
      <c r="B28" s="272" t="s">
        <v>304</v>
      </c>
      <c r="C28" s="535">
        <f>D28+NPV(fdr_nem_áll,E28:AG28)</f>
        <v>0</v>
      </c>
      <c r="D28" s="274">
        <f>Háttérszámítások!D79</f>
        <v>0</v>
      </c>
      <c r="E28" s="274">
        <f>Háttérszámítások!E79</f>
        <v>0</v>
      </c>
      <c r="F28" s="274">
        <f>Háttérszámítások!F79</f>
        <v>0</v>
      </c>
      <c r="G28" s="274">
        <f>Háttérszámítások!G79</f>
        <v>0</v>
      </c>
      <c r="H28" s="274">
        <f>Háttérszámítások!H79</f>
        <v>0</v>
      </c>
      <c r="I28" s="274">
        <f>Háttérszámítások!I79</f>
        <v>0</v>
      </c>
      <c r="J28" s="274">
        <f>Háttérszámítások!J79</f>
        <v>0</v>
      </c>
      <c r="K28" s="274">
        <f>Háttérszámítások!K79</f>
        <v>0</v>
      </c>
      <c r="L28" s="274">
        <f>Háttérszámítások!L79</f>
        <v>0</v>
      </c>
      <c r="M28" s="274">
        <f>Háttérszámítások!M79</f>
        <v>0</v>
      </c>
      <c r="N28" s="274">
        <f>Háttérszámítások!N79</f>
        <v>0</v>
      </c>
      <c r="O28" s="274">
        <f>Háttérszámítások!O79</f>
        <v>0</v>
      </c>
      <c r="P28" s="274">
        <f>Háttérszámítások!P79</f>
        <v>0</v>
      </c>
      <c r="Q28" s="274">
        <f>Háttérszámítások!Q79</f>
        <v>0</v>
      </c>
      <c r="R28" s="274">
        <f>Háttérszámítások!R79</f>
        <v>0</v>
      </c>
      <c r="S28" s="274">
        <f>Háttérszámítások!S79</f>
        <v>0</v>
      </c>
      <c r="T28" s="274">
        <f>Háttérszámítások!T79</f>
        <v>0</v>
      </c>
      <c r="U28" s="274">
        <f>Háttérszámítások!U79</f>
        <v>0</v>
      </c>
      <c r="V28" s="274">
        <f>Háttérszámítások!V79</f>
        <v>0</v>
      </c>
      <c r="W28" s="274">
        <f>Háttérszámítások!W79</f>
        <v>0</v>
      </c>
      <c r="X28" s="274">
        <f>Háttérszámítások!X79</f>
        <v>0</v>
      </c>
      <c r="Y28" s="274">
        <f>Háttérszámítások!Y79</f>
        <v>0</v>
      </c>
      <c r="Z28" s="274">
        <f>Háttérszámítások!Z79</f>
        <v>0</v>
      </c>
      <c r="AA28" s="274">
        <f>Háttérszámítások!AA79</f>
        <v>0</v>
      </c>
      <c r="AB28" s="274">
        <f>Háttérszámítások!AB79</f>
        <v>0</v>
      </c>
      <c r="AC28" s="274">
        <f>Háttérszámítások!AC79</f>
        <v>0</v>
      </c>
      <c r="AD28" s="274">
        <f>Háttérszámítások!AD79</f>
        <v>0</v>
      </c>
      <c r="AE28" s="274">
        <f>Háttérszámítások!AE79</f>
        <v>0</v>
      </c>
      <c r="AF28" s="274">
        <f>Háttérszámítások!AF79</f>
        <v>0</v>
      </c>
      <c r="AG28" s="274">
        <f>Háttérszámítások!AG79</f>
        <v>0</v>
      </c>
    </row>
    <row r="29" spans="1:33" ht="13.8">
      <c r="B29" s="273" t="s">
        <v>305</v>
      </c>
      <c r="C29" s="536">
        <f>D29+NPV(fdr_nem_áll,E29:AG29)</f>
        <v>3522622.7672901852</v>
      </c>
      <c r="D29" s="537">
        <f t="shared" ref="D29:AG29" si="1">SUM(D27:D28)</f>
        <v>0</v>
      </c>
      <c r="E29" s="537">
        <f t="shared" si="1"/>
        <v>300027.00932272105</v>
      </c>
      <c r="F29" s="537">
        <f t="shared" si="1"/>
        <v>300027.00932272105</v>
      </c>
      <c r="G29" s="537">
        <f t="shared" si="1"/>
        <v>300027.00932272105</v>
      </c>
      <c r="H29" s="537">
        <f t="shared" si="1"/>
        <v>300027.00932272105</v>
      </c>
      <c r="I29" s="537">
        <f t="shared" si="1"/>
        <v>300027.00932272105</v>
      </c>
      <c r="J29" s="537">
        <f t="shared" si="1"/>
        <v>300027.00932272105</v>
      </c>
      <c r="K29" s="537">
        <f t="shared" si="1"/>
        <v>300027.00932272105</v>
      </c>
      <c r="L29" s="537">
        <f t="shared" si="1"/>
        <v>300027.00932272105</v>
      </c>
      <c r="M29" s="537">
        <f t="shared" si="1"/>
        <v>300027.00932272105</v>
      </c>
      <c r="N29" s="537">
        <f t="shared" si="1"/>
        <v>300027.00932272105</v>
      </c>
      <c r="O29" s="537">
        <f t="shared" si="1"/>
        <v>300027.00932272105</v>
      </c>
      <c r="P29" s="537">
        <f t="shared" si="1"/>
        <v>300027.00932272105</v>
      </c>
      <c r="Q29" s="537">
        <f t="shared" si="1"/>
        <v>300027.00932272105</v>
      </c>
      <c r="R29" s="537">
        <f t="shared" si="1"/>
        <v>300027.00932272105</v>
      </c>
      <c r="S29" s="537">
        <f t="shared" si="1"/>
        <v>300027.00932272105</v>
      </c>
      <c r="T29" s="537">
        <f t="shared" si="1"/>
        <v>300027.00932272105</v>
      </c>
      <c r="U29" s="537">
        <f t="shared" si="1"/>
        <v>300027.00932272105</v>
      </c>
      <c r="V29" s="537">
        <f t="shared" si="1"/>
        <v>300027.00932272105</v>
      </c>
      <c r="W29" s="537">
        <f t="shared" si="1"/>
        <v>300027.00932272105</v>
      </c>
      <c r="X29" s="537">
        <f t="shared" si="1"/>
        <v>300027.00932272105</v>
      </c>
      <c r="Y29" s="537">
        <f t="shared" si="1"/>
        <v>300027.00932272105</v>
      </c>
      <c r="Z29" s="537">
        <f t="shared" si="1"/>
        <v>300027.00932272105</v>
      </c>
      <c r="AA29" s="537">
        <f t="shared" si="1"/>
        <v>300027.00932272105</v>
      </c>
      <c r="AB29" s="537">
        <f t="shared" si="1"/>
        <v>300027.00932272105</v>
      </c>
      <c r="AC29" s="537">
        <f t="shared" si="1"/>
        <v>300027.00932272105</v>
      </c>
      <c r="AD29" s="537">
        <f t="shared" si="1"/>
        <v>300027.00932272105</v>
      </c>
      <c r="AE29" s="537">
        <f t="shared" si="1"/>
        <v>300027.00932272105</v>
      </c>
      <c r="AF29" s="537">
        <f t="shared" si="1"/>
        <v>300027.00932272105</v>
      </c>
      <c r="AG29" s="537">
        <f t="shared" si="1"/>
        <v>300027.00932272105</v>
      </c>
    </row>
    <row r="30" spans="1:33" ht="14.4" thickBot="1"/>
    <row r="31" spans="1:33" ht="28.2" thickBot="1">
      <c r="B31" s="265" t="s">
        <v>307</v>
      </c>
    </row>
    <row r="32" spans="1:33" ht="60.45" customHeight="1" thickBot="1">
      <c r="B32" s="266" t="s">
        <v>308</v>
      </c>
    </row>
    <row r="33" spans="1:33" ht="14.4" thickBot="1"/>
    <row r="34" spans="1:33" ht="14.4" thickBot="1">
      <c r="C34" s="276" t="s">
        <v>294</v>
      </c>
      <c r="D34" s="277" t="s">
        <v>309</v>
      </c>
      <c r="E34" s="87"/>
      <c r="F34" s="87"/>
      <c r="G34" s="88"/>
    </row>
    <row r="35" spans="1:33" ht="13.8">
      <c r="B35" s="237" t="s">
        <v>310</v>
      </c>
      <c r="C35" s="538">
        <f>C10-C23</f>
        <v>9979707.450766284</v>
      </c>
      <c r="D35" s="89" t="str">
        <f>IFERROR(IF(C35&gt;0,"igen","nem"),"")</f>
        <v>igen</v>
      </c>
    </row>
    <row r="36" spans="1:33" ht="14.4" thickBot="1">
      <c r="B36" s="275" t="s">
        <v>311</v>
      </c>
      <c r="C36" s="539">
        <f>C11-C29</f>
        <v>5283141.3585183499</v>
      </c>
      <c r="D36" s="90" t="str">
        <f>IFERROR(IF(C36&gt;0,"igen","nem"),"")</f>
        <v>igen</v>
      </c>
    </row>
    <row r="37" spans="1:33" ht="14.4" thickBot="1">
      <c r="D37" s="86" t="str">
        <f>IF(AND(D35="nem",D36="nem"),"Nettó működési bevétel nem keletkezik.","Nettó működési bevétel keletkezik.")</f>
        <v>Nettó működési bevétel keletkezik.</v>
      </c>
      <c r="E37" s="87"/>
      <c r="F37" s="87"/>
      <c r="G37" s="88"/>
    </row>
    <row r="38" spans="1:33" ht="13.8"/>
    <row r="39" spans="1:33" ht="13.8">
      <c r="B39" s="267" t="s">
        <v>312</v>
      </c>
    </row>
    <row r="40" spans="1:33" ht="13.8">
      <c r="A40" s="66"/>
      <c r="B40" s="268" t="s">
        <v>313</v>
      </c>
      <c r="C40" s="270" t="s">
        <v>294</v>
      </c>
      <c r="D40" s="84" cm="1">
        <f t="array" ref="D40:W40">Háttér_listák!$B$139:INDEX(Háttér_listák!$B$139:$AF$139,MATCH(0,Háttér_listák!$B$138:$AF$138,0)-1)</f>
        <v>2025</v>
      </c>
      <c r="E40" s="84">
        <v>2026</v>
      </c>
      <c r="F40" s="84">
        <v>2027</v>
      </c>
      <c r="G40" s="84">
        <v>2028</v>
      </c>
      <c r="H40" s="84">
        <v>2029</v>
      </c>
      <c r="I40" s="84">
        <v>2030</v>
      </c>
      <c r="J40" s="84">
        <v>2031</v>
      </c>
      <c r="K40" s="84">
        <v>2032</v>
      </c>
      <c r="L40" s="84">
        <v>2033</v>
      </c>
      <c r="M40" s="84">
        <v>2034</v>
      </c>
      <c r="N40" s="84">
        <v>2035</v>
      </c>
      <c r="O40" s="84">
        <v>2036</v>
      </c>
      <c r="P40" s="84">
        <v>2037</v>
      </c>
      <c r="Q40" s="84">
        <v>2038</v>
      </c>
      <c r="R40" s="84">
        <v>2039</v>
      </c>
      <c r="S40" s="84">
        <v>2040</v>
      </c>
      <c r="T40" s="84">
        <v>2041</v>
      </c>
      <c r="U40" s="84">
        <v>2042</v>
      </c>
      <c r="V40" s="84">
        <v>2043</v>
      </c>
      <c r="W40" s="84">
        <v>2044</v>
      </c>
      <c r="X40" s="84"/>
      <c r="Y40" s="84"/>
      <c r="Z40" s="84"/>
      <c r="AA40" s="84"/>
      <c r="AB40" s="84"/>
      <c r="AC40" s="84"/>
      <c r="AD40" s="84"/>
      <c r="AE40" s="84"/>
      <c r="AF40" s="84"/>
      <c r="AG40" s="84"/>
    </row>
    <row r="41" spans="1:33" ht="13.8">
      <c r="B41" s="278" t="s">
        <v>314</v>
      </c>
      <c r="C41" s="540">
        <f>D41+NPV(fdr_áll,E41:AG41)</f>
        <v>0</v>
      </c>
      <c r="D41" s="279">
        <v>0</v>
      </c>
      <c r="E41" s="279">
        <v>0</v>
      </c>
      <c r="F41" s="279">
        <v>0</v>
      </c>
      <c r="G41" s="279">
        <v>0</v>
      </c>
      <c r="H41" s="279">
        <v>0</v>
      </c>
      <c r="I41" s="279">
        <v>0</v>
      </c>
      <c r="J41" s="279">
        <v>0</v>
      </c>
      <c r="K41" s="279">
        <v>0</v>
      </c>
      <c r="L41" s="279">
        <v>0</v>
      </c>
      <c r="M41" s="279">
        <v>0</v>
      </c>
      <c r="N41" s="279">
        <v>0</v>
      </c>
      <c r="O41" s="279">
        <v>0</v>
      </c>
      <c r="P41" s="279">
        <v>0</v>
      </c>
      <c r="Q41" s="279">
        <v>0</v>
      </c>
      <c r="R41" s="279">
        <v>0</v>
      </c>
      <c r="S41" s="279">
        <v>0</v>
      </c>
      <c r="T41" s="279">
        <v>0</v>
      </c>
      <c r="U41" s="279">
        <v>0</v>
      </c>
      <c r="V41" s="279">
        <v>0</v>
      </c>
      <c r="W41" s="279">
        <v>0</v>
      </c>
      <c r="X41" s="279">
        <v>0</v>
      </c>
      <c r="Y41" s="279">
        <v>0</v>
      </c>
      <c r="Z41" s="279">
        <v>0</v>
      </c>
      <c r="AA41" s="279">
        <v>0</v>
      </c>
      <c r="AB41" s="279">
        <v>0</v>
      </c>
      <c r="AC41" s="279">
        <v>0</v>
      </c>
      <c r="AD41" s="279">
        <v>0</v>
      </c>
      <c r="AE41" s="279">
        <v>0</v>
      </c>
      <c r="AF41" s="279">
        <v>0</v>
      </c>
      <c r="AG41" s="279">
        <v>0</v>
      </c>
    </row>
    <row r="42" spans="1:33" ht="13.8">
      <c r="B42" s="278" t="s">
        <v>315</v>
      </c>
      <c r="C42" s="540">
        <f>D42+NPV(fdr_áll,E42:AG42)</f>
        <v>0</v>
      </c>
      <c r="D42" s="279">
        <v>0</v>
      </c>
      <c r="E42" s="279">
        <v>0</v>
      </c>
      <c r="F42" s="279">
        <v>0</v>
      </c>
      <c r="G42" s="279">
        <v>0</v>
      </c>
      <c r="H42" s="279">
        <v>0</v>
      </c>
      <c r="I42" s="279">
        <v>0</v>
      </c>
      <c r="J42" s="279">
        <v>0</v>
      </c>
      <c r="K42" s="279">
        <v>0</v>
      </c>
      <c r="L42" s="279">
        <v>0</v>
      </c>
      <c r="M42" s="279">
        <v>0</v>
      </c>
      <c r="N42" s="279">
        <v>0</v>
      </c>
      <c r="O42" s="279">
        <v>0</v>
      </c>
      <c r="P42" s="279">
        <v>0</v>
      </c>
      <c r="Q42" s="279">
        <v>0</v>
      </c>
      <c r="R42" s="279">
        <v>0</v>
      </c>
      <c r="S42" s="279">
        <v>0</v>
      </c>
      <c r="T42" s="279">
        <v>0</v>
      </c>
      <c r="U42" s="279">
        <v>0</v>
      </c>
      <c r="V42" s="279">
        <v>0</v>
      </c>
      <c r="W42" s="279">
        <v>0</v>
      </c>
      <c r="X42" s="279">
        <v>0</v>
      </c>
      <c r="Y42" s="279">
        <v>0</v>
      </c>
      <c r="Z42" s="279">
        <v>0</v>
      </c>
      <c r="AA42" s="279">
        <v>0</v>
      </c>
      <c r="AB42" s="279">
        <v>0</v>
      </c>
      <c r="AC42" s="279">
        <v>0</v>
      </c>
      <c r="AD42" s="279">
        <v>0</v>
      </c>
      <c r="AE42" s="279">
        <v>0</v>
      </c>
      <c r="AF42" s="279">
        <v>0</v>
      </c>
      <c r="AG42" s="279">
        <v>0</v>
      </c>
    </row>
    <row r="43" spans="1:33" ht="13.8">
      <c r="B43" s="278" t="s">
        <v>316</v>
      </c>
      <c r="C43" s="540">
        <f>D43+NPV(fdr_áll,E43:AG43)</f>
        <v>0</v>
      </c>
      <c r="D43" s="279">
        <v>0</v>
      </c>
      <c r="E43" s="279">
        <v>0</v>
      </c>
      <c r="F43" s="279">
        <v>0</v>
      </c>
      <c r="G43" s="279">
        <v>0</v>
      </c>
      <c r="H43" s="279">
        <v>0</v>
      </c>
      <c r="I43" s="279">
        <v>0</v>
      </c>
      <c r="J43" s="279">
        <v>0</v>
      </c>
      <c r="K43" s="279">
        <v>0</v>
      </c>
      <c r="L43" s="279">
        <v>0</v>
      </c>
      <c r="M43" s="279">
        <v>0</v>
      </c>
      <c r="N43" s="279">
        <v>0</v>
      </c>
      <c r="O43" s="279">
        <v>0</v>
      </c>
      <c r="P43" s="279">
        <v>0</v>
      </c>
      <c r="Q43" s="279">
        <v>0</v>
      </c>
      <c r="R43" s="279">
        <v>0</v>
      </c>
      <c r="S43" s="279">
        <v>0</v>
      </c>
      <c r="T43" s="279">
        <v>0</v>
      </c>
      <c r="U43" s="279">
        <v>0</v>
      </c>
      <c r="V43" s="279">
        <v>0</v>
      </c>
      <c r="W43" s="279">
        <v>0</v>
      </c>
      <c r="X43" s="279">
        <v>0</v>
      </c>
      <c r="Y43" s="279">
        <v>0</v>
      </c>
      <c r="Z43" s="279">
        <v>0</v>
      </c>
      <c r="AA43" s="279">
        <v>0</v>
      </c>
      <c r="AB43" s="279">
        <v>0</v>
      </c>
      <c r="AC43" s="279">
        <v>0</v>
      </c>
      <c r="AD43" s="279">
        <v>0</v>
      </c>
      <c r="AE43" s="279">
        <v>0</v>
      </c>
      <c r="AF43" s="279">
        <v>0</v>
      </c>
      <c r="AG43" s="279">
        <v>0</v>
      </c>
    </row>
    <row r="44" spans="1:33" ht="13.8">
      <c r="B44" s="278" t="s">
        <v>317</v>
      </c>
      <c r="C44" s="540">
        <f>D44+NPV(fdr_áll,E44:AG44)</f>
        <v>0</v>
      </c>
      <c r="D44" s="279">
        <v>0</v>
      </c>
      <c r="E44" s="279">
        <v>0</v>
      </c>
      <c r="F44" s="279">
        <v>0</v>
      </c>
      <c r="G44" s="279">
        <v>0</v>
      </c>
      <c r="H44" s="279">
        <v>0</v>
      </c>
      <c r="I44" s="279">
        <v>0</v>
      </c>
      <c r="J44" s="279">
        <v>0</v>
      </c>
      <c r="K44" s="279">
        <v>0</v>
      </c>
      <c r="L44" s="279">
        <v>0</v>
      </c>
      <c r="M44" s="279">
        <v>0</v>
      </c>
      <c r="N44" s="279">
        <v>0</v>
      </c>
      <c r="O44" s="279">
        <v>0</v>
      </c>
      <c r="P44" s="279">
        <v>0</v>
      </c>
      <c r="Q44" s="279">
        <v>0</v>
      </c>
      <c r="R44" s="279">
        <v>0</v>
      </c>
      <c r="S44" s="279">
        <v>0</v>
      </c>
      <c r="T44" s="279">
        <v>0</v>
      </c>
      <c r="U44" s="279">
        <v>0</v>
      </c>
      <c r="V44" s="279">
        <v>0</v>
      </c>
      <c r="W44" s="279">
        <v>0</v>
      </c>
      <c r="X44" s="279">
        <v>0</v>
      </c>
      <c r="Y44" s="279">
        <v>0</v>
      </c>
      <c r="Z44" s="279">
        <v>0</v>
      </c>
      <c r="AA44" s="279">
        <v>0</v>
      </c>
      <c r="AB44" s="279">
        <v>0</v>
      </c>
      <c r="AC44" s="279">
        <v>0</v>
      </c>
      <c r="AD44" s="279">
        <v>0</v>
      </c>
      <c r="AE44" s="279">
        <v>0</v>
      </c>
      <c r="AF44" s="279">
        <v>0</v>
      </c>
      <c r="AG44" s="279">
        <v>0</v>
      </c>
    </row>
    <row r="45" spans="1:33" ht="13.8">
      <c r="B45" s="278" t="s">
        <v>318</v>
      </c>
      <c r="C45" s="540">
        <f>D45+NPV(fdr_áll,E45:AG45)</f>
        <v>0</v>
      </c>
      <c r="D45" s="279">
        <v>0</v>
      </c>
      <c r="E45" s="279">
        <v>0</v>
      </c>
      <c r="F45" s="279">
        <v>0</v>
      </c>
      <c r="G45" s="279">
        <v>0</v>
      </c>
      <c r="H45" s="279">
        <v>0</v>
      </c>
      <c r="I45" s="279">
        <v>0</v>
      </c>
      <c r="J45" s="279">
        <v>0</v>
      </c>
      <c r="K45" s="279">
        <v>0</v>
      </c>
      <c r="L45" s="279">
        <v>0</v>
      </c>
      <c r="M45" s="279">
        <v>0</v>
      </c>
      <c r="N45" s="279">
        <v>0</v>
      </c>
      <c r="O45" s="279">
        <v>0</v>
      </c>
      <c r="P45" s="279">
        <v>0</v>
      </c>
      <c r="Q45" s="279">
        <v>0</v>
      </c>
      <c r="R45" s="279">
        <v>0</v>
      </c>
      <c r="S45" s="279">
        <v>0</v>
      </c>
      <c r="T45" s="279">
        <v>0</v>
      </c>
      <c r="U45" s="279">
        <v>0</v>
      </c>
      <c r="V45" s="279">
        <v>0</v>
      </c>
      <c r="W45" s="279">
        <v>0</v>
      </c>
      <c r="X45" s="279">
        <v>0</v>
      </c>
      <c r="Y45" s="279">
        <v>0</v>
      </c>
      <c r="Z45" s="279">
        <v>0</v>
      </c>
      <c r="AA45" s="279">
        <v>0</v>
      </c>
      <c r="AB45" s="279">
        <v>0</v>
      </c>
      <c r="AC45" s="279">
        <v>0</v>
      </c>
      <c r="AD45" s="279">
        <v>0</v>
      </c>
      <c r="AE45" s="279">
        <v>0</v>
      </c>
      <c r="AF45" s="279">
        <v>0</v>
      </c>
      <c r="AG45" s="279">
        <v>0</v>
      </c>
    </row>
    <row r="46" spans="1:33" ht="13.8"/>
    <row r="47" spans="1:33" ht="13.8">
      <c r="B47" s="268" t="s">
        <v>319</v>
      </c>
      <c r="C47" s="270" t="s">
        <v>294</v>
      </c>
      <c r="D47" s="84" cm="1">
        <f t="array" ref="D47:W47">Háttér_listák!$B$139:INDEX(Háttér_listák!$B$139:$AF$139,MATCH(0,Háttér_listák!$B$138:$AF$138,0)-1)</f>
        <v>2025</v>
      </c>
      <c r="E47" s="84">
        <v>2026</v>
      </c>
      <c r="F47" s="84">
        <v>2027</v>
      </c>
      <c r="G47" s="84">
        <v>2028</v>
      </c>
      <c r="H47" s="84">
        <v>2029</v>
      </c>
      <c r="I47" s="84">
        <v>2030</v>
      </c>
      <c r="J47" s="84">
        <v>2031</v>
      </c>
      <c r="K47" s="84">
        <v>2032</v>
      </c>
      <c r="L47" s="84">
        <v>2033</v>
      </c>
      <c r="M47" s="84">
        <v>2034</v>
      </c>
      <c r="N47" s="84">
        <v>2035</v>
      </c>
      <c r="O47" s="84">
        <v>2036</v>
      </c>
      <c r="P47" s="84">
        <v>2037</v>
      </c>
      <c r="Q47" s="84">
        <v>2038</v>
      </c>
      <c r="R47" s="84">
        <v>2039</v>
      </c>
      <c r="S47" s="84">
        <v>2040</v>
      </c>
      <c r="T47" s="84">
        <v>2041</v>
      </c>
      <c r="U47" s="84">
        <v>2042</v>
      </c>
      <c r="V47" s="84">
        <v>2043</v>
      </c>
      <c r="W47" s="84">
        <v>2044</v>
      </c>
      <c r="X47" s="84"/>
      <c r="Y47" s="84"/>
      <c r="Z47" s="84"/>
      <c r="AA47" s="84"/>
      <c r="AB47" s="84"/>
      <c r="AC47" s="84"/>
      <c r="AD47" s="84"/>
      <c r="AE47" s="84"/>
      <c r="AF47" s="84"/>
      <c r="AG47" s="84"/>
    </row>
    <row r="48" spans="1:33" ht="13.8">
      <c r="B48" s="278" t="s">
        <v>314</v>
      </c>
      <c r="C48" s="540">
        <f>D48+NPV(fdr_nem_áll,E48:AG48)</f>
        <v>0</v>
      </c>
      <c r="D48" s="279">
        <v>0</v>
      </c>
      <c r="E48" s="279">
        <v>0</v>
      </c>
      <c r="F48" s="279">
        <v>0</v>
      </c>
      <c r="G48" s="279">
        <v>0</v>
      </c>
      <c r="H48" s="279">
        <v>0</v>
      </c>
      <c r="I48" s="279">
        <v>0</v>
      </c>
      <c r="J48" s="279">
        <v>0</v>
      </c>
      <c r="K48" s="279">
        <v>0</v>
      </c>
      <c r="L48" s="279">
        <v>0</v>
      </c>
      <c r="M48" s="279">
        <v>0</v>
      </c>
      <c r="N48" s="279">
        <v>0</v>
      </c>
      <c r="O48" s="279">
        <v>0</v>
      </c>
      <c r="P48" s="279">
        <v>0</v>
      </c>
      <c r="Q48" s="279">
        <v>0</v>
      </c>
      <c r="R48" s="279">
        <v>0</v>
      </c>
      <c r="S48" s="279">
        <v>0</v>
      </c>
      <c r="T48" s="279">
        <v>0</v>
      </c>
      <c r="U48" s="279">
        <v>0</v>
      </c>
      <c r="V48" s="279">
        <v>0</v>
      </c>
      <c r="W48" s="279">
        <v>0</v>
      </c>
      <c r="X48" s="279">
        <v>0</v>
      </c>
      <c r="Y48" s="279">
        <v>0</v>
      </c>
      <c r="Z48" s="279">
        <v>0</v>
      </c>
      <c r="AA48" s="279">
        <v>0</v>
      </c>
      <c r="AB48" s="279">
        <v>0</v>
      </c>
      <c r="AC48" s="279">
        <v>0</v>
      </c>
      <c r="AD48" s="279">
        <v>0</v>
      </c>
      <c r="AE48" s="279">
        <v>0</v>
      </c>
      <c r="AF48" s="279">
        <v>0</v>
      </c>
      <c r="AG48" s="279">
        <v>0</v>
      </c>
    </row>
    <row r="49" spans="2:33" ht="13.8">
      <c r="B49" s="278" t="s">
        <v>315</v>
      </c>
      <c r="C49" s="540">
        <f>D49+NPV(fdr_nem_áll,E49:AG49)</f>
        <v>0</v>
      </c>
      <c r="D49" s="279">
        <v>0</v>
      </c>
      <c r="E49" s="279">
        <v>0</v>
      </c>
      <c r="F49" s="279">
        <v>0</v>
      </c>
      <c r="G49" s="279">
        <v>0</v>
      </c>
      <c r="H49" s="279">
        <v>0</v>
      </c>
      <c r="I49" s="279">
        <v>0</v>
      </c>
      <c r="J49" s="279">
        <v>0</v>
      </c>
      <c r="K49" s="279">
        <v>0</v>
      </c>
      <c r="L49" s="279">
        <v>0</v>
      </c>
      <c r="M49" s="279">
        <v>0</v>
      </c>
      <c r="N49" s="279">
        <v>0</v>
      </c>
      <c r="O49" s="279">
        <v>0</v>
      </c>
      <c r="P49" s="279">
        <v>0</v>
      </c>
      <c r="Q49" s="279">
        <v>0</v>
      </c>
      <c r="R49" s="279">
        <v>0</v>
      </c>
      <c r="S49" s="279">
        <v>0</v>
      </c>
      <c r="T49" s="279">
        <v>0</v>
      </c>
      <c r="U49" s="279">
        <v>0</v>
      </c>
      <c r="V49" s="279">
        <v>0</v>
      </c>
      <c r="W49" s="279">
        <v>0</v>
      </c>
      <c r="X49" s="279">
        <v>0</v>
      </c>
      <c r="Y49" s="279">
        <v>0</v>
      </c>
      <c r="Z49" s="279">
        <v>0</v>
      </c>
      <c r="AA49" s="279">
        <v>0</v>
      </c>
      <c r="AB49" s="279">
        <v>0</v>
      </c>
      <c r="AC49" s="279">
        <v>0</v>
      </c>
      <c r="AD49" s="279">
        <v>0</v>
      </c>
      <c r="AE49" s="279">
        <v>0</v>
      </c>
      <c r="AF49" s="279">
        <v>0</v>
      </c>
      <c r="AG49" s="279">
        <v>0</v>
      </c>
    </row>
    <row r="50" spans="2:33" ht="13.8">
      <c r="B50" s="278" t="s">
        <v>316</v>
      </c>
      <c r="C50" s="540">
        <f>D50+NPV(fdr_nem_áll,E50:AG50)</f>
        <v>0</v>
      </c>
      <c r="D50" s="279">
        <v>0</v>
      </c>
      <c r="E50" s="279">
        <v>0</v>
      </c>
      <c r="F50" s="279">
        <v>0</v>
      </c>
      <c r="G50" s="279">
        <v>0</v>
      </c>
      <c r="H50" s="279">
        <v>0</v>
      </c>
      <c r="I50" s="279">
        <v>0</v>
      </c>
      <c r="J50" s="279">
        <v>0</v>
      </c>
      <c r="K50" s="279">
        <v>0</v>
      </c>
      <c r="L50" s="279">
        <v>0</v>
      </c>
      <c r="M50" s="279">
        <v>0</v>
      </c>
      <c r="N50" s="279">
        <v>0</v>
      </c>
      <c r="O50" s="279">
        <v>0</v>
      </c>
      <c r="P50" s="279">
        <v>0</v>
      </c>
      <c r="Q50" s="279">
        <v>0</v>
      </c>
      <c r="R50" s="279">
        <v>0</v>
      </c>
      <c r="S50" s="279">
        <v>0</v>
      </c>
      <c r="T50" s="279">
        <v>0</v>
      </c>
      <c r="U50" s="279">
        <v>0</v>
      </c>
      <c r="V50" s="279">
        <v>0</v>
      </c>
      <c r="W50" s="279">
        <v>0</v>
      </c>
      <c r="X50" s="279">
        <v>0</v>
      </c>
      <c r="Y50" s="279">
        <v>0</v>
      </c>
      <c r="Z50" s="279">
        <v>0</v>
      </c>
      <c r="AA50" s="279">
        <v>0</v>
      </c>
      <c r="AB50" s="279">
        <v>0</v>
      </c>
      <c r="AC50" s="279">
        <v>0</v>
      </c>
      <c r="AD50" s="279">
        <v>0</v>
      </c>
      <c r="AE50" s="279">
        <v>0</v>
      </c>
      <c r="AF50" s="279">
        <v>0</v>
      </c>
      <c r="AG50" s="279">
        <v>0</v>
      </c>
    </row>
    <row r="51" spans="2:33" ht="13.8">
      <c r="B51" s="278" t="s">
        <v>317</v>
      </c>
      <c r="C51" s="540">
        <f>D51+NPV(fdr_nem_áll,E51:AG51)</f>
        <v>0</v>
      </c>
      <c r="D51" s="279">
        <v>0</v>
      </c>
      <c r="E51" s="279">
        <v>0</v>
      </c>
      <c r="F51" s="279">
        <v>0</v>
      </c>
      <c r="G51" s="279">
        <v>0</v>
      </c>
      <c r="H51" s="279">
        <v>0</v>
      </c>
      <c r="I51" s="279">
        <v>0</v>
      </c>
      <c r="J51" s="279">
        <v>0</v>
      </c>
      <c r="K51" s="279">
        <v>0</v>
      </c>
      <c r="L51" s="279">
        <v>0</v>
      </c>
      <c r="M51" s="279">
        <v>0</v>
      </c>
      <c r="N51" s="279">
        <v>0</v>
      </c>
      <c r="O51" s="279">
        <v>0</v>
      </c>
      <c r="P51" s="279">
        <v>0</v>
      </c>
      <c r="Q51" s="279">
        <v>0</v>
      </c>
      <c r="R51" s="279">
        <v>0</v>
      </c>
      <c r="S51" s="279">
        <v>0</v>
      </c>
      <c r="T51" s="279">
        <v>0</v>
      </c>
      <c r="U51" s="279">
        <v>0</v>
      </c>
      <c r="V51" s="279">
        <v>0</v>
      </c>
      <c r="W51" s="279">
        <v>0</v>
      </c>
      <c r="X51" s="279">
        <v>0</v>
      </c>
      <c r="Y51" s="279">
        <v>0</v>
      </c>
      <c r="Z51" s="279">
        <v>0</v>
      </c>
      <c r="AA51" s="279">
        <v>0</v>
      </c>
      <c r="AB51" s="279">
        <v>0</v>
      </c>
      <c r="AC51" s="279">
        <v>0</v>
      </c>
      <c r="AD51" s="279">
        <v>0</v>
      </c>
      <c r="AE51" s="279">
        <v>0</v>
      </c>
      <c r="AF51" s="279">
        <v>0</v>
      </c>
      <c r="AG51" s="279">
        <v>0</v>
      </c>
    </row>
    <row r="52" spans="2:33" ht="13.8">
      <c r="B52" s="278" t="s">
        <v>318</v>
      </c>
      <c r="C52" s="540">
        <f>D52+NPV(fdr_nem_áll,E52:AG52)</f>
        <v>0</v>
      </c>
      <c r="D52" s="279">
        <v>0</v>
      </c>
      <c r="E52" s="279">
        <v>0</v>
      </c>
      <c r="F52" s="279">
        <v>0</v>
      </c>
      <c r="G52" s="279">
        <v>0</v>
      </c>
      <c r="H52" s="279">
        <v>0</v>
      </c>
      <c r="I52" s="279">
        <v>0</v>
      </c>
      <c r="J52" s="279">
        <v>0</v>
      </c>
      <c r="K52" s="279">
        <v>0</v>
      </c>
      <c r="L52" s="279">
        <v>0</v>
      </c>
      <c r="M52" s="279">
        <v>0</v>
      </c>
      <c r="N52" s="279">
        <v>0</v>
      </c>
      <c r="O52" s="279">
        <v>0</v>
      </c>
      <c r="P52" s="279">
        <v>0</v>
      </c>
      <c r="Q52" s="279">
        <v>0</v>
      </c>
      <c r="R52" s="279">
        <v>0</v>
      </c>
      <c r="S52" s="279">
        <v>0</v>
      </c>
      <c r="T52" s="279">
        <v>0</v>
      </c>
      <c r="U52" s="279">
        <v>0</v>
      </c>
      <c r="V52" s="279">
        <v>0</v>
      </c>
      <c r="W52" s="279">
        <v>0</v>
      </c>
      <c r="X52" s="279">
        <v>0</v>
      </c>
      <c r="Y52" s="279">
        <v>0</v>
      </c>
      <c r="Z52" s="279">
        <v>0</v>
      </c>
      <c r="AA52" s="279">
        <v>0</v>
      </c>
      <c r="AB52" s="279">
        <v>0</v>
      </c>
      <c r="AC52" s="279">
        <v>0</v>
      </c>
      <c r="AD52" s="279">
        <v>0</v>
      </c>
      <c r="AE52" s="279">
        <v>0</v>
      </c>
      <c r="AF52" s="279">
        <v>0</v>
      </c>
      <c r="AG52" s="279">
        <v>0</v>
      </c>
    </row>
    <row r="53" spans="2:33" ht="14.4" thickBot="1"/>
    <row r="54" spans="2:33" ht="14.4" thickBot="1">
      <c r="B54" s="265" t="s">
        <v>320</v>
      </c>
    </row>
    <row r="55" spans="2:33" ht="82.2" thickBot="1">
      <c r="B55" s="266" t="s">
        <v>321</v>
      </c>
    </row>
    <row r="56" spans="2:33" ht="14.4" thickBot="1"/>
    <row r="57" spans="2:33" ht="28.2" customHeight="1" thickBot="1">
      <c r="C57" s="280" t="s">
        <v>192</v>
      </c>
      <c r="D57" s="281" t="s">
        <v>180</v>
      </c>
      <c r="E57" s="582" t="s">
        <v>193</v>
      </c>
      <c r="F57" s="583"/>
      <c r="G57" s="583"/>
      <c r="H57" s="583"/>
      <c r="I57" s="583"/>
      <c r="J57" s="584"/>
    </row>
    <row r="58" spans="2:33" ht="45.45" customHeight="1" thickBot="1">
      <c r="B58" s="282" t="s">
        <v>322</v>
      </c>
      <c r="C58" s="283" t="s">
        <v>1</v>
      </c>
      <c r="D58" s="126" t="str">
        <f>IF(AND(D37="Nettó működési bevétel keletkezik.",muk_tam_cs=""),valaszoljon,IF(AND(D37&lt;&gt;"Nettó működési bevétel keletkezik.",muk_tam_cs&lt;&gt;""),torolje,oke))</f>
        <v>A kitöltés megfelelő!</v>
      </c>
      <c r="E58" s="585"/>
      <c r="F58" s="586"/>
      <c r="G58" s="586"/>
      <c r="H58" s="586"/>
      <c r="I58" s="586"/>
      <c r="J58" s="587"/>
    </row>
  </sheetData>
  <sheetProtection algorithmName="SHA-512" hashValue="954qEOh1R9Yt9Af4rVeGJKRGqQ6qfNxpq79f5DU0o1poeUNS0WoROy9xJX5SVF0VSGSXVRyHECVogkjJZcTKqA==" saltValue="zRnrVZQPZ8Y27kfiz1yNOA==" spinCount="100000" sheet="1" objects="1" scenarios="1"/>
  <mergeCells count="2">
    <mergeCell ref="E57:J57"/>
    <mergeCell ref="E58:J58"/>
  </mergeCells>
  <conditionalFormatting sqref="D9:AG9">
    <cfRule type="expression" dxfId="273" priority="138">
      <formula>NOT(ISBLANK(D$9))</formula>
    </cfRule>
  </conditionalFormatting>
  <conditionalFormatting sqref="D10:AG13">
    <cfRule type="expression" dxfId="272" priority="29">
      <formula>NOT(ISBLANK(D$9))</formula>
    </cfRule>
  </conditionalFormatting>
  <conditionalFormatting sqref="D20:AG20">
    <cfRule type="expression" dxfId="271" priority="31">
      <formula>NOT(ISBLANK(D$20))</formula>
    </cfRule>
  </conditionalFormatting>
  <conditionalFormatting sqref="D21:AG22">
    <cfRule type="expression" dxfId="270" priority="24">
      <formula>NOT(ISBLANK(D$20))</formula>
    </cfRule>
  </conditionalFormatting>
  <conditionalFormatting sqref="D23:AG23">
    <cfRule type="expression" dxfId="269" priority="25">
      <formula>NOT(ISBLANK(D$20))</formula>
    </cfRule>
  </conditionalFormatting>
  <conditionalFormatting sqref="D26:AG26">
    <cfRule type="expression" dxfId="268" priority="30">
      <formula>NOT(ISBLANK(D$26))</formula>
    </cfRule>
  </conditionalFormatting>
  <conditionalFormatting sqref="D27:AG28">
    <cfRule type="expression" dxfId="267" priority="2">
      <formula>NOT(ISBLANK(D$20))</formula>
    </cfRule>
  </conditionalFormatting>
  <conditionalFormatting sqref="D29:AG29">
    <cfRule type="expression" dxfId="266" priority="3">
      <formula>NOT(ISBLANK(D$20))</formula>
    </cfRule>
  </conditionalFormatting>
  <conditionalFormatting sqref="D40:AG40">
    <cfRule type="expression" dxfId="265" priority="9">
      <formula>NOT(ISBLANK(D$40))</formula>
    </cfRule>
  </conditionalFormatting>
  <conditionalFormatting sqref="D41:AG45">
    <cfRule type="expression" dxfId="264" priority="8">
      <formula>NOT(ISBLANK(D$40))</formula>
    </cfRule>
  </conditionalFormatting>
  <conditionalFormatting sqref="D47:AG47">
    <cfRule type="expression" dxfId="263" priority="7">
      <formula>NOT(ISBLANK(D$47))</formula>
    </cfRule>
  </conditionalFormatting>
  <conditionalFormatting sqref="D48:AG52">
    <cfRule type="expression" dxfId="262" priority="1">
      <formula>NOT(ISBLANK(D$40))</formula>
    </cfRule>
  </conditionalFormatting>
  <dataValidations count="1">
    <dataValidation type="list" allowBlank="1" showInputMessage="1" showErrorMessage="1" sqref="C58" xr:uid="{8603CECA-3406-45A9-BA34-40BE4E177033}">
      <formula1>IF($D$37=0,nem_rel,i_n_list)</formula1>
    </dataValidation>
  </dataValidation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EFA78-A5C2-4866-A566-07DC0ABC6F1C}">
  <sheetPr codeName="Munka19">
    <tabColor rgb="FFCCECFF"/>
  </sheetPr>
  <dimension ref="A1:AH165"/>
  <sheetViews>
    <sheetView topLeftCell="A57" zoomScale="25" zoomScaleNormal="25" workbookViewId="0">
      <selection activeCell="H125" sqref="H125"/>
    </sheetView>
  </sheetViews>
  <sheetFormatPr defaultColWidth="9.19921875" defaultRowHeight="15" customHeight="1"/>
  <cols>
    <col min="1" max="1" width="13.5" style="47" customWidth="1"/>
    <col min="2" max="2" width="116.19921875" style="47" customWidth="1"/>
    <col min="3" max="34" width="18.69921875" style="47" customWidth="1"/>
    <col min="35" max="16384" width="9.19921875" style="47"/>
  </cols>
  <sheetData>
    <row r="1" spans="2:9" ht="15" customHeight="1" thickBot="1"/>
    <row r="2" spans="2:9" ht="15" customHeight="1">
      <c r="B2" s="284" t="s">
        <v>178</v>
      </c>
    </row>
    <row r="3" spans="2:9" ht="84" customHeight="1" thickBot="1">
      <c r="B3" s="285" t="s">
        <v>323</v>
      </c>
    </row>
    <row r="4" spans="2:9" ht="15" customHeight="1" thickBot="1">
      <c r="B4" s="119"/>
    </row>
    <row r="5" spans="2:9" ht="14.4" thickBot="1">
      <c r="B5" s="235" t="s">
        <v>233</v>
      </c>
    </row>
    <row r="6" spans="2:9" ht="28.2" thickBot="1">
      <c r="B6" s="236" t="s">
        <v>324</v>
      </c>
    </row>
    <row r="8" spans="2:9" ht="30" customHeight="1">
      <c r="B8" s="37" t="s">
        <v>104</v>
      </c>
      <c r="C8" s="91" t="s">
        <v>325</v>
      </c>
      <c r="D8" s="91" t="s">
        <v>326</v>
      </c>
      <c r="E8" s="91">
        <f>start_year</f>
        <v>2025</v>
      </c>
      <c r="F8" s="91">
        <f>E8+1</f>
        <v>2026</v>
      </c>
      <c r="G8" s="91">
        <f t="shared" ref="G8:I8" si="0">F8+1</f>
        <v>2027</v>
      </c>
      <c r="H8" s="91">
        <f t="shared" si="0"/>
        <v>2028</v>
      </c>
      <c r="I8" s="91">
        <f t="shared" si="0"/>
        <v>2029</v>
      </c>
    </row>
    <row r="9" spans="2:9" ht="13.8">
      <c r="B9" s="30" t="s">
        <v>265</v>
      </c>
      <c r="C9" s="541">
        <f t="shared" ref="C9:C20" si="1">SUM(E9:I9)</f>
        <v>52705000</v>
      </c>
      <c r="D9" s="541">
        <f t="shared" ref="D9:D20" si="2">E9+NPV(fdr_áll,F9:I9)</f>
        <v>52705000</v>
      </c>
      <c r="E9" s="287">
        <v>52705000</v>
      </c>
      <c r="F9" s="287">
        <v>0</v>
      </c>
      <c r="G9" s="287">
        <v>0</v>
      </c>
      <c r="H9" s="287">
        <v>0</v>
      </c>
      <c r="I9" s="287">
        <v>0</v>
      </c>
    </row>
    <row r="10" spans="2:9" ht="13.8">
      <c r="B10" s="30" t="s">
        <v>269</v>
      </c>
      <c r="C10" s="541">
        <f t="shared" si="1"/>
        <v>377825000</v>
      </c>
      <c r="D10" s="541">
        <f t="shared" si="2"/>
        <v>377825000</v>
      </c>
      <c r="E10" s="287">
        <v>377825000</v>
      </c>
      <c r="F10" s="287">
        <v>0</v>
      </c>
      <c r="G10" s="287">
        <v>0</v>
      </c>
      <c r="H10" s="287">
        <v>0</v>
      </c>
      <c r="I10" s="287">
        <v>0</v>
      </c>
    </row>
    <row r="11" spans="2:9" ht="28.5" customHeight="1">
      <c r="B11" s="30" t="s">
        <v>276</v>
      </c>
      <c r="C11" s="541">
        <f t="shared" si="1"/>
        <v>26844769</v>
      </c>
      <c r="D11" s="541">
        <f t="shared" si="2"/>
        <v>26844769</v>
      </c>
      <c r="E11" s="287">
        <v>26844769</v>
      </c>
      <c r="F11" s="287">
        <v>0</v>
      </c>
      <c r="G11" s="287">
        <v>0</v>
      </c>
      <c r="H11" s="287">
        <v>0</v>
      </c>
      <c r="I11" s="287">
        <v>0</v>
      </c>
    </row>
    <row r="12" spans="2:9" ht="13.8">
      <c r="B12" s="30" t="s">
        <v>282</v>
      </c>
      <c r="C12" s="541">
        <f t="shared" si="1"/>
        <v>2000000</v>
      </c>
      <c r="D12" s="541">
        <f t="shared" si="2"/>
        <v>2000000</v>
      </c>
      <c r="E12" s="287">
        <v>2000000</v>
      </c>
      <c r="F12" s="287">
        <v>0</v>
      </c>
      <c r="G12" s="287">
        <v>0</v>
      </c>
      <c r="H12" s="287">
        <v>0</v>
      </c>
      <c r="I12" s="287">
        <v>0</v>
      </c>
    </row>
    <row r="13" spans="2:9" ht="28.5" customHeight="1">
      <c r="B13" s="30" t="s">
        <v>286</v>
      </c>
      <c r="C13" s="541">
        <f t="shared" si="1"/>
        <v>0</v>
      </c>
      <c r="D13" s="541">
        <f t="shared" si="2"/>
        <v>0</v>
      </c>
      <c r="E13" s="287">
        <v>0</v>
      </c>
      <c r="F13" s="287">
        <v>0</v>
      </c>
      <c r="G13" s="287">
        <v>0</v>
      </c>
      <c r="H13" s="287">
        <v>0</v>
      </c>
      <c r="I13" s="287">
        <v>0</v>
      </c>
    </row>
    <row r="14" spans="2:9" ht="13.8">
      <c r="B14" s="30" t="s">
        <v>287</v>
      </c>
      <c r="C14" s="541">
        <f t="shared" si="1"/>
        <v>24130000</v>
      </c>
      <c r="D14" s="541">
        <f t="shared" si="2"/>
        <v>24130000</v>
      </c>
      <c r="E14" s="287">
        <v>24130000</v>
      </c>
      <c r="F14" s="287">
        <v>0</v>
      </c>
      <c r="G14" s="287">
        <v>0</v>
      </c>
      <c r="H14" s="287">
        <v>0</v>
      </c>
      <c r="I14" s="287">
        <v>0</v>
      </c>
    </row>
    <row r="15" spans="2:9" ht="13.8">
      <c r="B15" s="30" t="s">
        <v>327</v>
      </c>
      <c r="C15" s="541">
        <f t="shared" si="1"/>
        <v>0</v>
      </c>
      <c r="D15" s="541">
        <f t="shared" si="2"/>
        <v>0</v>
      </c>
      <c r="E15" s="287">
        <v>0</v>
      </c>
      <c r="F15" s="287">
        <v>0</v>
      </c>
      <c r="G15" s="287">
        <v>0</v>
      </c>
      <c r="H15" s="287">
        <v>0</v>
      </c>
      <c r="I15" s="287">
        <v>0</v>
      </c>
    </row>
    <row r="16" spans="2:9" ht="13.8">
      <c r="B16" s="30" t="s">
        <v>327</v>
      </c>
      <c r="C16" s="541">
        <f t="shared" si="1"/>
        <v>0</v>
      </c>
      <c r="D16" s="541">
        <f t="shared" si="2"/>
        <v>0</v>
      </c>
      <c r="E16" s="287">
        <v>0</v>
      </c>
      <c r="F16" s="287">
        <v>0</v>
      </c>
      <c r="G16" s="287">
        <v>0</v>
      </c>
      <c r="H16" s="287">
        <v>0</v>
      </c>
      <c r="I16" s="287">
        <v>0</v>
      </c>
    </row>
    <row r="17" spans="2:9" ht="13.8">
      <c r="B17" s="30" t="s">
        <v>327</v>
      </c>
      <c r="C17" s="541">
        <f t="shared" si="1"/>
        <v>0</v>
      </c>
      <c r="D17" s="541">
        <f t="shared" si="2"/>
        <v>0</v>
      </c>
      <c r="E17" s="287">
        <v>0</v>
      </c>
      <c r="F17" s="287">
        <v>0</v>
      </c>
      <c r="G17" s="287">
        <v>0</v>
      </c>
      <c r="H17" s="287">
        <v>0</v>
      </c>
      <c r="I17" s="287">
        <v>0</v>
      </c>
    </row>
    <row r="18" spans="2:9" ht="13.8">
      <c r="B18" s="30" t="s">
        <v>327</v>
      </c>
      <c r="C18" s="541">
        <f t="shared" si="1"/>
        <v>0</v>
      </c>
      <c r="D18" s="541">
        <f t="shared" si="2"/>
        <v>0</v>
      </c>
      <c r="E18" s="287">
        <v>0</v>
      </c>
      <c r="F18" s="287">
        <v>0</v>
      </c>
      <c r="G18" s="287">
        <v>0</v>
      </c>
      <c r="H18" s="287">
        <v>0</v>
      </c>
      <c r="I18" s="287">
        <v>0</v>
      </c>
    </row>
    <row r="19" spans="2:9" ht="13.8">
      <c r="B19" s="286" t="s">
        <v>328</v>
      </c>
      <c r="C19" s="542">
        <f t="shared" si="1"/>
        <v>459374769</v>
      </c>
      <c r="D19" s="542">
        <f t="shared" si="2"/>
        <v>459374769</v>
      </c>
      <c r="E19" s="287">
        <v>459374769</v>
      </c>
      <c r="F19" s="287">
        <v>0</v>
      </c>
      <c r="G19" s="287">
        <v>0</v>
      </c>
      <c r="H19" s="287">
        <v>0</v>
      </c>
      <c r="I19" s="287">
        <v>0</v>
      </c>
    </row>
    <row r="20" spans="2:9" ht="13.8">
      <c r="B20" s="286" t="s">
        <v>329</v>
      </c>
      <c r="C20" s="542">
        <f t="shared" si="1"/>
        <v>483504769</v>
      </c>
      <c r="D20" s="542">
        <f t="shared" si="2"/>
        <v>483504769</v>
      </c>
      <c r="E20" s="542">
        <f>SUM(E9:E18)</f>
        <v>483504769</v>
      </c>
      <c r="F20" s="542">
        <f>SUM(F9:F18)</f>
        <v>0</v>
      </c>
      <c r="G20" s="542">
        <f>SUM(G9:G18)</f>
        <v>0</v>
      </c>
      <c r="H20" s="542">
        <f>SUM(H9:H18)</f>
        <v>0</v>
      </c>
      <c r="I20" s="542">
        <f>SUM(I9:I18)</f>
        <v>0</v>
      </c>
    </row>
    <row r="22" spans="2:9" ht="30" customHeight="1">
      <c r="B22" s="37" t="s">
        <v>330</v>
      </c>
      <c r="C22" s="91" t="s">
        <v>325</v>
      </c>
      <c r="D22" s="91" t="s">
        <v>326</v>
      </c>
      <c r="E22" s="91">
        <f>start_year</f>
        <v>2025</v>
      </c>
      <c r="F22" s="91">
        <f>E22+1</f>
        <v>2026</v>
      </c>
      <c r="G22" s="91">
        <f t="shared" ref="G22:I22" si="3">F22+1</f>
        <v>2027</v>
      </c>
      <c r="H22" s="91">
        <f t="shared" si="3"/>
        <v>2028</v>
      </c>
      <c r="I22" s="91">
        <f t="shared" si="3"/>
        <v>2029</v>
      </c>
    </row>
    <row r="23" spans="2:9" ht="13.8">
      <c r="B23" s="30" t="s">
        <v>265</v>
      </c>
      <c r="C23" s="541">
        <f t="shared" ref="C23:C34" si="4">SUM(E23:I23)</f>
        <v>0</v>
      </c>
      <c r="D23" s="541">
        <f t="shared" ref="D23:D34" si="5">E23+NPV(fdr_áll,F23:I23)</f>
        <v>0</v>
      </c>
      <c r="E23" s="287">
        <v>0</v>
      </c>
      <c r="F23" s="287">
        <v>0</v>
      </c>
      <c r="G23" s="287">
        <v>0</v>
      </c>
      <c r="H23" s="287">
        <v>0</v>
      </c>
      <c r="I23" s="287">
        <v>0</v>
      </c>
    </row>
    <row r="24" spans="2:9" ht="13.8">
      <c r="B24" s="30" t="s">
        <v>269</v>
      </c>
      <c r="C24" s="541">
        <f t="shared" si="4"/>
        <v>0</v>
      </c>
      <c r="D24" s="541">
        <f t="shared" si="5"/>
        <v>0</v>
      </c>
      <c r="E24" s="287">
        <v>0</v>
      </c>
      <c r="F24" s="287">
        <v>0</v>
      </c>
      <c r="G24" s="287">
        <v>0</v>
      </c>
      <c r="H24" s="287">
        <v>0</v>
      </c>
      <c r="I24" s="287">
        <v>0</v>
      </c>
    </row>
    <row r="25" spans="2:9" ht="28.5" customHeight="1">
      <c r="B25" s="30" t="s">
        <v>276</v>
      </c>
      <c r="C25" s="541">
        <f t="shared" si="4"/>
        <v>0</v>
      </c>
      <c r="D25" s="541">
        <f t="shared" si="5"/>
        <v>0</v>
      </c>
      <c r="E25" s="287">
        <v>0</v>
      </c>
      <c r="F25" s="287">
        <v>0</v>
      </c>
      <c r="G25" s="287">
        <v>0</v>
      </c>
      <c r="H25" s="287">
        <v>0</v>
      </c>
      <c r="I25" s="287">
        <v>0</v>
      </c>
    </row>
    <row r="26" spans="2:9" ht="13.8">
      <c r="B26" s="30" t="s">
        <v>282</v>
      </c>
      <c r="C26" s="541">
        <f t="shared" si="4"/>
        <v>0</v>
      </c>
      <c r="D26" s="541">
        <f t="shared" si="5"/>
        <v>0</v>
      </c>
      <c r="E26" s="287">
        <v>0</v>
      </c>
      <c r="F26" s="287">
        <v>0</v>
      </c>
      <c r="G26" s="287">
        <v>0</v>
      </c>
      <c r="H26" s="287">
        <v>0</v>
      </c>
      <c r="I26" s="287">
        <v>0</v>
      </c>
    </row>
    <row r="27" spans="2:9" ht="28.5" customHeight="1">
      <c r="B27" s="30" t="s">
        <v>286</v>
      </c>
      <c r="C27" s="541">
        <f t="shared" si="4"/>
        <v>0</v>
      </c>
      <c r="D27" s="541">
        <f t="shared" si="5"/>
        <v>0</v>
      </c>
      <c r="E27" s="287">
        <v>0</v>
      </c>
      <c r="F27" s="287">
        <v>0</v>
      </c>
      <c r="G27" s="287">
        <v>0</v>
      </c>
      <c r="H27" s="287">
        <v>0</v>
      </c>
      <c r="I27" s="287">
        <v>0</v>
      </c>
    </row>
    <row r="28" spans="2:9" ht="13.8">
      <c r="B28" s="30" t="s">
        <v>287</v>
      </c>
      <c r="C28" s="541">
        <f t="shared" si="4"/>
        <v>0</v>
      </c>
      <c r="D28" s="541">
        <f t="shared" si="5"/>
        <v>0</v>
      </c>
      <c r="E28" s="287">
        <v>0</v>
      </c>
      <c r="F28" s="287">
        <v>0</v>
      </c>
      <c r="G28" s="287">
        <v>0</v>
      </c>
      <c r="H28" s="287">
        <v>0</v>
      </c>
      <c r="I28" s="287">
        <v>0</v>
      </c>
    </row>
    <row r="29" spans="2:9" ht="13.8">
      <c r="B29" s="30" t="s">
        <v>327</v>
      </c>
      <c r="C29" s="541">
        <f t="shared" si="4"/>
        <v>0</v>
      </c>
      <c r="D29" s="541">
        <f t="shared" si="5"/>
        <v>0</v>
      </c>
      <c r="E29" s="287">
        <v>0</v>
      </c>
      <c r="F29" s="287">
        <v>0</v>
      </c>
      <c r="G29" s="287">
        <v>0</v>
      </c>
      <c r="H29" s="287">
        <v>0</v>
      </c>
      <c r="I29" s="287">
        <v>0</v>
      </c>
    </row>
    <row r="30" spans="2:9" ht="13.8">
      <c r="B30" s="30" t="s">
        <v>327</v>
      </c>
      <c r="C30" s="541">
        <f t="shared" si="4"/>
        <v>0</v>
      </c>
      <c r="D30" s="541">
        <f t="shared" si="5"/>
        <v>0</v>
      </c>
      <c r="E30" s="287">
        <v>0</v>
      </c>
      <c r="F30" s="287">
        <v>0</v>
      </c>
      <c r="G30" s="287">
        <v>0</v>
      </c>
      <c r="H30" s="287">
        <v>0</v>
      </c>
      <c r="I30" s="287">
        <v>0</v>
      </c>
    </row>
    <row r="31" spans="2:9" ht="13.8">
      <c r="B31" s="30" t="s">
        <v>327</v>
      </c>
      <c r="C31" s="541">
        <f t="shared" si="4"/>
        <v>0</v>
      </c>
      <c r="D31" s="541">
        <f t="shared" si="5"/>
        <v>0</v>
      </c>
      <c r="E31" s="287">
        <v>0</v>
      </c>
      <c r="F31" s="287">
        <v>0</v>
      </c>
      <c r="G31" s="287">
        <v>0</v>
      </c>
      <c r="H31" s="287">
        <v>0</v>
      </c>
      <c r="I31" s="287">
        <v>0</v>
      </c>
    </row>
    <row r="32" spans="2:9" ht="13.8">
      <c r="B32" s="30" t="s">
        <v>327</v>
      </c>
      <c r="C32" s="541">
        <f t="shared" si="4"/>
        <v>0</v>
      </c>
      <c r="D32" s="541">
        <f t="shared" si="5"/>
        <v>0</v>
      </c>
      <c r="E32" s="287">
        <v>0</v>
      </c>
      <c r="F32" s="287">
        <v>0</v>
      </c>
      <c r="G32" s="287">
        <v>0</v>
      </c>
      <c r="H32" s="287">
        <v>0</v>
      </c>
      <c r="I32" s="287">
        <v>0</v>
      </c>
    </row>
    <row r="33" spans="2:9" ht="13.8">
      <c r="B33" s="286" t="s">
        <v>328</v>
      </c>
      <c r="C33" s="542">
        <f t="shared" si="4"/>
        <v>0</v>
      </c>
      <c r="D33" s="542">
        <f t="shared" si="5"/>
        <v>0</v>
      </c>
      <c r="E33" s="287">
        <v>0</v>
      </c>
      <c r="F33" s="287">
        <v>0</v>
      </c>
      <c r="G33" s="287">
        <v>0</v>
      </c>
      <c r="H33" s="287">
        <v>0</v>
      </c>
      <c r="I33" s="287">
        <v>0</v>
      </c>
    </row>
    <row r="34" spans="2:9" ht="13.8">
      <c r="B34" s="286" t="s">
        <v>329</v>
      </c>
      <c r="C34" s="542">
        <f t="shared" si="4"/>
        <v>0</v>
      </c>
      <c r="D34" s="542">
        <f t="shared" si="5"/>
        <v>0</v>
      </c>
      <c r="E34" s="542">
        <f>SUM(E23:E32)</f>
        <v>0</v>
      </c>
      <c r="F34" s="542">
        <f>SUM(F23:F32)</f>
        <v>0</v>
      </c>
      <c r="G34" s="542">
        <f>SUM(G23:G32)</f>
        <v>0</v>
      </c>
      <c r="H34" s="542">
        <f>SUM(H23:H32)</f>
        <v>0</v>
      </c>
      <c r="I34" s="542">
        <f>SUM(I23:I32)</f>
        <v>0</v>
      </c>
    </row>
    <row r="35" spans="2:9" ht="13.8"/>
    <row r="36" spans="2:9" ht="30" customHeight="1">
      <c r="B36" s="37" t="s">
        <v>331</v>
      </c>
      <c r="C36" s="91" t="s">
        <v>325</v>
      </c>
      <c r="D36" s="91" t="s">
        <v>326</v>
      </c>
      <c r="E36" s="91">
        <f>start_year</f>
        <v>2025</v>
      </c>
      <c r="F36" s="91">
        <f>E36+1</f>
        <v>2026</v>
      </c>
      <c r="G36" s="91">
        <f t="shared" ref="G36:I36" si="6">F36+1</f>
        <v>2027</v>
      </c>
      <c r="H36" s="91">
        <f t="shared" si="6"/>
        <v>2028</v>
      </c>
      <c r="I36" s="91">
        <f t="shared" si="6"/>
        <v>2029</v>
      </c>
    </row>
    <row r="37" spans="2:9" ht="13.8">
      <c r="B37" s="30" t="s">
        <v>265</v>
      </c>
      <c r="C37" s="541">
        <f t="shared" ref="C37:C48" si="7">SUM(E37:I37)</f>
        <v>52705000</v>
      </c>
      <c r="D37" s="541">
        <f t="shared" ref="D37:D48" si="8">E37+NPV(fdr_áll,F37:I37)</f>
        <v>52705000</v>
      </c>
      <c r="E37" s="543">
        <f t="shared" ref="E37:I47" si="9">E9+E23</f>
        <v>52705000</v>
      </c>
      <c r="F37" s="543">
        <f t="shared" si="9"/>
        <v>0</v>
      </c>
      <c r="G37" s="543">
        <f t="shared" si="9"/>
        <v>0</v>
      </c>
      <c r="H37" s="543">
        <f t="shared" si="9"/>
        <v>0</v>
      </c>
      <c r="I37" s="543">
        <f t="shared" si="9"/>
        <v>0</v>
      </c>
    </row>
    <row r="38" spans="2:9" ht="13.8">
      <c r="B38" s="30" t="s">
        <v>269</v>
      </c>
      <c r="C38" s="541">
        <f t="shared" si="7"/>
        <v>377825000</v>
      </c>
      <c r="D38" s="541">
        <f t="shared" si="8"/>
        <v>377825000</v>
      </c>
      <c r="E38" s="543">
        <f t="shared" si="9"/>
        <v>377825000</v>
      </c>
      <c r="F38" s="543">
        <f t="shared" si="9"/>
        <v>0</v>
      </c>
      <c r="G38" s="543">
        <f t="shared" si="9"/>
        <v>0</v>
      </c>
      <c r="H38" s="543">
        <f t="shared" si="9"/>
        <v>0</v>
      </c>
      <c r="I38" s="543">
        <f t="shared" si="9"/>
        <v>0</v>
      </c>
    </row>
    <row r="39" spans="2:9" ht="28.5" customHeight="1">
      <c r="B39" s="30" t="s">
        <v>276</v>
      </c>
      <c r="C39" s="541">
        <f t="shared" si="7"/>
        <v>26844769</v>
      </c>
      <c r="D39" s="541">
        <f t="shared" si="8"/>
        <v>26844769</v>
      </c>
      <c r="E39" s="543">
        <f t="shared" si="9"/>
        <v>26844769</v>
      </c>
      <c r="F39" s="543">
        <f t="shared" si="9"/>
        <v>0</v>
      </c>
      <c r="G39" s="543">
        <f t="shared" si="9"/>
        <v>0</v>
      </c>
      <c r="H39" s="543">
        <f t="shared" si="9"/>
        <v>0</v>
      </c>
      <c r="I39" s="543">
        <f t="shared" si="9"/>
        <v>0</v>
      </c>
    </row>
    <row r="40" spans="2:9" ht="13.8">
      <c r="B40" s="30" t="s">
        <v>282</v>
      </c>
      <c r="C40" s="541">
        <f t="shared" si="7"/>
        <v>2000000</v>
      </c>
      <c r="D40" s="541">
        <f t="shared" si="8"/>
        <v>2000000</v>
      </c>
      <c r="E40" s="543">
        <f t="shared" si="9"/>
        <v>2000000</v>
      </c>
      <c r="F40" s="543">
        <f t="shared" si="9"/>
        <v>0</v>
      </c>
      <c r="G40" s="543">
        <f t="shared" si="9"/>
        <v>0</v>
      </c>
      <c r="H40" s="543">
        <f t="shared" si="9"/>
        <v>0</v>
      </c>
      <c r="I40" s="543">
        <f t="shared" si="9"/>
        <v>0</v>
      </c>
    </row>
    <row r="41" spans="2:9" ht="28.5" customHeight="1">
      <c r="B41" s="30" t="s">
        <v>286</v>
      </c>
      <c r="C41" s="541">
        <f t="shared" si="7"/>
        <v>0</v>
      </c>
      <c r="D41" s="541">
        <f t="shared" si="8"/>
        <v>0</v>
      </c>
      <c r="E41" s="543">
        <f t="shared" si="9"/>
        <v>0</v>
      </c>
      <c r="F41" s="543">
        <f t="shared" si="9"/>
        <v>0</v>
      </c>
      <c r="G41" s="543">
        <f t="shared" si="9"/>
        <v>0</v>
      </c>
      <c r="H41" s="543">
        <f t="shared" si="9"/>
        <v>0</v>
      </c>
      <c r="I41" s="543">
        <f t="shared" si="9"/>
        <v>0</v>
      </c>
    </row>
    <row r="42" spans="2:9" ht="13.8">
      <c r="B42" s="30" t="s">
        <v>287</v>
      </c>
      <c r="C42" s="541">
        <f t="shared" si="7"/>
        <v>24130000</v>
      </c>
      <c r="D42" s="541">
        <f t="shared" si="8"/>
        <v>24130000</v>
      </c>
      <c r="E42" s="543">
        <f t="shared" si="9"/>
        <v>24130000</v>
      </c>
      <c r="F42" s="543">
        <f t="shared" si="9"/>
        <v>0</v>
      </c>
      <c r="G42" s="543">
        <f t="shared" si="9"/>
        <v>0</v>
      </c>
      <c r="H42" s="543">
        <f t="shared" si="9"/>
        <v>0</v>
      </c>
      <c r="I42" s="543">
        <f t="shared" si="9"/>
        <v>0</v>
      </c>
    </row>
    <row r="43" spans="2:9" ht="13.8">
      <c r="B43" s="30" t="s">
        <v>327</v>
      </c>
      <c r="C43" s="541">
        <f t="shared" si="7"/>
        <v>0</v>
      </c>
      <c r="D43" s="541">
        <f t="shared" si="8"/>
        <v>0</v>
      </c>
      <c r="E43" s="543">
        <f t="shared" si="9"/>
        <v>0</v>
      </c>
      <c r="F43" s="543">
        <f t="shared" si="9"/>
        <v>0</v>
      </c>
      <c r="G43" s="543">
        <f t="shared" si="9"/>
        <v>0</v>
      </c>
      <c r="H43" s="543">
        <f t="shared" si="9"/>
        <v>0</v>
      </c>
      <c r="I43" s="543">
        <f t="shared" si="9"/>
        <v>0</v>
      </c>
    </row>
    <row r="44" spans="2:9" ht="13.8">
      <c r="B44" s="30" t="s">
        <v>327</v>
      </c>
      <c r="C44" s="541">
        <f t="shared" si="7"/>
        <v>0</v>
      </c>
      <c r="D44" s="541">
        <f t="shared" si="8"/>
        <v>0</v>
      </c>
      <c r="E44" s="543">
        <f t="shared" si="9"/>
        <v>0</v>
      </c>
      <c r="F44" s="543">
        <f t="shared" si="9"/>
        <v>0</v>
      </c>
      <c r="G44" s="543">
        <f t="shared" si="9"/>
        <v>0</v>
      </c>
      <c r="H44" s="543">
        <f t="shared" si="9"/>
        <v>0</v>
      </c>
      <c r="I44" s="543">
        <f t="shared" si="9"/>
        <v>0</v>
      </c>
    </row>
    <row r="45" spans="2:9" ht="13.8">
      <c r="B45" s="30" t="s">
        <v>327</v>
      </c>
      <c r="C45" s="541">
        <f t="shared" si="7"/>
        <v>0</v>
      </c>
      <c r="D45" s="541">
        <f t="shared" si="8"/>
        <v>0</v>
      </c>
      <c r="E45" s="543">
        <f t="shared" si="9"/>
        <v>0</v>
      </c>
      <c r="F45" s="543">
        <f t="shared" si="9"/>
        <v>0</v>
      </c>
      <c r="G45" s="543">
        <f t="shared" si="9"/>
        <v>0</v>
      </c>
      <c r="H45" s="543">
        <f t="shared" si="9"/>
        <v>0</v>
      </c>
      <c r="I45" s="543">
        <f t="shared" si="9"/>
        <v>0</v>
      </c>
    </row>
    <row r="46" spans="2:9" ht="13.8">
      <c r="B46" s="30" t="s">
        <v>327</v>
      </c>
      <c r="C46" s="541">
        <f t="shared" si="7"/>
        <v>0</v>
      </c>
      <c r="D46" s="541">
        <f t="shared" si="8"/>
        <v>0</v>
      </c>
      <c r="E46" s="543">
        <f t="shared" si="9"/>
        <v>0</v>
      </c>
      <c r="F46" s="543">
        <f t="shared" si="9"/>
        <v>0</v>
      </c>
      <c r="G46" s="543">
        <f t="shared" si="9"/>
        <v>0</v>
      </c>
      <c r="H46" s="543">
        <f t="shared" si="9"/>
        <v>0</v>
      </c>
      <c r="I46" s="543">
        <f t="shared" si="9"/>
        <v>0</v>
      </c>
    </row>
    <row r="47" spans="2:9" ht="13.8">
      <c r="B47" s="286" t="s">
        <v>328</v>
      </c>
      <c r="C47" s="542">
        <f t="shared" si="7"/>
        <v>459374769</v>
      </c>
      <c r="D47" s="542">
        <f t="shared" si="8"/>
        <v>459374769</v>
      </c>
      <c r="E47" s="543">
        <f t="shared" si="9"/>
        <v>459374769</v>
      </c>
      <c r="F47" s="543">
        <f t="shared" si="9"/>
        <v>0</v>
      </c>
      <c r="G47" s="543">
        <f t="shared" si="9"/>
        <v>0</v>
      </c>
      <c r="H47" s="543">
        <f t="shared" si="9"/>
        <v>0</v>
      </c>
      <c r="I47" s="543">
        <f t="shared" si="9"/>
        <v>0</v>
      </c>
    </row>
    <row r="48" spans="2:9" ht="13.8">
      <c r="B48" s="286" t="s">
        <v>329</v>
      </c>
      <c r="C48" s="542">
        <f t="shared" si="7"/>
        <v>483504769</v>
      </c>
      <c r="D48" s="542">
        <f t="shared" si="8"/>
        <v>483504769</v>
      </c>
      <c r="E48" s="542">
        <f>SUM(E37:E46)</f>
        <v>483504769</v>
      </c>
      <c r="F48" s="542">
        <f>SUM(F37:F46)</f>
        <v>0</v>
      </c>
      <c r="G48" s="542">
        <f>SUM(G37:G46)</f>
        <v>0</v>
      </c>
      <c r="H48" s="542">
        <f>SUM(H37:H46)</f>
        <v>0</v>
      </c>
      <c r="I48" s="542">
        <f>SUM(I37:I46)</f>
        <v>0</v>
      </c>
    </row>
    <row r="49" spans="2:34" ht="13.8"/>
    <row r="50" spans="2:34" ht="13.8"/>
    <row r="51" spans="2:34" ht="13.8">
      <c r="B51" s="37" t="s">
        <v>246</v>
      </c>
      <c r="C51" s="84">
        <f>last_year</f>
        <v>2044</v>
      </c>
    </row>
    <row r="52" spans="2:34" ht="13.8">
      <c r="B52" s="288" t="s">
        <v>332</v>
      </c>
      <c r="C52" s="279">
        <f>nem_áll_fin_hiány_t!D104+áll_tám_egyszerű_csekély_t!D105+áll_tám_egyszerű_körny_70_I_t!D105+áll_tám_egyszerű_körny_70_II_t!D105+'áll_tám_egyszerű_E-H_töltő_t'!D105+áll_tám_egyszerű_megújuló_I_t!D105+áll_tám_egyszerű_regionális_t!D105+áll_tám_műk_eredmény_közszolg_t!D103</f>
        <v>130900000</v>
      </c>
      <c r="D52" s="78"/>
    </row>
    <row r="53" spans="2:34" ht="13.8"/>
    <row r="54" spans="2:34" ht="14.4" thickBot="1"/>
    <row r="55" spans="2:34" ht="14.4" thickBot="1">
      <c r="B55" s="235" t="s">
        <v>333</v>
      </c>
    </row>
    <row r="56" spans="2:34" ht="28.2" thickBot="1">
      <c r="B56" s="236" t="s">
        <v>334</v>
      </c>
    </row>
    <row r="57" spans="2:34" ht="13.8"/>
    <row r="58" spans="2:34" ht="13.8">
      <c r="B58" s="37" t="s">
        <v>335</v>
      </c>
      <c r="C58" s="289" t="s">
        <v>325</v>
      </c>
      <c r="D58" s="289" t="s">
        <v>326</v>
      </c>
      <c r="E58" s="116" cm="1">
        <f t="array" ref="E58:X58">Háttér_listák!$B$139:INDEX(Háttér_listák!$B$139:$AF$139,MATCH(0,Háttér_listák!$B$138:$AF$138,0)-1)</f>
        <v>2025</v>
      </c>
      <c r="F58" s="84">
        <v>2026</v>
      </c>
      <c r="G58" s="84">
        <v>2027</v>
      </c>
      <c r="H58" s="84">
        <v>2028</v>
      </c>
      <c r="I58" s="84">
        <v>2029</v>
      </c>
      <c r="J58" s="84">
        <v>2030</v>
      </c>
      <c r="K58" s="84">
        <v>2031</v>
      </c>
      <c r="L58" s="84">
        <v>2032</v>
      </c>
      <c r="M58" s="84">
        <v>2033</v>
      </c>
      <c r="N58" s="84">
        <v>2034</v>
      </c>
      <c r="O58" s="84">
        <v>2035</v>
      </c>
      <c r="P58" s="84">
        <v>2036</v>
      </c>
      <c r="Q58" s="84">
        <v>2037</v>
      </c>
      <c r="R58" s="84">
        <v>2038</v>
      </c>
      <c r="S58" s="84">
        <v>2039</v>
      </c>
      <c r="T58" s="84">
        <v>2040</v>
      </c>
      <c r="U58" s="84">
        <v>2041</v>
      </c>
      <c r="V58" s="84">
        <v>2042</v>
      </c>
      <c r="W58" s="84">
        <v>2043</v>
      </c>
      <c r="X58" s="84">
        <v>2044</v>
      </c>
      <c r="Y58" s="84"/>
      <c r="Z58" s="84"/>
      <c r="AA58" s="84"/>
      <c r="AB58" s="84"/>
      <c r="AC58" s="84"/>
      <c r="AD58" s="84"/>
      <c r="AE58" s="84"/>
      <c r="AF58" s="84"/>
      <c r="AG58" s="84"/>
      <c r="AH58" s="84"/>
    </row>
    <row r="59" spans="2:34" ht="13.8">
      <c r="B59" s="30" t="s">
        <v>336</v>
      </c>
      <c r="C59" s="544">
        <f t="shared" ref="C59:C64" si="10">SUM(E59:AH59)</f>
        <v>483504769</v>
      </c>
      <c r="D59" s="545">
        <f t="shared" ref="D59:D64" si="11">E59+NPV(fdr_áll,F59:AH59)</f>
        <v>483504769</v>
      </c>
      <c r="E59" s="537">
        <f>E48</f>
        <v>483504769</v>
      </c>
      <c r="F59" s="537">
        <f>F48</f>
        <v>0</v>
      </c>
      <c r="G59" s="537">
        <f>G48</f>
        <v>0</v>
      </c>
      <c r="H59" s="537">
        <f>H48</f>
        <v>0</v>
      </c>
      <c r="I59" s="537">
        <f>I48</f>
        <v>0</v>
      </c>
      <c r="J59" s="537">
        <v>0</v>
      </c>
      <c r="K59" s="537">
        <v>0</v>
      </c>
      <c r="L59" s="537">
        <v>0</v>
      </c>
      <c r="M59" s="537">
        <v>0</v>
      </c>
      <c r="N59" s="537">
        <v>0</v>
      </c>
      <c r="O59" s="537">
        <v>0</v>
      </c>
      <c r="P59" s="537">
        <v>0</v>
      </c>
      <c r="Q59" s="537">
        <v>0</v>
      </c>
      <c r="R59" s="537">
        <v>0</v>
      </c>
      <c r="S59" s="537">
        <v>0</v>
      </c>
      <c r="T59" s="537">
        <v>0</v>
      </c>
      <c r="U59" s="537">
        <v>0</v>
      </c>
      <c r="V59" s="537">
        <v>0</v>
      </c>
      <c r="W59" s="537">
        <v>0</v>
      </c>
      <c r="X59" s="537">
        <v>0</v>
      </c>
      <c r="Y59" s="537">
        <v>0</v>
      </c>
      <c r="Z59" s="537">
        <v>0</v>
      </c>
      <c r="AA59" s="537">
        <v>0</v>
      </c>
      <c r="AB59" s="537">
        <v>0</v>
      </c>
      <c r="AC59" s="537">
        <v>0</v>
      </c>
      <c r="AD59" s="537">
        <v>0</v>
      </c>
      <c r="AE59" s="537">
        <v>0</v>
      </c>
      <c r="AF59" s="537">
        <v>0</v>
      </c>
      <c r="AG59" s="537">
        <v>0</v>
      </c>
      <c r="AH59" s="537">
        <v>0</v>
      </c>
    </row>
    <row r="60" spans="2:34" ht="13.8">
      <c r="B60" s="30" t="s">
        <v>301</v>
      </c>
      <c r="C60" s="544">
        <f t="shared" si="10"/>
        <v>13051174.905538369</v>
      </c>
      <c r="D60" s="545">
        <f t="shared" si="11"/>
        <v>5283934.1509352783</v>
      </c>
      <c r="E60" s="537">
        <f>SUM(E61:E62)</f>
        <v>0</v>
      </c>
      <c r="F60" s="537">
        <f t="shared" ref="F60:AH60" si="12">SUM(F61:F62)</f>
        <v>450040.51398408157</v>
      </c>
      <c r="G60" s="537">
        <f t="shared" si="12"/>
        <v>450040.51398408157</v>
      </c>
      <c r="H60" s="537">
        <f t="shared" si="12"/>
        <v>450040.51398408157</v>
      </c>
      <c r="I60" s="537">
        <f t="shared" si="12"/>
        <v>450040.51398408157</v>
      </c>
      <c r="J60" s="537">
        <f t="shared" si="12"/>
        <v>450040.51398408157</v>
      </c>
      <c r="K60" s="537">
        <f t="shared" si="12"/>
        <v>450040.51398408157</v>
      </c>
      <c r="L60" s="537">
        <f t="shared" si="12"/>
        <v>450040.51398408157</v>
      </c>
      <c r="M60" s="537">
        <f t="shared" si="12"/>
        <v>450040.51398408157</v>
      </c>
      <c r="N60" s="537">
        <f t="shared" si="12"/>
        <v>450040.51398408157</v>
      </c>
      <c r="O60" s="537">
        <f t="shared" si="12"/>
        <v>450040.51398408157</v>
      </c>
      <c r="P60" s="537">
        <f t="shared" si="12"/>
        <v>450040.51398408157</v>
      </c>
      <c r="Q60" s="537">
        <f t="shared" si="12"/>
        <v>450040.51398408157</v>
      </c>
      <c r="R60" s="537">
        <f t="shared" si="12"/>
        <v>450040.51398408157</v>
      </c>
      <c r="S60" s="537">
        <f t="shared" si="12"/>
        <v>450040.51398408157</v>
      </c>
      <c r="T60" s="537">
        <f t="shared" si="12"/>
        <v>450040.51398408157</v>
      </c>
      <c r="U60" s="537">
        <f t="shared" si="12"/>
        <v>450040.51398408157</v>
      </c>
      <c r="V60" s="537">
        <f t="shared" si="12"/>
        <v>450040.51398408157</v>
      </c>
      <c r="W60" s="537">
        <f t="shared" si="12"/>
        <v>450040.51398408157</v>
      </c>
      <c r="X60" s="537">
        <f t="shared" si="12"/>
        <v>450040.51398408157</v>
      </c>
      <c r="Y60" s="537">
        <f t="shared" si="12"/>
        <v>450040.51398408157</v>
      </c>
      <c r="Z60" s="537">
        <f t="shared" si="12"/>
        <v>450040.51398408157</v>
      </c>
      <c r="AA60" s="537">
        <f t="shared" si="12"/>
        <v>450040.51398408157</v>
      </c>
      <c r="AB60" s="537">
        <f t="shared" si="12"/>
        <v>450040.51398408157</v>
      </c>
      <c r="AC60" s="537">
        <f t="shared" si="12"/>
        <v>450040.51398408157</v>
      </c>
      <c r="AD60" s="537">
        <f t="shared" si="12"/>
        <v>450040.51398408157</v>
      </c>
      <c r="AE60" s="537">
        <f t="shared" si="12"/>
        <v>450040.51398408157</v>
      </c>
      <c r="AF60" s="537">
        <f t="shared" si="12"/>
        <v>450040.51398408157</v>
      </c>
      <c r="AG60" s="537">
        <f t="shared" si="12"/>
        <v>450040.51398408157</v>
      </c>
      <c r="AH60" s="537">
        <f t="shared" si="12"/>
        <v>450040.51398408157</v>
      </c>
    </row>
    <row r="61" spans="2:34" ht="14.4">
      <c r="B61" s="42" t="s">
        <v>337</v>
      </c>
      <c r="C61" s="546">
        <f t="shared" si="10"/>
        <v>13051174.905538369</v>
      </c>
      <c r="D61" s="545">
        <f t="shared" si="11"/>
        <v>5283934.1509352783</v>
      </c>
      <c r="E61" s="279">
        <v>0</v>
      </c>
      <c r="F61" s="279">
        <v>450040.51398408157</v>
      </c>
      <c r="G61" s="279">
        <v>450040.51398408157</v>
      </c>
      <c r="H61" s="279">
        <v>450040.51398408157</v>
      </c>
      <c r="I61" s="279">
        <v>450040.51398408157</v>
      </c>
      <c r="J61" s="279">
        <v>450040.51398408157</v>
      </c>
      <c r="K61" s="279">
        <v>450040.51398408157</v>
      </c>
      <c r="L61" s="279">
        <v>450040.51398408157</v>
      </c>
      <c r="M61" s="279">
        <v>450040.51398408157</v>
      </c>
      <c r="N61" s="279">
        <v>450040.51398408157</v>
      </c>
      <c r="O61" s="279">
        <v>450040.51398408157</v>
      </c>
      <c r="P61" s="279">
        <v>450040.51398408157</v>
      </c>
      <c r="Q61" s="279">
        <v>450040.51398408157</v>
      </c>
      <c r="R61" s="279">
        <v>450040.51398408157</v>
      </c>
      <c r="S61" s="279">
        <v>450040.51398408157</v>
      </c>
      <c r="T61" s="279">
        <v>450040.51398408157</v>
      </c>
      <c r="U61" s="279">
        <v>450040.51398408157</v>
      </c>
      <c r="V61" s="279">
        <v>450040.51398408157</v>
      </c>
      <c r="W61" s="279">
        <v>450040.51398408157</v>
      </c>
      <c r="X61" s="279">
        <v>450040.51398408157</v>
      </c>
      <c r="Y61" s="279">
        <v>450040.51398408157</v>
      </c>
      <c r="Z61" s="279">
        <v>450040.51398408157</v>
      </c>
      <c r="AA61" s="279">
        <v>450040.51398408157</v>
      </c>
      <c r="AB61" s="279">
        <v>450040.51398408157</v>
      </c>
      <c r="AC61" s="279">
        <v>450040.51398408157</v>
      </c>
      <c r="AD61" s="279">
        <v>450040.51398408157</v>
      </c>
      <c r="AE61" s="279">
        <v>450040.51398408157</v>
      </c>
      <c r="AF61" s="279">
        <v>450040.51398408157</v>
      </c>
      <c r="AG61" s="279">
        <v>450040.51398408157</v>
      </c>
      <c r="AH61" s="279">
        <v>450040.51398408157</v>
      </c>
    </row>
    <row r="62" spans="2:34" ht="14.4">
      <c r="B62" s="42" t="s">
        <v>338</v>
      </c>
      <c r="C62" s="546">
        <f t="shared" si="10"/>
        <v>0</v>
      </c>
      <c r="D62" s="545">
        <f t="shared" si="11"/>
        <v>0</v>
      </c>
      <c r="E62" s="279">
        <v>0</v>
      </c>
      <c r="F62" s="279">
        <v>0</v>
      </c>
      <c r="G62" s="279">
        <v>0</v>
      </c>
      <c r="H62" s="279">
        <v>0</v>
      </c>
      <c r="I62" s="279">
        <v>0</v>
      </c>
      <c r="J62" s="279">
        <v>0</v>
      </c>
      <c r="K62" s="279">
        <v>0</v>
      </c>
      <c r="L62" s="279">
        <v>0</v>
      </c>
      <c r="M62" s="279">
        <v>0</v>
      </c>
      <c r="N62" s="279">
        <v>0</v>
      </c>
      <c r="O62" s="279">
        <v>0</v>
      </c>
      <c r="P62" s="279">
        <v>0</v>
      </c>
      <c r="Q62" s="279">
        <v>0</v>
      </c>
      <c r="R62" s="279">
        <v>0</v>
      </c>
      <c r="S62" s="279">
        <v>0</v>
      </c>
      <c r="T62" s="279">
        <v>0</v>
      </c>
      <c r="U62" s="279">
        <v>0</v>
      </c>
      <c r="V62" s="279">
        <v>0</v>
      </c>
      <c r="W62" s="279">
        <v>0</v>
      </c>
      <c r="X62" s="279">
        <v>0</v>
      </c>
      <c r="Y62" s="279">
        <v>0</v>
      </c>
      <c r="Z62" s="279">
        <v>0</v>
      </c>
      <c r="AA62" s="279">
        <v>0</v>
      </c>
      <c r="AB62" s="279">
        <v>0</v>
      </c>
      <c r="AC62" s="279">
        <v>0</v>
      </c>
      <c r="AD62" s="279">
        <v>0</v>
      </c>
      <c r="AE62" s="279">
        <v>0</v>
      </c>
      <c r="AF62" s="279">
        <v>0</v>
      </c>
      <c r="AG62" s="279">
        <v>0</v>
      </c>
      <c r="AH62" s="279">
        <v>0</v>
      </c>
    </row>
    <row r="63" spans="2:34" ht="13.8">
      <c r="B63" s="30" t="s">
        <v>246</v>
      </c>
      <c r="C63" s="544">
        <f t="shared" si="10"/>
        <v>130900000</v>
      </c>
      <c r="D63" s="545">
        <f t="shared" si="11"/>
        <v>33361821.788842123</v>
      </c>
      <c r="E63" s="85">
        <f t="shared" ref="E63:AH63" si="13">IF(last_year=E58,$C$52,0)</f>
        <v>0</v>
      </c>
      <c r="F63" s="85">
        <f t="shared" si="13"/>
        <v>0</v>
      </c>
      <c r="G63" s="85">
        <f t="shared" si="13"/>
        <v>0</v>
      </c>
      <c r="H63" s="85">
        <f t="shared" si="13"/>
        <v>0</v>
      </c>
      <c r="I63" s="85">
        <f t="shared" si="13"/>
        <v>0</v>
      </c>
      <c r="J63" s="85">
        <f t="shared" si="13"/>
        <v>0</v>
      </c>
      <c r="K63" s="85">
        <f t="shared" si="13"/>
        <v>0</v>
      </c>
      <c r="L63" s="85">
        <f t="shared" si="13"/>
        <v>0</v>
      </c>
      <c r="M63" s="85">
        <f t="shared" si="13"/>
        <v>0</v>
      </c>
      <c r="N63" s="85">
        <f t="shared" si="13"/>
        <v>0</v>
      </c>
      <c r="O63" s="85">
        <f t="shared" si="13"/>
        <v>0</v>
      </c>
      <c r="P63" s="85">
        <f t="shared" si="13"/>
        <v>0</v>
      </c>
      <c r="Q63" s="85">
        <f t="shared" si="13"/>
        <v>0</v>
      </c>
      <c r="R63" s="85">
        <f t="shared" si="13"/>
        <v>0</v>
      </c>
      <c r="S63" s="85">
        <f t="shared" si="13"/>
        <v>0</v>
      </c>
      <c r="T63" s="85">
        <f t="shared" si="13"/>
        <v>0</v>
      </c>
      <c r="U63" s="85">
        <f t="shared" si="13"/>
        <v>0</v>
      </c>
      <c r="V63" s="85">
        <f t="shared" si="13"/>
        <v>0</v>
      </c>
      <c r="W63" s="85">
        <f t="shared" si="13"/>
        <v>0</v>
      </c>
      <c r="X63" s="85">
        <f t="shared" si="13"/>
        <v>130900000</v>
      </c>
      <c r="Y63" s="85">
        <f t="shared" si="13"/>
        <v>0</v>
      </c>
      <c r="Z63" s="85">
        <f t="shared" si="13"/>
        <v>0</v>
      </c>
      <c r="AA63" s="85">
        <f t="shared" si="13"/>
        <v>0</v>
      </c>
      <c r="AB63" s="85">
        <f t="shared" si="13"/>
        <v>0</v>
      </c>
      <c r="AC63" s="85">
        <f t="shared" si="13"/>
        <v>0</v>
      </c>
      <c r="AD63" s="85">
        <f t="shared" si="13"/>
        <v>0</v>
      </c>
      <c r="AE63" s="85">
        <f t="shared" si="13"/>
        <v>0</v>
      </c>
      <c r="AF63" s="85">
        <f t="shared" si="13"/>
        <v>0</v>
      </c>
      <c r="AG63" s="85">
        <f t="shared" si="13"/>
        <v>0</v>
      </c>
      <c r="AH63" s="85">
        <f t="shared" si="13"/>
        <v>0</v>
      </c>
    </row>
    <row r="64" spans="2:34" ht="13.8">
      <c r="B64" s="43" t="s">
        <v>288</v>
      </c>
      <c r="C64" s="547">
        <f t="shared" si="10"/>
        <v>365655943.90553844</v>
      </c>
      <c r="D64" s="548">
        <f t="shared" si="11"/>
        <v>455426881.36209315</v>
      </c>
      <c r="E64" s="549">
        <f>E59+E60-E63</f>
        <v>483504769</v>
      </c>
      <c r="F64" s="549">
        <f t="shared" ref="F64:AH64" si="14">F59+F60-F63</f>
        <v>450040.51398408157</v>
      </c>
      <c r="G64" s="549">
        <f t="shared" si="14"/>
        <v>450040.51398408157</v>
      </c>
      <c r="H64" s="549">
        <f t="shared" si="14"/>
        <v>450040.51398408157</v>
      </c>
      <c r="I64" s="549">
        <f t="shared" si="14"/>
        <v>450040.51398408157</v>
      </c>
      <c r="J64" s="549">
        <f t="shared" si="14"/>
        <v>450040.51398408157</v>
      </c>
      <c r="K64" s="549">
        <f t="shared" si="14"/>
        <v>450040.51398408157</v>
      </c>
      <c r="L64" s="549">
        <f t="shared" si="14"/>
        <v>450040.51398408157</v>
      </c>
      <c r="M64" s="549">
        <f t="shared" si="14"/>
        <v>450040.51398408157</v>
      </c>
      <c r="N64" s="549">
        <f t="shared" si="14"/>
        <v>450040.51398408157</v>
      </c>
      <c r="O64" s="549">
        <f t="shared" si="14"/>
        <v>450040.51398408157</v>
      </c>
      <c r="P64" s="549">
        <f t="shared" si="14"/>
        <v>450040.51398408157</v>
      </c>
      <c r="Q64" s="549">
        <f t="shared" si="14"/>
        <v>450040.51398408157</v>
      </c>
      <c r="R64" s="549">
        <f t="shared" si="14"/>
        <v>450040.51398408157</v>
      </c>
      <c r="S64" s="549">
        <f t="shared" si="14"/>
        <v>450040.51398408157</v>
      </c>
      <c r="T64" s="549">
        <f t="shared" si="14"/>
        <v>450040.51398408157</v>
      </c>
      <c r="U64" s="549">
        <f t="shared" si="14"/>
        <v>450040.51398408157</v>
      </c>
      <c r="V64" s="549">
        <f t="shared" si="14"/>
        <v>450040.51398408157</v>
      </c>
      <c r="W64" s="549">
        <f t="shared" si="14"/>
        <v>450040.51398408157</v>
      </c>
      <c r="X64" s="549">
        <f t="shared" si="14"/>
        <v>-130449959.48601592</v>
      </c>
      <c r="Y64" s="549">
        <f t="shared" si="14"/>
        <v>450040.51398408157</v>
      </c>
      <c r="Z64" s="549">
        <f t="shared" si="14"/>
        <v>450040.51398408157</v>
      </c>
      <c r="AA64" s="549">
        <f t="shared" si="14"/>
        <v>450040.51398408157</v>
      </c>
      <c r="AB64" s="549">
        <f t="shared" si="14"/>
        <v>450040.51398408157</v>
      </c>
      <c r="AC64" s="549">
        <f t="shared" si="14"/>
        <v>450040.51398408157</v>
      </c>
      <c r="AD64" s="549">
        <f t="shared" si="14"/>
        <v>450040.51398408157</v>
      </c>
      <c r="AE64" s="549">
        <f t="shared" si="14"/>
        <v>450040.51398408157</v>
      </c>
      <c r="AF64" s="549">
        <f t="shared" si="14"/>
        <v>450040.51398408157</v>
      </c>
      <c r="AG64" s="549">
        <f t="shared" si="14"/>
        <v>450040.51398408157</v>
      </c>
      <c r="AH64" s="549">
        <f t="shared" si="14"/>
        <v>450040.51398408157</v>
      </c>
    </row>
    <row r="65" spans="2:34" ht="14.4" thickBot="1"/>
    <row r="66" spans="2:34" ht="14.4" thickBot="1">
      <c r="B66" s="235" t="s">
        <v>339</v>
      </c>
    </row>
    <row r="67" spans="2:34" ht="28.2" thickBot="1">
      <c r="B67" s="236" t="s">
        <v>340</v>
      </c>
    </row>
    <row r="68" spans="2:34" ht="13.8"/>
    <row r="69" spans="2:34" ht="13.8">
      <c r="B69" s="37" t="s">
        <v>335</v>
      </c>
      <c r="C69" s="290" t="s">
        <v>325</v>
      </c>
      <c r="D69" s="290" t="s">
        <v>326</v>
      </c>
      <c r="E69" s="84" cm="1">
        <f t="array" ref="E69:X69">Háttér_listák!$B$139:INDEX(Háttér_listák!$B$139:$AF$139,MATCH(0,Háttér_listák!$B$138:$AF$138,0)-1)</f>
        <v>2025</v>
      </c>
      <c r="F69" s="84">
        <v>2026</v>
      </c>
      <c r="G69" s="84">
        <v>2027</v>
      </c>
      <c r="H69" s="84">
        <v>2028</v>
      </c>
      <c r="I69" s="84">
        <v>2029</v>
      </c>
      <c r="J69" s="84">
        <v>2030</v>
      </c>
      <c r="K69" s="84">
        <v>2031</v>
      </c>
      <c r="L69" s="84">
        <v>2032</v>
      </c>
      <c r="M69" s="84">
        <v>2033</v>
      </c>
      <c r="N69" s="84">
        <v>2034</v>
      </c>
      <c r="O69" s="84">
        <v>2035</v>
      </c>
      <c r="P69" s="84">
        <v>2036</v>
      </c>
      <c r="Q69" s="84">
        <v>2037</v>
      </c>
      <c r="R69" s="84">
        <v>2038</v>
      </c>
      <c r="S69" s="84">
        <v>2039</v>
      </c>
      <c r="T69" s="84">
        <v>2040</v>
      </c>
      <c r="U69" s="84">
        <v>2041</v>
      </c>
      <c r="V69" s="84">
        <v>2042</v>
      </c>
      <c r="W69" s="84">
        <v>2043</v>
      </c>
      <c r="X69" s="84">
        <v>2044</v>
      </c>
      <c r="Y69" s="84"/>
      <c r="Z69" s="84"/>
      <c r="AA69" s="84"/>
      <c r="AB69" s="84"/>
      <c r="AC69" s="84"/>
      <c r="AD69" s="84"/>
      <c r="AE69" s="84"/>
      <c r="AF69" s="84"/>
      <c r="AG69" s="84"/>
      <c r="AH69" s="84"/>
    </row>
    <row r="70" spans="2:34" ht="13.8">
      <c r="B70" s="30" t="s">
        <v>341</v>
      </c>
      <c r="C70" s="537">
        <f>SUM(E70:AH70)</f>
        <v>50749999.999999993</v>
      </c>
      <c r="D70" s="550">
        <f>E70+NPV(fdr_áll,F70:AH70)</f>
        <v>20546782.960219905</v>
      </c>
      <c r="E70" s="279">
        <v>0</v>
      </c>
      <c r="F70" s="279">
        <v>1749999.9999999998</v>
      </c>
      <c r="G70" s="279">
        <v>1749999.9999999998</v>
      </c>
      <c r="H70" s="279">
        <v>1749999.9999999998</v>
      </c>
      <c r="I70" s="279">
        <v>1749999.9999999998</v>
      </c>
      <c r="J70" s="279">
        <v>1749999.9999999998</v>
      </c>
      <c r="K70" s="279">
        <v>1749999.9999999998</v>
      </c>
      <c r="L70" s="279">
        <v>1749999.9999999998</v>
      </c>
      <c r="M70" s="279">
        <v>1749999.9999999998</v>
      </c>
      <c r="N70" s="279">
        <v>1749999.9999999998</v>
      </c>
      <c r="O70" s="279">
        <v>1749999.9999999998</v>
      </c>
      <c r="P70" s="279">
        <v>1749999.9999999998</v>
      </c>
      <c r="Q70" s="279">
        <v>1749999.9999999998</v>
      </c>
      <c r="R70" s="279">
        <v>1749999.9999999998</v>
      </c>
      <c r="S70" s="279">
        <v>1749999.9999999998</v>
      </c>
      <c r="T70" s="279">
        <v>1749999.9999999998</v>
      </c>
      <c r="U70" s="279">
        <v>1749999.9999999998</v>
      </c>
      <c r="V70" s="279">
        <v>1749999.9999999998</v>
      </c>
      <c r="W70" s="279">
        <v>1749999.9999999998</v>
      </c>
      <c r="X70" s="279">
        <v>1749999.9999999998</v>
      </c>
      <c r="Y70" s="279">
        <v>1749999.9999999998</v>
      </c>
      <c r="Z70" s="279">
        <v>1749999.9999999998</v>
      </c>
      <c r="AA70" s="279">
        <v>1749999.9999999998</v>
      </c>
      <c r="AB70" s="279">
        <v>1749999.9999999998</v>
      </c>
      <c r="AC70" s="279">
        <v>1749999.9999999998</v>
      </c>
      <c r="AD70" s="279">
        <v>1749999.9999999998</v>
      </c>
      <c r="AE70" s="279">
        <v>1749999.9999999998</v>
      </c>
      <c r="AF70" s="279">
        <v>1749999.9999999998</v>
      </c>
      <c r="AG70" s="279">
        <v>1749999.9999999998</v>
      </c>
      <c r="AH70" s="279">
        <v>1749999.9999999998</v>
      </c>
    </row>
    <row r="71" spans="2:34" ht="13.8">
      <c r="B71" s="30" t="s">
        <v>342</v>
      </c>
      <c r="C71" s="537">
        <f>SUM(E71:AH71)</f>
        <v>0</v>
      </c>
      <c r="D71" s="537">
        <f>E71+NPV(fdr_áll,F71:AH71)</f>
        <v>0</v>
      </c>
      <c r="E71" s="279">
        <v>0</v>
      </c>
      <c r="F71" s="279">
        <v>0</v>
      </c>
      <c r="G71" s="279">
        <v>0</v>
      </c>
      <c r="H71" s="279">
        <v>0</v>
      </c>
      <c r="I71" s="279">
        <v>0</v>
      </c>
      <c r="J71" s="279">
        <v>0</v>
      </c>
      <c r="K71" s="279">
        <v>0</v>
      </c>
      <c r="L71" s="279">
        <v>0</v>
      </c>
      <c r="M71" s="279">
        <v>0</v>
      </c>
      <c r="N71" s="279">
        <v>0</v>
      </c>
      <c r="O71" s="279">
        <v>0</v>
      </c>
      <c r="P71" s="279">
        <v>0</v>
      </c>
      <c r="Q71" s="279">
        <v>0</v>
      </c>
      <c r="R71" s="279">
        <v>0</v>
      </c>
      <c r="S71" s="279">
        <v>0</v>
      </c>
      <c r="T71" s="279">
        <v>0</v>
      </c>
      <c r="U71" s="279">
        <v>0</v>
      </c>
      <c r="V71" s="279">
        <v>0</v>
      </c>
      <c r="W71" s="279">
        <v>0</v>
      </c>
      <c r="X71" s="279">
        <v>0</v>
      </c>
      <c r="Y71" s="279">
        <v>0</v>
      </c>
      <c r="Z71" s="279">
        <v>0</v>
      </c>
      <c r="AA71" s="279">
        <v>0</v>
      </c>
      <c r="AB71" s="279">
        <v>0</v>
      </c>
      <c r="AC71" s="279">
        <v>0</v>
      </c>
      <c r="AD71" s="279">
        <v>0</v>
      </c>
      <c r="AE71" s="279">
        <v>0</v>
      </c>
      <c r="AF71" s="279">
        <v>0</v>
      </c>
      <c r="AG71" s="279">
        <v>0</v>
      </c>
      <c r="AH71" s="279">
        <v>0</v>
      </c>
    </row>
    <row r="72" spans="2:34" ht="13.8">
      <c r="B72" s="35" t="s">
        <v>343</v>
      </c>
      <c r="C72" s="549">
        <f>SUM(E72:AH72)</f>
        <v>50749999.999999993</v>
      </c>
      <c r="D72" s="549">
        <f>E72+NPV(fdr_áll,F72:AH72)</f>
        <v>20546782.960219905</v>
      </c>
      <c r="E72" s="549">
        <f t="shared" ref="E72:AH72" si="15">SUM(E70:E71)</f>
        <v>0</v>
      </c>
      <c r="F72" s="549">
        <f t="shared" si="15"/>
        <v>1749999.9999999998</v>
      </c>
      <c r="G72" s="549">
        <f t="shared" si="15"/>
        <v>1749999.9999999998</v>
      </c>
      <c r="H72" s="549">
        <f t="shared" si="15"/>
        <v>1749999.9999999998</v>
      </c>
      <c r="I72" s="549">
        <f t="shared" si="15"/>
        <v>1749999.9999999998</v>
      </c>
      <c r="J72" s="549">
        <f t="shared" si="15"/>
        <v>1749999.9999999998</v>
      </c>
      <c r="K72" s="549">
        <f t="shared" si="15"/>
        <v>1749999.9999999998</v>
      </c>
      <c r="L72" s="549">
        <f t="shared" si="15"/>
        <v>1749999.9999999998</v>
      </c>
      <c r="M72" s="549">
        <f t="shared" si="15"/>
        <v>1749999.9999999998</v>
      </c>
      <c r="N72" s="549">
        <f t="shared" si="15"/>
        <v>1749999.9999999998</v>
      </c>
      <c r="O72" s="549">
        <f t="shared" si="15"/>
        <v>1749999.9999999998</v>
      </c>
      <c r="P72" s="549">
        <f t="shared" si="15"/>
        <v>1749999.9999999998</v>
      </c>
      <c r="Q72" s="549">
        <f t="shared" si="15"/>
        <v>1749999.9999999998</v>
      </c>
      <c r="R72" s="549">
        <f t="shared" si="15"/>
        <v>1749999.9999999998</v>
      </c>
      <c r="S72" s="549">
        <f t="shared" si="15"/>
        <v>1749999.9999999998</v>
      </c>
      <c r="T72" s="549">
        <f t="shared" si="15"/>
        <v>1749999.9999999998</v>
      </c>
      <c r="U72" s="549">
        <f t="shared" si="15"/>
        <v>1749999.9999999998</v>
      </c>
      <c r="V72" s="549">
        <f t="shared" si="15"/>
        <v>1749999.9999999998</v>
      </c>
      <c r="W72" s="549">
        <f t="shared" si="15"/>
        <v>1749999.9999999998</v>
      </c>
      <c r="X72" s="549">
        <f t="shared" si="15"/>
        <v>1749999.9999999998</v>
      </c>
      <c r="Y72" s="549">
        <f t="shared" si="15"/>
        <v>1749999.9999999998</v>
      </c>
      <c r="Z72" s="549">
        <f t="shared" si="15"/>
        <v>1749999.9999999998</v>
      </c>
      <c r="AA72" s="549">
        <f t="shared" si="15"/>
        <v>1749999.9999999998</v>
      </c>
      <c r="AB72" s="549">
        <f t="shared" si="15"/>
        <v>1749999.9999999998</v>
      </c>
      <c r="AC72" s="549">
        <f t="shared" si="15"/>
        <v>1749999.9999999998</v>
      </c>
      <c r="AD72" s="549">
        <f t="shared" si="15"/>
        <v>1749999.9999999998</v>
      </c>
      <c r="AE72" s="549">
        <f t="shared" si="15"/>
        <v>1749999.9999999998</v>
      </c>
      <c r="AF72" s="549">
        <f t="shared" si="15"/>
        <v>1749999.9999999998</v>
      </c>
      <c r="AG72" s="549">
        <f t="shared" si="15"/>
        <v>1749999.9999999998</v>
      </c>
      <c r="AH72" s="549">
        <f t="shared" si="15"/>
        <v>1749999.9999999998</v>
      </c>
    </row>
    <row r="73" spans="2:34" ht="13.8"/>
    <row r="74" spans="2:34" ht="13.8"/>
    <row r="75" spans="2:34" ht="13.8">
      <c r="B75" s="37" t="s">
        <v>312</v>
      </c>
      <c r="C75" s="290" t="s">
        <v>325</v>
      </c>
      <c r="D75" s="290" t="s">
        <v>326</v>
      </c>
      <c r="E75" s="84" cm="1">
        <f t="array" ref="E75:X75">Háttér_listák!$B$139:INDEX(Háttér_listák!$B$139:$AF$139,MATCH(0,Háttér_listák!$B$138:$AF$138,0)-1)</f>
        <v>2025</v>
      </c>
      <c r="F75" s="84">
        <v>2026</v>
      </c>
      <c r="G75" s="84">
        <v>2027</v>
      </c>
      <c r="H75" s="84">
        <v>2028</v>
      </c>
      <c r="I75" s="84">
        <v>2029</v>
      </c>
      <c r="J75" s="84">
        <v>2030</v>
      </c>
      <c r="K75" s="84">
        <v>2031</v>
      </c>
      <c r="L75" s="84">
        <v>2032</v>
      </c>
      <c r="M75" s="84">
        <v>2033</v>
      </c>
      <c r="N75" s="84">
        <v>2034</v>
      </c>
      <c r="O75" s="84">
        <v>2035</v>
      </c>
      <c r="P75" s="84">
        <v>2036</v>
      </c>
      <c r="Q75" s="84">
        <v>2037</v>
      </c>
      <c r="R75" s="84">
        <v>2038</v>
      </c>
      <c r="S75" s="84">
        <v>2039</v>
      </c>
      <c r="T75" s="84">
        <v>2040</v>
      </c>
      <c r="U75" s="84">
        <v>2041</v>
      </c>
      <c r="V75" s="84">
        <v>2042</v>
      </c>
      <c r="W75" s="84">
        <v>2043</v>
      </c>
      <c r="X75" s="84">
        <v>2044</v>
      </c>
      <c r="Y75" s="84"/>
      <c r="Z75" s="84"/>
      <c r="AA75" s="84"/>
      <c r="AB75" s="84"/>
      <c r="AC75" s="84"/>
      <c r="AD75" s="84"/>
      <c r="AE75" s="84"/>
      <c r="AF75" s="84"/>
      <c r="AG75" s="84"/>
      <c r="AH75" s="84"/>
    </row>
    <row r="76" spans="2:34" ht="13.8">
      <c r="B76" s="30" t="s">
        <v>314</v>
      </c>
      <c r="C76" s="537">
        <f>SUM(E76:AH76)</f>
        <v>0</v>
      </c>
      <c r="D76" s="550">
        <f>E76+NPV(fdr_áll,F76:AH76)</f>
        <v>0</v>
      </c>
      <c r="E76" s="85">
        <f>Működési_input!D41+Működési_input!D48</f>
        <v>0</v>
      </c>
      <c r="F76" s="85">
        <f>Működési_input!E41+Működési_input!E48</f>
        <v>0</v>
      </c>
      <c r="G76" s="85">
        <f>Működési_input!F41+Működési_input!F48</f>
        <v>0</v>
      </c>
      <c r="H76" s="85">
        <f>Működési_input!G41+Működési_input!G48</f>
        <v>0</v>
      </c>
      <c r="I76" s="85">
        <f>Működési_input!H41+Működési_input!H48</f>
        <v>0</v>
      </c>
      <c r="J76" s="85">
        <f>Működési_input!I41+Működési_input!I48</f>
        <v>0</v>
      </c>
      <c r="K76" s="85">
        <f>Működési_input!J41+Működési_input!J48</f>
        <v>0</v>
      </c>
      <c r="L76" s="85">
        <f>Működési_input!K41+Működési_input!K48</f>
        <v>0</v>
      </c>
      <c r="M76" s="85">
        <f>Működési_input!L41+Működési_input!L48</f>
        <v>0</v>
      </c>
      <c r="N76" s="85">
        <f>Működési_input!M41+Működési_input!M48</f>
        <v>0</v>
      </c>
      <c r="O76" s="85">
        <f>Működési_input!N41+Működési_input!N48</f>
        <v>0</v>
      </c>
      <c r="P76" s="85">
        <f>Működési_input!O41+Működési_input!O48</f>
        <v>0</v>
      </c>
      <c r="Q76" s="85">
        <f>Működési_input!P41+Működési_input!P48</f>
        <v>0</v>
      </c>
      <c r="R76" s="85">
        <f>Működési_input!Q41+Működési_input!Q48</f>
        <v>0</v>
      </c>
      <c r="S76" s="85">
        <f>Működési_input!R41+Működési_input!R48</f>
        <v>0</v>
      </c>
      <c r="T76" s="85">
        <f>Működési_input!S41+Működési_input!S48</f>
        <v>0</v>
      </c>
      <c r="U76" s="85">
        <f>Működési_input!T41+Működési_input!T48</f>
        <v>0</v>
      </c>
      <c r="V76" s="85">
        <f>Működési_input!U41+Működési_input!U48</f>
        <v>0</v>
      </c>
      <c r="W76" s="85">
        <f>Működési_input!V41+Működési_input!V48</f>
        <v>0</v>
      </c>
      <c r="X76" s="85">
        <f>Működési_input!W41+Működési_input!W48</f>
        <v>0</v>
      </c>
      <c r="Y76" s="85">
        <f>Működési_input!X41+Működési_input!X48</f>
        <v>0</v>
      </c>
      <c r="Z76" s="85">
        <f>Működési_input!Y41+Működési_input!Y48</f>
        <v>0</v>
      </c>
      <c r="AA76" s="85">
        <f>Működési_input!Z41+Működési_input!Z48</f>
        <v>0</v>
      </c>
      <c r="AB76" s="85">
        <f>Működési_input!AA41+Működési_input!AA48</f>
        <v>0</v>
      </c>
      <c r="AC76" s="85">
        <f>Működési_input!AB41+Működési_input!AB48</f>
        <v>0</v>
      </c>
      <c r="AD76" s="85">
        <f>Működési_input!AC41+Működési_input!AC48</f>
        <v>0</v>
      </c>
      <c r="AE76" s="85">
        <f>Működési_input!AD41+Működési_input!AD48</f>
        <v>0</v>
      </c>
      <c r="AF76" s="85">
        <f>Működési_input!AE41+Működési_input!AE48</f>
        <v>0</v>
      </c>
      <c r="AG76" s="85">
        <f>Működési_input!AF41+Működési_input!AF48</f>
        <v>0</v>
      </c>
      <c r="AH76" s="85">
        <f>Működési_input!AG41+Működési_input!AG48</f>
        <v>0</v>
      </c>
    </row>
    <row r="77" spans="2:34" ht="13.8">
      <c r="B77" s="30" t="s">
        <v>315</v>
      </c>
      <c r="C77" s="537">
        <f>SUM(E77:AH77)</f>
        <v>0</v>
      </c>
      <c r="D77" s="537">
        <f>E77+NPV(fdr_áll,F77:AH77)</f>
        <v>0</v>
      </c>
      <c r="E77" s="85">
        <f>Működési_input!D42+Működési_input!D49</f>
        <v>0</v>
      </c>
      <c r="F77" s="85">
        <f>Működési_input!E42+Működési_input!E49</f>
        <v>0</v>
      </c>
      <c r="G77" s="85">
        <f>Működési_input!F42+Működési_input!F49</f>
        <v>0</v>
      </c>
      <c r="H77" s="85">
        <f>Működési_input!G42+Működési_input!G49</f>
        <v>0</v>
      </c>
      <c r="I77" s="85">
        <f>Működési_input!H42+Működési_input!H49</f>
        <v>0</v>
      </c>
      <c r="J77" s="85">
        <f>Működési_input!I42+Működési_input!I49</f>
        <v>0</v>
      </c>
      <c r="K77" s="85">
        <f>Működési_input!J42+Működési_input!J49</f>
        <v>0</v>
      </c>
      <c r="L77" s="85">
        <f>Működési_input!K42+Működési_input!K49</f>
        <v>0</v>
      </c>
      <c r="M77" s="85">
        <f>Működési_input!L42+Működési_input!L49</f>
        <v>0</v>
      </c>
      <c r="N77" s="85">
        <f>Működési_input!M42+Működési_input!M49</f>
        <v>0</v>
      </c>
      <c r="O77" s="85">
        <f>Működési_input!N42+Működési_input!N49</f>
        <v>0</v>
      </c>
      <c r="P77" s="85">
        <f>Működési_input!O42+Működési_input!O49</f>
        <v>0</v>
      </c>
      <c r="Q77" s="85">
        <f>Működési_input!P42+Működési_input!P49</f>
        <v>0</v>
      </c>
      <c r="R77" s="85">
        <f>Működési_input!Q42+Működési_input!Q49</f>
        <v>0</v>
      </c>
      <c r="S77" s="85">
        <f>Működési_input!R42+Működési_input!R49</f>
        <v>0</v>
      </c>
      <c r="T77" s="85">
        <f>Működési_input!S42+Működési_input!S49</f>
        <v>0</v>
      </c>
      <c r="U77" s="85">
        <f>Működési_input!T42+Működési_input!T49</f>
        <v>0</v>
      </c>
      <c r="V77" s="85">
        <f>Működési_input!U42+Működési_input!U49</f>
        <v>0</v>
      </c>
      <c r="W77" s="85">
        <f>Működési_input!V42+Működési_input!V49</f>
        <v>0</v>
      </c>
      <c r="X77" s="85">
        <f>Működési_input!W42+Működési_input!W49</f>
        <v>0</v>
      </c>
      <c r="Y77" s="85">
        <f>Működési_input!X42+Működési_input!X49</f>
        <v>0</v>
      </c>
      <c r="Z77" s="85">
        <f>Működési_input!Y42+Működési_input!Y49</f>
        <v>0</v>
      </c>
      <c r="AA77" s="85">
        <f>Működési_input!Z42+Működési_input!Z49</f>
        <v>0</v>
      </c>
      <c r="AB77" s="85">
        <f>Működési_input!AA42+Működési_input!AA49</f>
        <v>0</v>
      </c>
      <c r="AC77" s="85">
        <f>Működési_input!AB42+Működési_input!AB49</f>
        <v>0</v>
      </c>
      <c r="AD77" s="85">
        <f>Működési_input!AC42+Működési_input!AC49</f>
        <v>0</v>
      </c>
      <c r="AE77" s="85">
        <f>Működési_input!AD42+Működési_input!AD49</f>
        <v>0</v>
      </c>
      <c r="AF77" s="85">
        <f>Működési_input!AE42+Működési_input!AE49</f>
        <v>0</v>
      </c>
      <c r="AG77" s="85">
        <f>Működési_input!AF42+Működési_input!AF49</f>
        <v>0</v>
      </c>
      <c r="AH77" s="85">
        <f>Működési_input!AG42+Működési_input!AG49</f>
        <v>0</v>
      </c>
    </row>
    <row r="78" spans="2:34" ht="13.8">
      <c r="B78" s="30" t="s">
        <v>316</v>
      </c>
      <c r="C78" s="537">
        <f>SUM(E78:AH78)</f>
        <v>0</v>
      </c>
      <c r="D78" s="537">
        <f>E78+NPV(fdr_áll,F78:AH78)</f>
        <v>0</v>
      </c>
      <c r="E78" s="85">
        <f>Működési_input!D43+Működési_input!D50</f>
        <v>0</v>
      </c>
      <c r="F78" s="85">
        <f>Működési_input!E43+Működési_input!E50</f>
        <v>0</v>
      </c>
      <c r="G78" s="85">
        <f>Működési_input!F43+Működési_input!F50</f>
        <v>0</v>
      </c>
      <c r="H78" s="85">
        <f>Működési_input!G43+Működési_input!G50</f>
        <v>0</v>
      </c>
      <c r="I78" s="85">
        <f>Működési_input!H43+Működési_input!H50</f>
        <v>0</v>
      </c>
      <c r="J78" s="85">
        <f>Működési_input!I43+Működési_input!I50</f>
        <v>0</v>
      </c>
      <c r="K78" s="85">
        <f>Működési_input!J43+Működési_input!J50</f>
        <v>0</v>
      </c>
      <c r="L78" s="85">
        <f>Működési_input!K43+Működési_input!K50</f>
        <v>0</v>
      </c>
      <c r="M78" s="85">
        <f>Működési_input!L43+Működési_input!L50</f>
        <v>0</v>
      </c>
      <c r="N78" s="85">
        <f>Működési_input!M43+Működési_input!M50</f>
        <v>0</v>
      </c>
      <c r="O78" s="85">
        <f>Működési_input!N43+Működési_input!N50</f>
        <v>0</v>
      </c>
      <c r="P78" s="85">
        <f>Működési_input!O43+Működési_input!O50</f>
        <v>0</v>
      </c>
      <c r="Q78" s="85">
        <f>Működési_input!P43+Működési_input!P50</f>
        <v>0</v>
      </c>
      <c r="R78" s="85">
        <f>Működési_input!Q43+Működési_input!Q50</f>
        <v>0</v>
      </c>
      <c r="S78" s="85">
        <f>Működési_input!R43+Működési_input!R50</f>
        <v>0</v>
      </c>
      <c r="T78" s="85">
        <f>Működési_input!S43+Működési_input!S50</f>
        <v>0</v>
      </c>
      <c r="U78" s="85">
        <f>Működési_input!T43+Működési_input!T50</f>
        <v>0</v>
      </c>
      <c r="V78" s="85">
        <f>Működési_input!U43+Működési_input!U50</f>
        <v>0</v>
      </c>
      <c r="W78" s="85">
        <f>Működési_input!V43+Működési_input!V50</f>
        <v>0</v>
      </c>
      <c r="X78" s="85">
        <f>Működési_input!W43+Működési_input!W50</f>
        <v>0</v>
      </c>
      <c r="Y78" s="85">
        <f>Működési_input!X43+Működési_input!X50</f>
        <v>0</v>
      </c>
      <c r="Z78" s="85">
        <f>Működési_input!Y43+Működési_input!Y50</f>
        <v>0</v>
      </c>
      <c r="AA78" s="85">
        <f>Működési_input!Z43+Működési_input!Z50</f>
        <v>0</v>
      </c>
      <c r="AB78" s="85">
        <f>Működési_input!AA43+Működési_input!AA50</f>
        <v>0</v>
      </c>
      <c r="AC78" s="85">
        <f>Működési_input!AB43+Működési_input!AB50</f>
        <v>0</v>
      </c>
      <c r="AD78" s="85">
        <f>Működési_input!AC43+Működési_input!AC50</f>
        <v>0</v>
      </c>
      <c r="AE78" s="85">
        <f>Működési_input!AD43+Működési_input!AD50</f>
        <v>0</v>
      </c>
      <c r="AF78" s="85">
        <f>Működési_input!AE43+Működési_input!AE50</f>
        <v>0</v>
      </c>
      <c r="AG78" s="85">
        <f>Működési_input!AF43+Működési_input!AF50</f>
        <v>0</v>
      </c>
      <c r="AH78" s="85">
        <f>Működési_input!AG43+Működési_input!AG50</f>
        <v>0</v>
      </c>
    </row>
    <row r="79" spans="2:34" ht="13.8">
      <c r="B79" s="30" t="s">
        <v>317</v>
      </c>
      <c r="C79" s="537">
        <f>SUM(E79:AH79)</f>
        <v>0</v>
      </c>
      <c r="D79" s="537">
        <f>E79+NPV(fdr_áll,F79:AH79)</f>
        <v>0</v>
      </c>
      <c r="E79" s="85">
        <f>Működési_input!D44+Működési_input!D51</f>
        <v>0</v>
      </c>
      <c r="F79" s="85">
        <f>Működési_input!E44+Működési_input!E51</f>
        <v>0</v>
      </c>
      <c r="G79" s="85">
        <f>Működési_input!F44+Működési_input!F51</f>
        <v>0</v>
      </c>
      <c r="H79" s="85">
        <f>Működési_input!G44+Működési_input!G51</f>
        <v>0</v>
      </c>
      <c r="I79" s="85">
        <f>Működési_input!H44+Működési_input!H51</f>
        <v>0</v>
      </c>
      <c r="J79" s="85">
        <f>Működési_input!I44+Működési_input!I51</f>
        <v>0</v>
      </c>
      <c r="K79" s="85">
        <f>Működési_input!J44+Működési_input!J51</f>
        <v>0</v>
      </c>
      <c r="L79" s="85">
        <f>Működési_input!K44+Működési_input!K51</f>
        <v>0</v>
      </c>
      <c r="M79" s="85">
        <f>Működési_input!L44+Működési_input!L51</f>
        <v>0</v>
      </c>
      <c r="N79" s="85">
        <f>Működési_input!M44+Működési_input!M51</f>
        <v>0</v>
      </c>
      <c r="O79" s="85">
        <f>Működési_input!N44+Működési_input!N51</f>
        <v>0</v>
      </c>
      <c r="P79" s="85">
        <f>Működési_input!O44+Működési_input!O51</f>
        <v>0</v>
      </c>
      <c r="Q79" s="85">
        <f>Működési_input!P44+Működési_input!P51</f>
        <v>0</v>
      </c>
      <c r="R79" s="85">
        <f>Működési_input!Q44+Működési_input!Q51</f>
        <v>0</v>
      </c>
      <c r="S79" s="85">
        <f>Működési_input!R44+Működési_input!R51</f>
        <v>0</v>
      </c>
      <c r="T79" s="85">
        <f>Működési_input!S44+Működési_input!S51</f>
        <v>0</v>
      </c>
      <c r="U79" s="85">
        <f>Működési_input!T44+Működési_input!T51</f>
        <v>0</v>
      </c>
      <c r="V79" s="85">
        <f>Működési_input!U44+Működési_input!U51</f>
        <v>0</v>
      </c>
      <c r="W79" s="85">
        <f>Működési_input!V44+Működési_input!V51</f>
        <v>0</v>
      </c>
      <c r="X79" s="85">
        <f>Működési_input!W44+Működési_input!W51</f>
        <v>0</v>
      </c>
      <c r="Y79" s="85">
        <f>Működési_input!X44+Működési_input!X51</f>
        <v>0</v>
      </c>
      <c r="Z79" s="85">
        <f>Működési_input!Y44+Működési_input!Y51</f>
        <v>0</v>
      </c>
      <c r="AA79" s="85">
        <f>Működési_input!Z44+Működési_input!Z51</f>
        <v>0</v>
      </c>
      <c r="AB79" s="85">
        <f>Működési_input!AA44+Működési_input!AA51</f>
        <v>0</v>
      </c>
      <c r="AC79" s="85">
        <f>Működési_input!AB44+Működési_input!AB51</f>
        <v>0</v>
      </c>
      <c r="AD79" s="85">
        <f>Működési_input!AC44+Működési_input!AC51</f>
        <v>0</v>
      </c>
      <c r="AE79" s="85">
        <f>Működési_input!AD44+Működési_input!AD51</f>
        <v>0</v>
      </c>
      <c r="AF79" s="85">
        <f>Működési_input!AE44+Működési_input!AE51</f>
        <v>0</v>
      </c>
      <c r="AG79" s="85">
        <f>Működési_input!AF44+Működési_input!AF51</f>
        <v>0</v>
      </c>
      <c r="AH79" s="85">
        <f>Működési_input!AG44+Működési_input!AG51</f>
        <v>0</v>
      </c>
    </row>
    <row r="80" spans="2:34" ht="13.8">
      <c r="B80" s="30" t="s">
        <v>318</v>
      </c>
      <c r="C80" s="537">
        <f>SUM(E80:AH80)</f>
        <v>0</v>
      </c>
      <c r="D80" s="537">
        <f>E80+NPV(fdr_áll,F80:AH80)</f>
        <v>0</v>
      </c>
      <c r="E80" s="85">
        <f>Működési_input!D45+Működési_input!D52</f>
        <v>0</v>
      </c>
      <c r="F80" s="85">
        <f>Működési_input!E45+Működési_input!E52</f>
        <v>0</v>
      </c>
      <c r="G80" s="85">
        <f>Működési_input!F45+Működési_input!F52</f>
        <v>0</v>
      </c>
      <c r="H80" s="85">
        <f>Működési_input!G45+Működési_input!G52</f>
        <v>0</v>
      </c>
      <c r="I80" s="85">
        <f>Működési_input!H45+Működési_input!H52</f>
        <v>0</v>
      </c>
      <c r="J80" s="85">
        <f>Működési_input!I45+Működési_input!I52</f>
        <v>0</v>
      </c>
      <c r="K80" s="85">
        <f>Működési_input!J45+Működési_input!J52</f>
        <v>0</v>
      </c>
      <c r="L80" s="85">
        <f>Működési_input!K45+Működési_input!K52</f>
        <v>0</v>
      </c>
      <c r="M80" s="85">
        <f>Működési_input!L45+Működési_input!L52</f>
        <v>0</v>
      </c>
      <c r="N80" s="85">
        <f>Működési_input!M45+Működési_input!M52</f>
        <v>0</v>
      </c>
      <c r="O80" s="85">
        <f>Működési_input!N45+Működési_input!N52</f>
        <v>0</v>
      </c>
      <c r="P80" s="85">
        <f>Működési_input!O45+Működési_input!O52</f>
        <v>0</v>
      </c>
      <c r="Q80" s="85">
        <f>Működési_input!P45+Működési_input!P52</f>
        <v>0</v>
      </c>
      <c r="R80" s="85">
        <f>Működési_input!Q45+Működési_input!Q52</f>
        <v>0</v>
      </c>
      <c r="S80" s="85">
        <f>Működési_input!R45+Működési_input!R52</f>
        <v>0</v>
      </c>
      <c r="T80" s="85">
        <f>Működési_input!S45+Működési_input!S52</f>
        <v>0</v>
      </c>
      <c r="U80" s="85">
        <f>Működési_input!T45+Működési_input!T52</f>
        <v>0</v>
      </c>
      <c r="V80" s="85">
        <f>Működési_input!U45+Működési_input!U52</f>
        <v>0</v>
      </c>
      <c r="W80" s="85">
        <f>Működési_input!V45+Működési_input!V52</f>
        <v>0</v>
      </c>
      <c r="X80" s="85">
        <f>Működési_input!W45+Működési_input!W52</f>
        <v>0</v>
      </c>
      <c r="Y80" s="85">
        <f>Működési_input!X45+Működési_input!X52</f>
        <v>0</v>
      </c>
      <c r="Z80" s="85">
        <f>Működési_input!Y45+Működési_input!Y52</f>
        <v>0</v>
      </c>
      <c r="AA80" s="85">
        <f>Működési_input!Z45+Működési_input!Z52</f>
        <v>0</v>
      </c>
      <c r="AB80" s="85">
        <f>Működési_input!AA45+Működési_input!AA52</f>
        <v>0</v>
      </c>
      <c r="AC80" s="85">
        <f>Működési_input!AB45+Működési_input!AB52</f>
        <v>0</v>
      </c>
      <c r="AD80" s="85">
        <f>Működési_input!AC45+Működési_input!AC52</f>
        <v>0</v>
      </c>
      <c r="AE80" s="85">
        <f>Működési_input!AD45+Működési_input!AD52</f>
        <v>0</v>
      </c>
      <c r="AF80" s="85">
        <f>Működési_input!AE45+Működési_input!AE52</f>
        <v>0</v>
      </c>
      <c r="AG80" s="85">
        <f>Működési_input!AF45+Működési_input!AF52</f>
        <v>0</v>
      </c>
      <c r="AH80" s="85">
        <f>Működési_input!AG45+Működési_input!AG52</f>
        <v>0</v>
      </c>
    </row>
    <row r="81" spans="1:34" ht="13.8"/>
    <row r="82" spans="1:34" ht="13.8">
      <c r="D82" s="78"/>
    </row>
    <row r="83" spans="1:34" ht="30" customHeight="1">
      <c r="A83" s="96"/>
      <c r="B83" s="37" t="s">
        <v>344</v>
      </c>
      <c r="C83" s="290" t="s">
        <v>325</v>
      </c>
      <c r="D83" s="290" t="s">
        <v>326</v>
      </c>
      <c r="E83" s="84" cm="1">
        <f t="array" ref="E83:X83">Háttér_listák!$B$139:INDEX(Háttér_listák!$B$139:$AF$139,MATCH(0,Háttér_listák!$B$138:$AF$138,0)-1)</f>
        <v>2025</v>
      </c>
      <c r="F83" s="84">
        <v>2026</v>
      </c>
      <c r="G83" s="84">
        <v>2027</v>
      </c>
      <c r="H83" s="84">
        <v>2028</v>
      </c>
      <c r="I83" s="84">
        <v>2029</v>
      </c>
      <c r="J83" s="84">
        <v>2030</v>
      </c>
      <c r="K83" s="84">
        <v>2031</v>
      </c>
      <c r="L83" s="84">
        <v>2032</v>
      </c>
      <c r="M83" s="84">
        <v>2033</v>
      </c>
      <c r="N83" s="84">
        <v>2034</v>
      </c>
      <c r="O83" s="84">
        <v>2035</v>
      </c>
      <c r="P83" s="84">
        <v>2036</v>
      </c>
      <c r="Q83" s="84">
        <v>2037</v>
      </c>
      <c r="R83" s="84">
        <v>2038</v>
      </c>
      <c r="S83" s="84">
        <v>2039</v>
      </c>
      <c r="T83" s="84">
        <v>2040</v>
      </c>
      <c r="U83" s="84">
        <v>2041</v>
      </c>
      <c r="V83" s="84">
        <v>2042</v>
      </c>
      <c r="W83" s="84">
        <v>2043</v>
      </c>
      <c r="X83" s="84">
        <v>2044</v>
      </c>
      <c r="Y83" s="84"/>
      <c r="Z83" s="84"/>
      <c r="AA83" s="84"/>
      <c r="AB83" s="84"/>
      <c r="AC83" s="84"/>
      <c r="AD83" s="84"/>
      <c r="AE83" s="84"/>
      <c r="AF83" s="84"/>
      <c r="AG83" s="84"/>
      <c r="AH83" s="84"/>
    </row>
    <row r="84" spans="1:34" ht="13.8">
      <c r="A84" s="96"/>
      <c r="B84" s="291" t="s">
        <v>345</v>
      </c>
      <c r="C84" s="537">
        <f>SUM(E84:AH84)</f>
        <v>483504769</v>
      </c>
      <c r="D84" s="537">
        <f t="shared" ref="D84:D92" si="16">E84+NPV(fdr_áll,F84:AH84)</f>
        <v>483504769</v>
      </c>
      <c r="E84" s="85">
        <f t="shared" ref="E84:AH84" si="17">E59</f>
        <v>483504769</v>
      </c>
      <c r="F84" s="85">
        <f t="shared" si="17"/>
        <v>0</v>
      </c>
      <c r="G84" s="85">
        <f t="shared" si="17"/>
        <v>0</v>
      </c>
      <c r="H84" s="85">
        <f t="shared" si="17"/>
        <v>0</v>
      </c>
      <c r="I84" s="85">
        <f t="shared" si="17"/>
        <v>0</v>
      </c>
      <c r="J84" s="85">
        <f t="shared" si="17"/>
        <v>0</v>
      </c>
      <c r="K84" s="85">
        <f t="shared" si="17"/>
        <v>0</v>
      </c>
      <c r="L84" s="85">
        <f t="shared" si="17"/>
        <v>0</v>
      </c>
      <c r="M84" s="85">
        <f t="shared" si="17"/>
        <v>0</v>
      </c>
      <c r="N84" s="85">
        <f t="shared" si="17"/>
        <v>0</v>
      </c>
      <c r="O84" s="85">
        <f t="shared" si="17"/>
        <v>0</v>
      </c>
      <c r="P84" s="85">
        <f t="shared" si="17"/>
        <v>0</v>
      </c>
      <c r="Q84" s="85">
        <f t="shared" si="17"/>
        <v>0</v>
      </c>
      <c r="R84" s="85">
        <f t="shared" si="17"/>
        <v>0</v>
      </c>
      <c r="S84" s="85">
        <f t="shared" si="17"/>
        <v>0</v>
      </c>
      <c r="T84" s="85">
        <f t="shared" si="17"/>
        <v>0</v>
      </c>
      <c r="U84" s="85">
        <f t="shared" si="17"/>
        <v>0</v>
      </c>
      <c r="V84" s="85">
        <f t="shared" si="17"/>
        <v>0</v>
      </c>
      <c r="W84" s="85">
        <f t="shared" si="17"/>
        <v>0</v>
      </c>
      <c r="X84" s="85">
        <f t="shared" si="17"/>
        <v>0</v>
      </c>
      <c r="Y84" s="85">
        <f t="shared" si="17"/>
        <v>0</v>
      </c>
      <c r="Z84" s="85">
        <f t="shared" si="17"/>
        <v>0</v>
      </c>
      <c r="AA84" s="85">
        <f t="shared" si="17"/>
        <v>0</v>
      </c>
      <c r="AB84" s="85">
        <f t="shared" si="17"/>
        <v>0</v>
      </c>
      <c r="AC84" s="85">
        <f t="shared" si="17"/>
        <v>0</v>
      </c>
      <c r="AD84" s="85">
        <f t="shared" si="17"/>
        <v>0</v>
      </c>
      <c r="AE84" s="85">
        <f t="shared" si="17"/>
        <v>0</v>
      </c>
      <c r="AF84" s="85">
        <f t="shared" si="17"/>
        <v>0</v>
      </c>
      <c r="AG84" s="85">
        <f t="shared" si="17"/>
        <v>0</v>
      </c>
      <c r="AH84" s="85">
        <f t="shared" si="17"/>
        <v>0</v>
      </c>
    </row>
    <row r="85" spans="1:34" ht="13.8">
      <c r="A85" s="96"/>
      <c r="B85" s="291" t="s">
        <v>346</v>
      </c>
      <c r="C85" s="537">
        <f t="shared" ref="C85:C90" si="18">SUM(E85:AH85)</f>
        <v>13051174.905538369</v>
      </c>
      <c r="D85" s="537">
        <f t="shared" si="16"/>
        <v>5283934.1509352783</v>
      </c>
      <c r="E85" s="85">
        <f t="shared" ref="E85:AH85" si="19">SUM(E86:E87)</f>
        <v>0</v>
      </c>
      <c r="F85" s="85">
        <f t="shared" si="19"/>
        <v>450040.51398408157</v>
      </c>
      <c r="G85" s="85">
        <f t="shared" si="19"/>
        <v>450040.51398408157</v>
      </c>
      <c r="H85" s="85">
        <f t="shared" si="19"/>
        <v>450040.51398408157</v>
      </c>
      <c r="I85" s="85">
        <f t="shared" si="19"/>
        <v>450040.51398408157</v>
      </c>
      <c r="J85" s="85">
        <f t="shared" si="19"/>
        <v>450040.51398408157</v>
      </c>
      <c r="K85" s="85">
        <f t="shared" si="19"/>
        <v>450040.51398408157</v>
      </c>
      <c r="L85" s="85">
        <f t="shared" si="19"/>
        <v>450040.51398408157</v>
      </c>
      <c r="M85" s="85">
        <f t="shared" si="19"/>
        <v>450040.51398408157</v>
      </c>
      <c r="N85" s="85">
        <f t="shared" si="19"/>
        <v>450040.51398408157</v>
      </c>
      <c r="O85" s="85">
        <f t="shared" si="19"/>
        <v>450040.51398408157</v>
      </c>
      <c r="P85" s="85">
        <f t="shared" si="19"/>
        <v>450040.51398408157</v>
      </c>
      <c r="Q85" s="85">
        <f t="shared" si="19"/>
        <v>450040.51398408157</v>
      </c>
      <c r="R85" s="85">
        <f t="shared" si="19"/>
        <v>450040.51398408157</v>
      </c>
      <c r="S85" s="85">
        <f t="shared" si="19"/>
        <v>450040.51398408157</v>
      </c>
      <c r="T85" s="85">
        <f t="shared" si="19"/>
        <v>450040.51398408157</v>
      </c>
      <c r="U85" s="85">
        <f t="shared" si="19"/>
        <v>450040.51398408157</v>
      </c>
      <c r="V85" s="85">
        <f t="shared" si="19"/>
        <v>450040.51398408157</v>
      </c>
      <c r="W85" s="85">
        <f t="shared" si="19"/>
        <v>450040.51398408157</v>
      </c>
      <c r="X85" s="85">
        <f t="shared" si="19"/>
        <v>450040.51398408157</v>
      </c>
      <c r="Y85" s="85">
        <f t="shared" si="19"/>
        <v>450040.51398408157</v>
      </c>
      <c r="Z85" s="85">
        <f t="shared" si="19"/>
        <v>450040.51398408157</v>
      </c>
      <c r="AA85" s="85">
        <f t="shared" si="19"/>
        <v>450040.51398408157</v>
      </c>
      <c r="AB85" s="85">
        <f t="shared" si="19"/>
        <v>450040.51398408157</v>
      </c>
      <c r="AC85" s="85">
        <f t="shared" si="19"/>
        <v>450040.51398408157</v>
      </c>
      <c r="AD85" s="85">
        <f t="shared" si="19"/>
        <v>450040.51398408157</v>
      </c>
      <c r="AE85" s="85">
        <f t="shared" si="19"/>
        <v>450040.51398408157</v>
      </c>
      <c r="AF85" s="85">
        <f t="shared" si="19"/>
        <v>450040.51398408157</v>
      </c>
      <c r="AG85" s="85">
        <f t="shared" si="19"/>
        <v>450040.51398408157</v>
      </c>
      <c r="AH85" s="85">
        <f t="shared" si="19"/>
        <v>450040.51398408157</v>
      </c>
    </row>
    <row r="86" spans="1:34" ht="28.5" customHeight="1">
      <c r="A86" s="96"/>
      <c r="B86" s="42" t="s">
        <v>347</v>
      </c>
      <c r="C86" s="551">
        <f t="shared" si="18"/>
        <v>13051174.905538369</v>
      </c>
      <c r="D86" s="551">
        <f t="shared" si="16"/>
        <v>5283934.1509352783</v>
      </c>
      <c r="E86" s="93">
        <f t="shared" ref="E86:AH86" si="20">E61</f>
        <v>0</v>
      </c>
      <c r="F86" s="93">
        <f t="shared" si="20"/>
        <v>450040.51398408157</v>
      </c>
      <c r="G86" s="93">
        <f t="shared" si="20"/>
        <v>450040.51398408157</v>
      </c>
      <c r="H86" s="93">
        <f t="shared" si="20"/>
        <v>450040.51398408157</v>
      </c>
      <c r="I86" s="93">
        <f t="shared" si="20"/>
        <v>450040.51398408157</v>
      </c>
      <c r="J86" s="93">
        <f t="shared" si="20"/>
        <v>450040.51398408157</v>
      </c>
      <c r="K86" s="93">
        <f t="shared" si="20"/>
        <v>450040.51398408157</v>
      </c>
      <c r="L86" s="93">
        <f t="shared" si="20"/>
        <v>450040.51398408157</v>
      </c>
      <c r="M86" s="93">
        <f t="shared" si="20"/>
        <v>450040.51398408157</v>
      </c>
      <c r="N86" s="93">
        <f t="shared" si="20"/>
        <v>450040.51398408157</v>
      </c>
      <c r="O86" s="93">
        <f t="shared" si="20"/>
        <v>450040.51398408157</v>
      </c>
      <c r="P86" s="93">
        <f t="shared" si="20"/>
        <v>450040.51398408157</v>
      </c>
      <c r="Q86" s="93">
        <f t="shared" si="20"/>
        <v>450040.51398408157</v>
      </c>
      <c r="R86" s="93">
        <f t="shared" si="20"/>
        <v>450040.51398408157</v>
      </c>
      <c r="S86" s="93">
        <f t="shared" si="20"/>
        <v>450040.51398408157</v>
      </c>
      <c r="T86" s="93">
        <f t="shared" si="20"/>
        <v>450040.51398408157</v>
      </c>
      <c r="U86" s="93">
        <f t="shared" si="20"/>
        <v>450040.51398408157</v>
      </c>
      <c r="V86" s="93">
        <f t="shared" si="20"/>
        <v>450040.51398408157</v>
      </c>
      <c r="W86" s="93">
        <f t="shared" si="20"/>
        <v>450040.51398408157</v>
      </c>
      <c r="X86" s="93">
        <f t="shared" si="20"/>
        <v>450040.51398408157</v>
      </c>
      <c r="Y86" s="93">
        <f t="shared" si="20"/>
        <v>450040.51398408157</v>
      </c>
      <c r="Z86" s="93">
        <f t="shared" si="20"/>
        <v>450040.51398408157</v>
      </c>
      <c r="AA86" s="93">
        <f t="shared" si="20"/>
        <v>450040.51398408157</v>
      </c>
      <c r="AB86" s="93">
        <f t="shared" si="20"/>
        <v>450040.51398408157</v>
      </c>
      <c r="AC86" s="93">
        <f t="shared" si="20"/>
        <v>450040.51398408157</v>
      </c>
      <c r="AD86" s="93">
        <f t="shared" si="20"/>
        <v>450040.51398408157</v>
      </c>
      <c r="AE86" s="93">
        <f t="shared" si="20"/>
        <v>450040.51398408157</v>
      </c>
      <c r="AF86" s="93">
        <f t="shared" si="20"/>
        <v>450040.51398408157</v>
      </c>
      <c r="AG86" s="93">
        <f t="shared" si="20"/>
        <v>450040.51398408157</v>
      </c>
      <c r="AH86" s="93">
        <f t="shared" si="20"/>
        <v>450040.51398408157</v>
      </c>
    </row>
    <row r="87" spans="1:34" ht="14.4">
      <c r="A87" s="96"/>
      <c r="B87" s="42" t="s">
        <v>348</v>
      </c>
      <c r="C87" s="551">
        <f t="shared" si="18"/>
        <v>0</v>
      </c>
      <c r="D87" s="551">
        <f t="shared" si="16"/>
        <v>0</v>
      </c>
      <c r="E87" s="93">
        <f t="shared" ref="E87:AH87" si="21">E62</f>
        <v>0</v>
      </c>
      <c r="F87" s="93">
        <f t="shared" si="21"/>
        <v>0</v>
      </c>
      <c r="G87" s="93">
        <f t="shared" si="21"/>
        <v>0</v>
      </c>
      <c r="H87" s="93">
        <f t="shared" si="21"/>
        <v>0</v>
      </c>
      <c r="I87" s="93">
        <f t="shared" si="21"/>
        <v>0</v>
      </c>
      <c r="J87" s="93">
        <f t="shared" si="21"/>
        <v>0</v>
      </c>
      <c r="K87" s="93">
        <f t="shared" si="21"/>
        <v>0</v>
      </c>
      <c r="L87" s="93">
        <f t="shared" si="21"/>
        <v>0</v>
      </c>
      <c r="M87" s="93">
        <f t="shared" si="21"/>
        <v>0</v>
      </c>
      <c r="N87" s="93">
        <f t="shared" si="21"/>
        <v>0</v>
      </c>
      <c r="O87" s="93">
        <f t="shared" si="21"/>
        <v>0</v>
      </c>
      <c r="P87" s="93">
        <f t="shared" si="21"/>
        <v>0</v>
      </c>
      <c r="Q87" s="93">
        <f t="shared" si="21"/>
        <v>0</v>
      </c>
      <c r="R87" s="93">
        <f t="shared" si="21"/>
        <v>0</v>
      </c>
      <c r="S87" s="93">
        <f t="shared" si="21"/>
        <v>0</v>
      </c>
      <c r="T87" s="93">
        <f t="shared" si="21"/>
        <v>0</v>
      </c>
      <c r="U87" s="93">
        <f t="shared" si="21"/>
        <v>0</v>
      </c>
      <c r="V87" s="93">
        <f t="shared" si="21"/>
        <v>0</v>
      </c>
      <c r="W87" s="93">
        <f t="shared" si="21"/>
        <v>0</v>
      </c>
      <c r="X87" s="93">
        <f t="shared" si="21"/>
        <v>0</v>
      </c>
      <c r="Y87" s="93">
        <f t="shared" si="21"/>
        <v>0</v>
      </c>
      <c r="Z87" s="93">
        <f t="shared" si="21"/>
        <v>0</v>
      </c>
      <c r="AA87" s="93">
        <f t="shared" si="21"/>
        <v>0</v>
      </c>
      <c r="AB87" s="93">
        <f t="shared" si="21"/>
        <v>0</v>
      </c>
      <c r="AC87" s="93">
        <f t="shared" si="21"/>
        <v>0</v>
      </c>
      <c r="AD87" s="93">
        <f t="shared" si="21"/>
        <v>0</v>
      </c>
      <c r="AE87" s="93">
        <f t="shared" si="21"/>
        <v>0</v>
      </c>
      <c r="AF87" s="93">
        <f t="shared" si="21"/>
        <v>0</v>
      </c>
      <c r="AG87" s="93">
        <f t="shared" si="21"/>
        <v>0</v>
      </c>
      <c r="AH87" s="93">
        <f t="shared" si="21"/>
        <v>0</v>
      </c>
    </row>
    <row r="88" spans="1:34" ht="13.8">
      <c r="A88" s="96"/>
      <c r="B88" s="292" t="s">
        <v>349</v>
      </c>
      <c r="C88" s="549">
        <f t="shared" si="18"/>
        <v>496555943.90553844</v>
      </c>
      <c r="D88" s="549">
        <f t="shared" si="16"/>
        <v>488788703.15093529</v>
      </c>
      <c r="E88" s="94">
        <f t="shared" ref="E88:AH88" si="22">SUM(E84:E85)</f>
        <v>483504769</v>
      </c>
      <c r="F88" s="94">
        <f t="shared" si="22"/>
        <v>450040.51398408157</v>
      </c>
      <c r="G88" s="94">
        <f t="shared" si="22"/>
        <v>450040.51398408157</v>
      </c>
      <c r="H88" s="94">
        <f t="shared" si="22"/>
        <v>450040.51398408157</v>
      </c>
      <c r="I88" s="94">
        <f t="shared" si="22"/>
        <v>450040.51398408157</v>
      </c>
      <c r="J88" s="94">
        <f t="shared" si="22"/>
        <v>450040.51398408157</v>
      </c>
      <c r="K88" s="94">
        <f t="shared" si="22"/>
        <v>450040.51398408157</v>
      </c>
      <c r="L88" s="94">
        <f t="shared" si="22"/>
        <v>450040.51398408157</v>
      </c>
      <c r="M88" s="94">
        <f t="shared" si="22"/>
        <v>450040.51398408157</v>
      </c>
      <c r="N88" s="94">
        <f t="shared" si="22"/>
        <v>450040.51398408157</v>
      </c>
      <c r="O88" s="94">
        <f t="shared" si="22"/>
        <v>450040.51398408157</v>
      </c>
      <c r="P88" s="94">
        <f t="shared" si="22"/>
        <v>450040.51398408157</v>
      </c>
      <c r="Q88" s="94">
        <f t="shared" si="22"/>
        <v>450040.51398408157</v>
      </c>
      <c r="R88" s="94">
        <f t="shared" si="22"/>
        <v>450040.51398408157</v>
      </c>
      <c r="S88" s="94">
        <f t="shared" si="22"/>
        <v>450040.51398408157</v>
      </c>
      <c r="T88" s="94">
        <f t="shared" si="22"/>
        <v>450040.51398408157</v>
      </c>
      <c r="U88" s="94">
        <f t="shared" si="22"/>
        <v>450040.51398408157</v>
      </c>
      <c r="V88" s="94">
        <f t="shared" si="22"/>
        <v>450040.51398408157</v>
      </c>
      <c r="W88" s="94">
        <f t="shared" si="22"/>
        <v>450040.51398408157</v>
      </c>
      <c r="X88" s="94">
        <f t="shared" si="22"/>
        <v>450040.51398408157</v>
      </c>
      <c r="Y88" s="94">
        <f t="shared" si="22"/>
        <v>450040.51398408157</v>
      </c>
      <c r="Z88" s="94">
        <f t="shared" si="22"/>
        <v>450040.51398408157</v>
      </c>
      <c r="AA88" s="94">
        <f t="shared" si="22"/>
        <v>450040.51398408157</v>
      </c>
      <c r="AB88" s="94">
        <f t="shared" si="22"/>
        <v>450040.51398408157</v>
      </c>
      <c r="AC88" s="94">
        <f t="shared" si="22"/>
        <v>450040.51398408157</v>
      </c>
      <c r="AD88" s="94">
        <f t="shared" si="22"/>
        <v>450040.51398408157</v>
      </c>
      <c r="AE88" s="94">
        <f t="shared" si="22"/>
        <v>450040.51398408157</v>
      </c>
      <c r="AF88" s="94">
        <f t="shared" si="22"/>
        <v>450040.51398408157</v>
      </c>
      <c r="AG88" s="94">
        <f t="shared" si="22"/>
        <v>450040.51398408157</v>
      </c>
      <c r="AH88" s="94">
        <f t="shared" si="22"/>
        <v>450040.51398408157</v>
      </c>
    </row>
    <row r="89" spans="1:34" ht="13.8">
      <c r="A89" s="96"/>
      <c r="B89" s="291" t="s">
        <v>350</v>
      </c>
      <c r="C89" s="537">
        <f t="shared" si="18"/>
        <v>50749999.999999993</v>
      </c>
      <c r="D89" s="537">
        <f t="shared" si="16"/>
        <v>20546782.960219905</v>
      </c>
      <c r="E89" s="85">
        <f t="shared" ref="E89:AH89" si="23">E70</f>
        <v>0</v>
      </c>
      <c r="F89" s="85">
        <f t="shared" si="23"/>
        <v>1749999.9999999998</v>
      </c>
      <c r="G89" s="85">
        <f t="shared" si="23"/>
        <v>1749999.9999999998</v>
      </c>
      <c r="H89" s="85">
        <f t="shared" si="23"/>
        <v>1749999.9999999998</v>
      </c>
      <c r="I89" s="85">
        <f t="shared" si="23"/>
        <v>1749999.9999999998</v>
      </c>
      <c r="J89" s="85">
        <f t="shared" si="23"/>
        <v>1749999.9999999998</v>
      </c>
      <c r="K89" s="85">
        <f t="shared" si="23"/>
        <v>1749999.9999999998</v>
      </c>
      <c r="L89" s="85">
        <f t="shared" si="23"/>
        <v>1749999.9999999998</v>
      </c>
      <c r="M89" s="85">
        <f t="shared" si="23"/>
        <v>1749999.9999999998</v>
      </c>
      <c r="N89" s="85">
        <f t="shared" si="23"/>
        <v>1749999.9999999998</v>
      </c>
      <c r="O89" s="85">
        <f t="shared" si="23"/>
        <v>1749999.9999999998</v>
      </c>
      <c r="P89" s="85">
        <f t="shared" si="23"/>
        <v>1749999.9999999998</v>
      </c>
      <c r="Q89" s="85">
        <f t="shared" si="23"/>
        <v>1749999.9999999998</v>
      </c>
      <c r="R89" s="85">
        <f t="shared" si="23"/>
        <v>1749999.9999999998</v>
      </c>
      <c r="S89" s="85">
        <f t="shared" si="23"/>
        <v>1749999.9999999998</v>
      </c>
      <c r="T89" s="85">
        <f t="shared" si="23"/>
        <v>1749999.9999999998</v>
      </c>
      <c r="U89" s="85">
        <f t="shared" si="23"/>
        <v>1749999.9999999998</v>
      </c>
      <c r="V89" s="85">
        <f t="shared" si="23"/>
        <v>1749999.9999999998</v>
      </c>
      <c r="W89" s="85">
        <f t="shared" si="23"/>
        <v>1749999.9999999998</v>
      </c>
      <c r="X89" s="85">
        <f t="shared" si="23"/>
        <v>1749999.9999999998</v>
      </c>
      <c r="Y89" s="85">
        <f t="shared" si="23"/>
        <v>1749999.9999999998</v>
      </c>
      <c r="Z89" s="85">
        <f t="shared" si="23"/>
        <v>1749999.9999999998</v>
      </c>
      <c r="AA89" s="85">
        <f t="shared" si="23"/>
        <v>1749999.9999999998</v>
      </c>
      <c r="AB89" s="85">
        <f t="shared" si="23"/>
        <v>1749999.9999999998</v>
      </c>
      <c r="AC89" s="85">
        <f t="shared" si="23"/>
        <v>1749999.9999999998</v>
      </c>
      <c r="AD89" s="85">
        <f t="shared" si="23"/>
        <v>1749999.9999999998</v>
      </c>
      <c r="AE89" s="85">
        <f t="shared" si="23"/>
        <v>1749999.9999999998</v>
      </c>
      <c r="AF89" s="85">
        <f t="shared" si="23"/>
        <v>1749999.9999999998</v>
      </c>
      <c r="AG89" s="85">
        <f t="shared" si="23"/>
        <v>1749999.9999999998</v>
      </c>
      <c r="AH89" s="85">
        <f t="shared" si="23"/>
        <v>1749999.9999999998</v>
      </c>
    </row>
    <row r="90" spans="1:34" ht="13.8">
      <c r="B90" s="292" t="s">
        <v>351</v>
      </c>
      <c r="C90" s="549">
        <f t="shared" si="18"/>
        <v>50749999.999999993</v>
      </c>
      <c r="D90" s="549">
        <f t="shared" si="16"/>
        <v>20546782.960219905</v>
      </c>
      <c r="E90" s="94">
        <f t="shared" ref="E90:AH90" si="24">E89</f>
        <v>0</v>
      </c>
      <c r="F90" s="94">
        <f t="shared" si="24"/>
        <v>1749999.9999999998</v>
      </c>
      <c r="G90" s="94">
        <f t="shared" si="24"/>
        <v>1749999.9999999998</v>
      </c>
      <c r="H90" s="94">
        <f t="shared" si="24"/>
        <v>1749999.9999999998</v>
      </c>
      <c r="I90" s="94">
        <f t="shared" si="24"/>
        <v>1749999.9999999998</v>
      </c>
      <c r="J90" s="94">
        <f t="shared" si="24"/>
        <v>1749999.9999999998</v>
      </c>
      <c r="K90" s="94">
        <f t="shared" si="24"/>
        <v>1749999.9999999998</v>
      </c>
      <c r="L90" s="94">
        <f t="shared" si="24"/>
        <v>1749999.9999999998</v>
      </c>
      <c r="M90" s="94">
        <f t="shared" si="24"/>
        <v>1749999.9999999998</v>
      </c>
      <c r="N90" s="94">
        <f t="shared" si="24"/>
        <v>1749999.9999999998</v>
      </c>
      <c r="O90" s="94">
        <f t="shared" si="24"/>
        <v>1749999.9999999998</v>
      </c>
      <c r="P90" s="94">
        <f t="shared" si="24"/>
        <v>1749999.9999999998</v>
      </c>
      <c r="Q90" s="94">
        <f t="shared" si="24"/>
        <v>1749999.9999999998</v>
      </c>
      <c r="R90" s="94">
        <f t="shared" si="24"/>
        <v>1749999.9999999998</v>
      </c>
      <c r="S90" s="94">
        <f t="shared" si="24"/>
        <v>1749999.9999999998</v>
      </c>
      <c r="T90" s="94">
        <f t="shared" si="24"/>
        <v>1749999.9999999998</v>
      </c>
      <c r="U90" s="94">
        <f t="shared" si="24"/>
        <v>1749999.9999999998</v>
      </c>
      <c r="V90" s="94">
        <f t="shared" si="24"/>
        <v>1749999.9999999998</v>
      </c>
      <c r="W90" s="94">
        <f t="shared" si="24"/>
        <v>1749999.9999999998</v>
      </c>
      <c r="X90" s="94">
        <f t="shared" si="24"/>
        <v>1749999.9999999998</v>
      </c>
      <c r="Y90" s="94">
        <f t="shared" si="24"/>
        <v>1749999.9999999998</v>
      </c>
      <c r="Z90" s="94">
        <f t="shared" si="24"/>
        <v>1749999.9999999998</v>
      </c>
      <c r="AA90" s="94">
        <f t="shared" si="24"/>
        <v>1749999.9999999998</v>
      </c>
      <c r="AB90" s="94">
        <f t="shared" si="24"/>
        <v>1749999.9999999998</v>
      </c>
      <c r="AC90" s="94">
        <f t="shared" si="24"/>
        <v>1749999.9999999998</v>
      </c>
      <c r="AD90" s="94">
        <f t="shared" si="24"/>
        <v>1749999.9999999998</v>
      </c>
      <c r="AE90" s="94">
        <f t="shared" si="24"/>
        <v>1749999.9999999998</v>
      </c>
      <c r="AF90" s="94">
        <f t="shared" si="24"/>
        <v>1749999.9999999998</v>
      </c>
      <c r="AG90" s="94">
        <f t="shared" si="24"/>
        <v>1749999.9999999998</v>
      </c>
      <c r="AH90" s="94">
        <f t="shared" si="24"/>
        <v>1749999.9999999998</v>
      </c>
    </row>
    <row r="91" spans="1:34" ht="13.8">
      <c r="B91" s="291" t="s">
        <v>352</v>
      </c>
      <c r="C91" s="537">
        <f>SUM(E91:AH91)</f>
        <v>130900000</v>
      </c>
      <c r="D91" s="537">
        <f t="shared" si="16"/>
        <v>33361821.788842123</v>
      </c>
      <c r="E91" s="85">
        <f t="shared" ref="E91:AH91" si="25">E63</f>
        <v>0</v>
      </c>
      <c r="F91" s="85">
        <f t="shared" si="25"/>
        <v>0</v>
      </c>
      <c r="G91" s="85">
        <f t="shared" si="25"/>
        <v>0</v>
      </c>
      <c r="H91" s="85">
        <f t="shared" si="25"/>
        <v>0</v>
      </c>
      <c r="I91" s="85">
        <f t="shared" si="25"/>
        <v>0</v>
      </c>
      <c r="J91" s="85">
        <f t="shared" si="25"/>
        <v>0</v>
      </c>
      <c r="K91" s="85">
        <f t="shared" si="25"/>
        <v>0</v>
      </c>
      <c r="L91" s="85">
        <f t="shared" si="25"/>
        <v>0</v>
      </c>
      <c r="M91" s="85">
        <f t="shared" si="25"/>
        <v>0</v>
      </c>
      <c r="N91" s="85">
        <f t="shared" si="25"/>
        <v>0</v>
      </c>
      <c r="O91" s="85">
        <f t="shared" si="25"/>
        <v>0</v>
      </c>
      <c r="P91" s="85">
        <f t="shared" si="25"/>
        <v>0</v>
      </c>
      <c r="Q91" s="85">
        <f t="shared" si="25"/>
        <v>0</v>
      </c>
      <c r="R91" s="85">
        <f t="shared" si="25"/>
        <v>0</v>
      </c>
      <c r="S91" s="85">
        <f t="shared" si="25"/>
        <v>0</v>
      </c>
      <c r="T91" s="85">
        <f t="shared" si="25"/>
        <v>0</v>
      </c>
      <c r="U91" s="85">
        <f t="shared" si="25"/>
        <v>0</v>
      </c>
      <c r="V91" s="85">
        <f t="shared" si="25"/>
        <v>0</v>
      </c>
      <c r="W91" s="85">
        <f t="shared" si="25"/>
        <v>0</v>
      </c>
      <c r="X91" s="85">
        <f t="shared" si="25"/>
        <v>130900000</v>
      </c>
      <c r="Y91" s="85">
        <f t="shared" si="25"/>
        <v>0</v>
      </c>
      <c r="Z91" s="85">
        <f t="shared" si="25"/>
        <v>0</v>
      </c>
      <c r="AA91" s="85">
        <f t="shared" si="25"/>
        <v>0</v>
      </c>
      <c r="AB91" s="85">
        <f t="shared" si="25"/>
        <v>0</v>
      </c>
      <c r="AC91" s="85">
        <f t="shared" si="25"/>
        <v>0</v>
      </c>
      <c r="AD91" s="85">
        <f t="shared" si="25"/>
        <v>0</v>
      </c>
      <c r="AE91" s="85">
        <f t="shared" si="25"/>
        <v>0</v>
      </c>
      <c r="AF91" s="85">
        <f t="shared" si="25"/>
        <v>0</v>
      </c>
      <c r="AG91" s="85">
        <f t="shared" si="25"/>
        <v>0</v>
      </c>
      <c r="AH91" s="85">
        <f t="shared" si="25"/>
        <v>0</v>
      </c>
    </row>
    <row r="92" spans="1:34" ht="26.25" customHeight="1">
      <c r="B92" s="292" t="s">
        <v>353</v>
      </c>
      <c r="C92" s="549">
        <f>SUM(E92:AH92)</f>
        <v>-314905943.90553844</v>
      </c>
      <c r="D92" s="549">
        <f t="shared" si="16"/>
        <v>-434880098.40187323</v>
      </c>
      <c r="E92" s="94">
        <f t="shared" ref="E92:AH92" si="26">E90+E91-E88</f>
        <v>-483504769</v>
      </c>
      <c r="F92" s="94">
        <f t="shared" si="26"/>
        <v>1299959.4860159182</v>
      </c>
      <c r="G92" s="94">
        <f t="shared" si="26"/>
        <v>1299959.4860159182</v>
      </c>
      <c r="H92" s="94">
        <f t="shared" si="26"/>
        <v>1299959.4860159182</v>
      </c>
      <c r="I92" s="94">
        <f t="shared" si="26"/>
        <v>1299959.4860159182</v>
      </c>
      <c r="J92" s="94">
        <f t="shared" si="26"/>
        <v>1299959.4860159182</v>
      </c>
      <c r="K92" s="94">
        <f t="shared" si="26"/>
        <v>1299959.4860159182</v>
      </c>
      <c r="L92" s="94">
        <f t="shared" si="26"/>
        <v>1299959.4860159182</v>
      </c>
      <c r="M92" s="94">
        <f t="shared" si="26"/>
        <v>1299959.4860159182</v>
      </c>
      <c r="N92" s="94">
        <f t="shared" si="26"/>
        <v>1299959.4860159182</v>
      </c>
      <c r="O92" s="94">
        <f t="shared" si="26"/>
        <v>1299959.4860159182</v>
      </c>
      <c r="P92" s="94">
        <f t="shared" si="26"/>
        <v>1299959.4860159182</v>
      </c>
      <c r="Q92" s="94">
        <f t="shared" si="26"/>
        <v>1299959.4860159182</v>
      </c>
      <c r="R92" s="94">
        <f t="shared" si="26"/>
        <v>1299959.4860159182</v>
      </c>
      <c r="S92" s="94">
        <f t="shared" si="26"/>
        <v>1299959.4860159182</v>
      </c>
      <c r="T92" s="94">
        <f t="shared" si="26"/>
        <v>1299959.4860159182</v>
      </c>
      <c r="U92" s="94">
        <f t="shared" si="26"/>
        <v>1299959.4860159182</v>
      </c>
      <c r="V92" s="94">
        <f t="shared" si="26"/>
        <v>1299959.4860159182</v>
      </c>
      <c r="W92" s="94">
        <f t="shared" si="26"/>
        <v>1299959.4860159182</v>
      </c>
      <c r="X92" s="94">
        <f t="shared" si="26"/>
        <v>132199959.48601592</v>
      </c>
      <c r="Y92" s="94">
        <f t="shared" si="26"/>
        <v>1299959.4860159182</v>
      </c>
      <c r="Z92" s="94">
        <f t="shared" si="26"/>
        <v>1299959.4860159182</v>
      </c>
      <c r="AA92" s="94">
        <f t="shared" si="26"/>
        <v>1299959.4860159182</v>
      </c>
      <c r="AB92" s="94">
        <f t="shared" si="26"/>
        <v>1299959.4860159182</v>
      </c>
      <c r="AC92" s="94">
        <f t="shared" si="26"/>
        <v>1299959.4860159182</v>
      </c>
      <c r="AD92" s="94">
        <f t="shared" si="26"/>
        <v>1299959.4860159182</v>
      </c>
      <c r="AE92" s="94">
        <f t="shared" si="26"/>
        <v>1299959.4860159182</v>
      </c>
      <c r="AF92" s="94">
        <f t="shared" si="26"/>
        <v>1299959.4860159182</v>
      </c>
      <c r="AG92" s="94">
        <f t="shared" si="26"/>
        <v>1299959.4860159182</v>
      </c>
      <c r="AH92" s="94">
        <f t="shared" si="26"/>
        <v>1299959.4860159182</v>
      </c>
    </row>
    <row r="93" spans="1:34" ht="13.8">
      <c r="B93" s="291" t="s">
        <v>354</v>
      </c>
      <c r="C93" s="549">
        <f>D92</f>
        <v>-434880098.40187323</v>
      </c>
    </row>
    <row r="94" spans="1:34" ht="13.8">
      <c r="B94" s="291" t="s">
        <v>355</v>
      </c>
      <c r="C94" s="552">
        <f>IRR(E92:AH92)</f>
        <v>-5.5181282423659495E-2</v>
      </c>
    </row>
    <row r="95" spans="1:34" ht="14.4" thickBot="1"/>
    <row r="96" spans="1:34" ht="14.4" thickBot="1">
      <c r="B96" s="235" t="s">
        <v>356</v>
      </c>
    </row>
    <row r="97" spans="2:6" ht="69.599999999999994" thickBot="1">
      <c r="B97" s="236" t="s">
        <v>357</v>
      </c>
    </row>
    <row r="98" spans="2:6" ht="13.8"/>
    <row r="99" spans="2:6" ht="30" customHeight="1">
      <c r="B99" s="37" t="s">
        <v>335</v>
      </c>
      <c r="C99" s="37" t="s">
        <v>358</v>
      </c>
      <c r="D99" s="37" t="s">
        <v>359</v>
      </c>
      <c r="E99" s="37" t="s">
        <v>288</v>
      </c>
    </row>
    <row r="100" spans="2:6" ht="13.8">
      <c r="B100" s="30" t="s">
        <v>360</v>
      </c>
      <c r="C100" s="293">
        <v>78835000</v>
      </c>
      <c r="D100" s="293">
        <v>404669769</v>
      </c>
      <c r="E100" s="97">
        <f>SUM(C100:D100)</f>
        <v>483504769</v>
      </c>
    </row>
    <row r="101" spans="2:6" ht="13.8">
      <c r="B101" s="30" t="s">
        <v>361</v>
      </c>
      <c r="C101" s="293">
        <v>78835000</v>
      </c>
      <c r="D101" s="293">
        <v>404669769</v>
      </c>
      <c r="E101" s="97">
        <f>SUM(C101:D101)</f>
        <v>483504769</v>
      </c>
    </row>
    <row r="102" spans="2:6" ht="13.8">
      <c r="B102" s="30" t="s">
        <v>362</v>
      </c>
      <c r="C102" s="293">
        <v>0</v>
      </c>
      <c r="D102" s="293">
        <v>0</v>
      </c>
      <c r="E102" s="97">
        <f>SUM(C102:D102)</f>
        <v>0</v>
      </c>
    </row>
    <row r="103" spans="2:6" ht="28.5" customHeight="1">
      <c r="B103" s="30" t="s">
        <v>363</v>
      </c>
      <c r="C103" s="294">
        <v>1</v>
      </c>
      <c r="D103" s="294">
        <v>0.80482693866470378</v>
      </c>
      <c r="E103" s="108">
        <f>IFERROR(E104/E101,"--")</f>
        <v>0.83664972362335244</v>
      </c>
    </row>
    <row r="104" spans="2:6" ht="13.8">
      <c r="B104" s="30" t="s">
        <v>364</v>
      </c>
      <c r="C104" s="97">
        <f>C101*C103</f>
        <v>78835000</v>
      </c>
      <c r="D104" s="97">
        <f>D101*D103</f>
        <v>325689131.35442287</v>
      </c>
      <c r="E104" s="97">
        <f>SUM(C104:D104)</f>
        <v>404524131.35442287</v>
      </c>
    </row>
    <row r="105" spans="2:6" ht="13.8">
      <c r="B105" s="30" t="s">
        <v>365</v>
      </c>
      <c r="C105" s="97">
        <f>C104*Háttér_listák!$C$150</f>
        <v>65433050</v>
      </c>
      <c r="D105" s="97">
        <f>D104*Háttér_listák!$C$150</f>
        <v>270321979.02417099</v>
      </c>
      <c r="E105" s="97">
        <f>SUM(C105:D105)</f>
        <v>335755029.02417099</v>
      </c>
      <c r="F105" s="109"/>
    </row>
    <row r="106" spans="2:6" ht="13.8">
      <c r="B106" s="30" t="s">
        <v>366</v>
      </c>
      <c r="C106" s="97">
        <f>C104-C105</f>
        <v>13401950</v>
      </c>
      <c r="D106" s="97">
        <f>D104-D105</f>
        <v>55367152.330251873</v>
      </c>
      <c r="E106" s="97">
        <f>SUM(C106:D106)</f>
        <v>68769102.330251873</v>
      </c>
    </row>
    <row r="107" spans="2:6" ht="13.8">
      <c r="B107" s="30" t="s">
        <v>367</v>
      </c>
      <c r="C107" s="97">
        <f>C100-C104</f>
        <v>0</v>
      </c>
      <c r="D107" s="97">
        <f>D100-D104</f>
        <v>78980637.645577133</v>
      </c>
      <c r="E107" s="97">
        <f>SUM(C107:D107)</f>
        <v>78980637.645577133</v>
      </c>
    </row>
    <row r="108" spans="2:6" ht="13.8">
      <c r="B108" s="30" t="s">
        <v>368</v>
      </c>
      <c r="C108" s="97">
        <f>SUM(C106:C107)</f>
        <v>13401950</v>
      </c>
      <c r="D108" s="97">
        <f>SUM(D106:D107)</f>
        <v>134347789.97582901</v>
      </c>
      <c r="E108" s="97">
        <f>SUM(C108:D108)</f>
        <v>147749739.97582901</v>
      </c>
    </row>
    <row r="109" spans="2:6" ht="14.4" thickBot="1"/>
    <row r="110" spans="2:6" ht="14.4" thickBot="1">
      <c r="B110" s="295" t="s">
        <v>190</v>
      </c>
    </row>
    <row r="111" spans="2:6" ht="28.2" thickBot="1">
      <c r="B111" s="296" t="s">
        <v>369</v>
      </c>
    </row>
    <row r="112" spans="2:6" ht="13.8"/>
    <row r="113" spans="1:32" ht="13.8">
      <c r="B113" s="37" t="s">
        <v>370</v>
      </c>
      <c r="C113" s="84" cm="1">
        <f t="array" ref="C113:V113">Háttér_listák!$B$139:INDEX(Háttér_listák!$B$139:$AF$139,MATCH(0,Háttér_listák!$B$138:$AF$138,0)-1)</f>
        <v>2025</v>
      </c>
      <c r="D113" s="84">
        <v>2026</v>
      </c>
      <c r="E113" s="84">
        <v>2027</v>
      </c>
      <c r="F113" s="84">
        <v>2028</v>
      </c>
      <c r="G113" s="84">
        <v>2029</v>
      </c>
      <c r="H113" s="84">
        <v>2030</v>
      </c>
      <c r="I113" s="84">
        <v>2031</v>
      </c>
      <c r="J113" s="84">
        <v>2032</v>
      </c>
      <c r="K113" s="84">
        <v>2033</v>
      </c>
      <c r="L113" s="84">
        <v>2034</v>
      </c>
      <c r="M113" s="84">
        <v>2035</v>
      </c>
      <c r="N113" s="84">
        <v>2036</v>
      </c>
      <c r="O113" s="84">
        <v>2037</v>
      </c>
      <c r="P113" s="84">
        <v>2038</v>
      </c>
      <c r="Q113" s="84">
        <v>2039</v>
      </c>
      <c r="R113" s="84">
        <v>2040</v>
      </c>
      <c r="S113" s="84">
        <v>2041</v>
      </c>
      <c r="T113" s="84">
        <v>2042</v>
      </c>
      <c r="U113" s="84">
        <v>2043</v>
      </c>
      <c r="V113" s="84">
        <v>2044</v>
      </c>
      <c r="W113" s="84"/>
      <c r="X113" s="84"/>
      <c r="Y113" s="84"/>
      <c r="Z113" s="84"/>
      <c r="AA113" s="84"/>
      <c r="AB113" s="84"/>
      <c r="AC113" s="84"/>
      <c r="AD113" s="84"/>
      <c r="AE113" s="84"/>
      <c r="AF113" s="84"/>
    </row>
    <row r="114" spans="1:32" ht="13.8">
      <c r="B114" s="35" t="s">
        <v>371</v>
      </c>
      <c r="C114" s="94">
        <f>(C148-C138)-C136</f>
        <v>0</v>
      </c>
      <c r="D114" s="94">
        <f>C114+(D148-D138)-D136</f>
        <v>1299959.4860159182</v>
      </c>
      <c r="E114" s="94">
        <f t="shared" ref="E114:AF114" si="27">D114+(E148-E138)-E136</f>
        <v>2599918.9720318364</v>
      </c>
      <c r="F114" s="94">
        <f t="shared" si="27"/>
        <v>3899878.4580477551</v>
      </c>
      <c r="G114" s="94">
        <f t="shared" si="27"/>
        <v>5199837.9440636737</v>
      </c>
      <c r="H114" s="94">
        <f t="shared" si="27"/>
        <v>6499797.4300795924</v>
      </c>
      <c r="I114" s="94">
        <f t="shared" si="27"/>
        <v>7799756.9160955111</v>
      </c>
      <c r="J114" s="94">
        <f t="shared" si="27"/>
        <v>9099716.4021114279</v>
      </c>
      <c r="K114" s="94">
        <f t="shared" si="27"/>
        <v>10399675.888127346</v>
      </c>
      <c r="L114" s="94">
        <f t="shared" si="27"/>
        <v>11699635.374143263</v>
      </c>
      <c r="M114" s="94">
        <f t="shared" si="27"/>
        <v>12999594.860159181</v>
      </c>
      <c r="N114" s="94">
        <f t="shared" si="27"/>
        <v>14299554.346175099</v>
      </c>
      <c r="O114" s="94">
        <f t="shared" si="27"/>
        <v>15599513.832191017</v>
      </c>
      <c r="P114" s="94">
        <f t="shared" si="27"/>
        <v>16899473.318206936</v>
      </c>
      <c r="Q114" s="94">
        <f t="shared" si="27"/>
        <v>18199432.804222856</v>
      </c>
      <c r="R114" s="94">
        <f t="shared" si="27"/>
        <v>19499392.290238775</v>
      </c>
      <c r="S114" s="94">
        <f t="shared" si="27"/>
        <v>20799351.776254695</v>
      </c>
      <c r="T114" s="94">
        <f t="shared" si="27"/>
        <v>22099311.262270615</v>
      </c>
      <c r="U114" s="94">
        <f t="shared" si="27"/>
        <v>23399270.748286534</v>
      </c>
      <c r="V114" s="94">
        <f t="shared" si="27"/>
        <v>24699230.234302454</v>
      </c>
      <c r="W114" s="94">
        <f t="shared" si="27"/>
        <v>25999189.720318373</v>
      </c>
      <c r="X114" s="94">
        <f t="shared" si="27"/>
        <v>27299149.206334293</v>
      </c>
      <c r="Y114" s="94">
        <f t="shared" si="27"/>
        <v>28599108.692350212</v>
      </c>
      <c r="Z114" s="94">
        <f t="shared" si="27"/>
        <v>29899068.178366132</v>
      </c>
      <c r="AA114" s="94">
        <f t="shared" si="27"/>
        <v>31199027.664382052</v>
      </c>
      <c r="AB114" s="94">
        <f t="shared" si="27"/>
        <v>32498987.150397971</v>
      </c>
      <c r="AC114" s="94">
        <f t="shared" si="27"/>
        <v>33798946.636413887</v>
      </c>
      <c r="AD114" s="94">
        <f t="shared" si="27"/>
        <v>35098906.122429803</v>
      </c>
      <c r="AE114" s="94">
        <f t="shared" si="27"/>
        <v>36398865.608445719</v>
      </c>
      <c r="AF114" s="94">
        <f t="shared" si="27"/>
        <v>37698825.094461635</v>
      </c>
    </row>
    <row r="115" spans="1:32" ht="14.4" thickBot="1"/>
    <row r="116" spans="1:32" ht="14.4" thickBot="1">
      <c r="B116" s="297" t="s">
        <v>372</v>
      </c>
      <c r="C116" s="151">
        <f>MAX(C121:AF121)</f>
        <v>0</v>
      </c>
      <c r="D116" s="105"/>
    </row>
    <row r="117" spans="1:32" ht="20.25" customHeight="1" thickBot="1">
      <c r="B117" s="102" t="str">
        <f>IF(C116&gt;0,penz_fennt_n,penz_fennt__i)</f>
        <v>Pénzügyi fenntarthatóság biztosított. Nincs szükség működési többletforrásra, ennek mértéke a következő táblázatban 0.</v>
      </c>
    </row>
    <row r="118" spans="1:32" ht="13.8">
      <c r="A118" s="105"/>
      <c r="B118" s="150" t="s">
        <v>373</v>
      </c>
      <c r="C118" s="85">
        <f t="shared" ref="C118:AF118" si="28">-C132+C137+E71</f>
        <v>0</v>
      </c>
      <c r="D118" s="85">
        <f t="shared" si="28"/>
        <v>1299959.4860159182</v>
      </c>
      <c r="E118" s="85">
        <f t="shared" si="28"/>
        <v>1299959.4860159182</v>
      </c>
      <c r="F118" s="85">
        <f t="shared" si="28"/>
        <v>1299959.4860159182</v>
      </c>
      <c r="G118" s="85">
        <f t="shared" si="28"/>
        <v>1299959.4860159182</v>
      </c>
      <c r="H118" s="85">
        <f t="shared" si="28"/>
        <v>1299959.4860159182</v>
      </c>
      <c r="I118" s="85">
        <f t="shared" si="28"/>
        <v>1299959.4860159182</v>
      </c>
      <c r="J118" s="85">
        <f t="shared" si="28"/>
        <v>1299959.4860159182</v>
      </c>
      <c r="K118" s="85">
        <f t="shared" si="28"/>
        <v>1299959.4860159182</v>
      </c>
      <c r="L118" s="85">
        <f t="shared" si="28"/>
        <v>1299959.4860159182</v>
      </c>
      <c r="M118" s="85">
        <f t="shared" si="28"/>
        <v>1299959.4860159182</v>
      </c>
      <c r="N118" s="85">
        <f t="shared" si="28"/>
        <v>1299959.4860159182</v>
      </c>
      <c r="O118" s="85">
        <f t="shared" si="28"/>
        <v>1299959.4860159182</v>
      </c>
      <c r="P118" s="85">
        <f t="shared" si="28"/>
        <v>1299959.4860159182</v>
      </c>
      <c r="Q118" s="85">
        <f t="shared" si="28"/>
        <v>1299959.4860159182</v>
      </c>
      <c r="R118" s="85">
        <f t="shared" si="28"/>
        <v>1299959.4860159182</v>
      </c>
      <c r="S118" s="85">
        <f t="shared" si="28"/>
        <v>1299959.4860159182</v>
      </c>
      <c r="T118" s="85">
        <f t="shared" si="28"/>
        <v>1299959.4860159182</v>
      </c>
      <c r="U118" s="85">
        <f t="shared" si="28"/>
        <v>1299959.4860159182</v>
      </c>
      <c r="V118" s="85">
        <f t="shared" si="28"/>
        <v>1299959.4860159182</v>
      </c>
      <c r="W118" s="85">
        <f t="shared" si="28"/>
        <v>1299959.4860159182</v>
      </c>
      <c r="X118" s="85">
        <f t="shared" si="28"/>
        <v>1299959.4860159182</v>
      </c>
      <c r="Y118" s="85">
        <f t="shared" si="28"/>
        <v>1299959.4860159182</v>
      </c>
      <c r="Z118" s="85">
        <f t="shared" si="28"/>
        <v>1299959.4860159182</v>
      </c>
      <c r="AA118" s="85">
        <f t="shared" si="28"/>
        <v>1299959.4860159182</v>
      </c>
      <c r="AB118" s="85">
        <f t="shared" si="28"/>
        <v>1299959.4860159182</v>
      </c>
      <c r="AC118" s="85">
        <f t="shared" si="28"/>
        <v>1299959.4860159182</v>
      </c>
      <c r="AD118" s="85">
        <f t="shared" si="28"/>
        <v>1299959.4860159182</v>
      </c>
      <c r="AE118" s="85">
        <f t="shared" si="28"/>
        <v>1299959.4860159182</v>
      </c>
      <c r="AF118" s="85">
        <f t="shared" si="28"/>
        <v>1299959.4860159182</v>
      </c>
    </row>
    <row r="119" spans="1:32" ht="13.8">
      <c r="A119" s="105"/>
      <c r="B119" s="150" t="s">
        <v>374</v>
      </c>
      <c r="C119" s="85">
        <f>C118</f>
        <v>0</v>
      </c>
      <c r="D119" s="85">
        <f t="shared" ref="D119:AF119" si="29">C119+D118+C121</f>
        <v>1299959.4860159182</v>
      </c>
      <c r="E119" s="85">
        <f t="shared" si="29"/>
        <v>2599918.9720318364</v>
      </c>
      <c r="F119" s="85">
        <f t="shared" si="29"/>
        <v>3899878.4580477546</v>
      </c>
      <c r="G119" s="85">
        <f t="shared" si="29"/>
        <v>5199837.9440636728</v>
      </c>
      <c r="H119" s="85">
        <f t="shared" si="29"/>
        <v>6499797.4300795905</v>
      </c>
      <c r="I119" s="85">
        <f t="shared" si="29"/>
        <v>7799756.9160955083</v>
      </c>
      <c r="J119" s="85">
        <f t="shared" si="29"/>
        <v>9099716.402111426</v>
      </c>
      <c r="K119" s="85">
        <f t="shared" si="29"/>
        <v>10399675.888127344</v>
      </c>
      <c r="L119" s="85">
        <f t="shared" si="29"/>
        <v>11699635.374143261</v>
      </c>
      <c r="M119" s="85">
        <f t="shared" si="29"/>
        <v>12999594.860159179</v>
      </c>
      <c r="N119" s="85">
        <f t="shared" si="29"/>
        <v>14299554.346175097</v>
      </c>
      <c r="O119" s="85">
        <f t="shared" si="29"/>
        <v>15599513.832191015</v>
      </c>
      <c r="P119" s="85">
        <f t="shared" si="29"/>
        <v>16899473.318206932</v>
      </c>
      <c r="Q119" s="85">
        <f t="shared" si="29"/>
        <v>18199432.804222852</v>
      </c>
      <c r="R119" s="85">
        <f t="shared" si="29"/>
        <v>19499392.290238772</v>
      </c>
      <c r="S119" s="85">
        <f t="shared" si="29"/>
        <v>20799351.776254691</v>
      </c>
      <c r="T119" s="85">
        <f t="shared" si="29"/>
        <v>22099311.262270611</v>
      </c>
      <c r="U119" s="85">
        <f t="shared" si="29"/>
        <v>23399270.74828653</v>
      </c>
      <c r="V119" s="85">
        <f t="shared" si="29"/>
        <v>24699230.23430245</v>
      </c>
      <c r="W119" s="85">
        <f t="shared" si="29"/>
        <v>25999189.72031837</v>
      </c>
      <c r="X119" s="85">
        <f t="shared" si="29"/>
        <v>27299149.206334289</v>
      </c>
      <c r="Y119" s="85">
        <f t="shared" si="29"/>
        <v>28599108.692350209</v>
      </c>
      <c r="Z119" s="85">
        <f t="shared" si="29"/>
        <v>29899068.178366128</v>
      </c>
      <c r="AA119" s="85">
        <f t="shared" si="29"/>
        <v>31199027.664382048</v>
      </c>
      <c r="AB119" s="85">
        <f t="shared" si="29"/>
        <v>32498987.150397968</v>
      </c>
      <c r="AC119" s="85">
        <f t="shared" si="29"/>
        <v>33798946.636413887</v>
      </c>
      <c r="AD119" s="85">
        <f t="shared" si="29"/>
        <v>35098906.122429803</v>
      </c>
      <c r="AE119" s="85">
        <f t="shared" si="29"/>
        <v>36398865.608445719</v>
      </c>
      <c r="AF119" s="85">
        <f t="shared" si="29"/>
        <v>37698825.094461635</v>
      </c>
    </row>
    <row r="120" spans="1:32" ht="13.8">
      <c r="B120" s="37" t="s">
        <v>370</v>
      </c>
      <c r="C120" s="84" cm="1">
        <f t="array" ref="C120:V120">Háttér_listák!$B$139:INDEX(Háttér_listák!$B$139:$AF$139,MATCH(0,Háttér_listák!$B$138:$AF$138,0)-1)</f>
        <v>2025</v>
      </c>
      <c r="D120" s="84">
        <v>2026</v>
      </c>
      <c r="E120" s="84">
        <v>2027</v>
      </c>
      <c r="F120" s="84">
        <v>2028</v>
      </c>
      <c r="G120" s="84">
        <v>2029</v>
      </c>
      <c r="H120" s="84">
        <v>2030</v>
      </c>
      <c r="I120" s="84">
        <v>2031</v>
      </c>
      <c r="J120" s="84">
        <v>2032</v>
      </c>
      <c r="K120" s="84">
        <v>2033</v>
      </c>
      <c r="L120" s="84">
        <v>2034</v>
      </c>
      <c r="M120" s="84">
        <v>2035</v>
      </c>
      <c r="N120" s="84">
        <v>2036</v>
      </c>
      <c r="O120" s="84">
        <v>2037</v>
      </c>
      <c r="P120" s="84">
        <v>2038</v>
      </c>
      <c r="Q120" s="84">
        <v>2039</v>
      </c>
      <c r="R120" s="84">
        <v>2040</v>
      </c>
      <c r="S120" s="84">
        <v>2041</v>
      </c>
      <c r="T120" s="84">
        <v>2042</v>
      </c>
      <c r="U120" s="84">
        <v>2043</v>
      </c>
      <c r="V120" s="84">
        <v>2044</v>
      </c>
      <c r="W120" s="84"/>
      <c r="X120" s="84"/>
      <c r="Y120" s="84"/>
      <c r="Z120" s="84"/>
      <c r="AA120" s="84"/>
      <c r="AB120" s="84"/>
      <c r="AC120" s="84"/>
      <c r="AD120" s="84"/>
      <c r="AE120" s="84"/>
      <c r="AF120" s="84"/>
    </row>
    <row r="121" spans="1:32" ht="13.8">
      <c r="B121" s="35" t="s">
        <v>375</v>
      </c>
      <c r="C121" s="94">
        <f>IF(C119&lt;0,C119,0)</f>
        <v>0</v>
      </c>
      <c r="D121" s="94">
        <f t="shared" ref="D121:AF121" si="30">IF(D119&lt;0,-D119,0)</f>
        <v>0</v>
      </c>
      <c r="E121" s="94">
        <f t="shared" si="30"/>
        <v>0</v>
      </c>
      <c r="F121" s="94">
        <f t="shared" si="30"/>
        <v>0</v>
      </c>
      <c r="G121" s="94">
        <f t="shared" si="30"/>
        <v>0</v>
      </c>
      <c r="H121" s="94">
        <f t="shared" si="30"/>
        <v>0</v>
      </c>
      <c r="I121" s="94">
        <f t="shared" si="30"/>
        <v>0</v>
      </c>
      <c r="J121" s="94">
        <f t="shared" si="30"/>
        <v>0</v>
      </c>
      <c r="K121" s="94">
        <f t="shared" si="30"/>
        <v>0</v>
      </c>
      <c r="L121" s="94">
        <f t="shared" si="30"/>
        <v>0</v>
      </c>
      <c r="M121" s="94">
        <f t="shared" si="30"/>
        <v>0</v>
      </c>
      <c r="N121" s="94">
        <f t="shared" si="30"/>
        <v>0</v>
      </c>
      <c r="O121" s="94">
        <f t="shared" si="30"/>
        <v>0</v>
      </c>
      <c r="P121" s="94">
        <f t="shared" si="30"/>
        <v>0</v>
      </c>
      <c r="Q121" s="94">
        <f t="shared" si="30"/>
        <v>0</v>
      </c>
      <c r="R121" s="94">
        <f t="shared" si="30"/>
        <v>0</v>
      </c>
      <c r="S121" s="94">
        <f t="shared" si="30"/>
        <v>0</v>
      </c>
      <c r="T121" s="94">
        <f t="shared" si="30"/>
        <v>0</v>
      </c>
      <c r="U121" s="94">
        <f t="shared" si="30"/>
        <v>0</v>
      </c>
      <c r="V121" s="94">
        <f t="shared" si="30"/>
        <v>0</v>
      </c>
      <c r="W121" s="94">
        <f t="shared" si="30"/>
        <v>0</v>
      </c>
      <c r="X121" s="94">
        <f t="shared" si="30"/>
        <v>0</v>
      </c>
      <c r="Y121" s="94">
        <f t="shared" si="30"/>
        <v>0</v>
      </c>
      <c r="Z121" s="94">
        <f t="shared" si="30"/>
        <v>0</v>
      </c>
      <c r="AA121" s="94">
        <f t="shared" si="30"/>
        <v>0</v>
      </c>
      <c r="AB121" s="94">
        <f t="shared" si="30"/>
        <v>0</v>
      </c>
      <c r="AC121" s="94">
        <f t="shared" si="30"/>
        <v>0</v>
      </c>
      <c r="AD121" s="94">
        <f t="shared" si="30"/>
        <v>0</v>
      </c>
      <c r="AE121" s="94">
        <f t="shared" si="30"/>
        <v>0</v>
      </c>
      <c r="AF121" s="94">
        <f t="shared" si="30"/>
        <v>0</v>
      </c>
    </row>
    <row r="122" spans="1:32" ht="14.4" thickBot="1"/>
    <row r="123" spans="1:32" ht="13.8">
      <c r="B123" s="298" t="s">
        <v>190</v>
      </c>
    </row>
    <row r="124" spans="1:32" ht="69.599999999999994" thickBot="1">
      <c r="B124" s="299" t="s">
        <v>376</v>
      </c>
    </row>
    <row r="125" spans="1:32" ht="14.4" thickBot="1"/>
    <row r="126" spans="1:32" ht="13.8">
      <c r="B126" s="300" t="s">
        <v>189</v>
      </c>
      <c r="C126" s="301" t="s">
        <v>192</v>
      </c>
      <c r="D126" s="301" t="s">
        <v>180</v>
      </c>
      <c r="E126" s="578" t="s">
        <v>377</v>
      </c>
      <c r="F126" s="578"/>
      <c r="G126" s="579"/>
    </row>
    <row r="127" spans="1:32" ht="14.4" thickBot="1">
      <c r="B127" s="302" t="s">
        <v>378</v>
      </c>
      <c r="C127" s="553"/>
      <c r="D127" s="113" t="str">
        <f>IF(AND(B117=penz_fennt_n,C127=""),valaszoljon,IF(AND(B117=penz_fennt__i,C127&lt;&gt;""),torolje,""))</f>
        <v/>
      </c>
      <c r="E127" s="580"/>
      <c r="F127" s="580"/>
      <c r="G127" s="581"/>
    </row>
    <row r="128" spans="1:32" ht="13.8"/>
    <row r="129" spans="2:32" ht="13.8"/>
    <row r="130" spans="2:32" ht="13.8">
      <c r="B130" s="303" t="s">
        <v>370</v>
      </c>
      <c r="C130" s="84" cm="1">
        <f t="array" ref="C130:V130">Háttér_listák!$B$139:INDEX(Háttér_listák!$B$139:$AF$139,MATCH(0,Háttér_listák!$B$138:$AF$138,0)-1)</f>
        <v>2025</v>
      </c>
      <c r="D130" s="84">
        <v>2026</v>
      </c>
      <c r="E130" s="84">
        <v>2027</v>
      </c>
      <c r="F130" s="84">
        <v>2028</v>
      </c>
      <c r="G130" s="84">
        <v>2029</v>
      </c>
      <c r="H130" s="84">
        <v>2030</v>
      </c>
      <c r="I130" s="84">
        <v>2031</v>
      </c>
      <c r="J130" s="84">
        <v>2032</v>
      </c>
      <c r="K130" s="84">
        <v>2033</v>
      </c>
      <c r="L130" s="84">
        <v>2034</v>
      </c>
      <c r="M130" s="84">
        <v>2035</v>
      </c>
      <c r="N130" s="84">
        <v>2036</v>
      </c>
      <c r="O130" s="84">
        <v>2037</v>
      </c>
      <c r="P130" s="84">
        <v>2038</v>
      </c>
      <c r="Q130" s="84">
        <v>2039</v>
      </c>
      <c r="R130" s="84">
        <v>2040</v>
      </c>
      <c r="S130" s="84">
        <v>2041</v>
      </c>
      <c r="T130" s="84">
        <v>2042</v>
      </c>
      <c r="U130" s="84">
        <v>2043</v>
      </c>
      <c r="V130" s="84">
        <v>2044</v>
      </c>
      <c r="W130" s="84"/>
      <c r="X130" s="84"/>
      <c r="Y130" s="84"/>
      <c r="Z130" s="84"/>
      <c r="AA130" s="84"/>
      <c r="AB130" s="84"/>
      <c r="AC130" s="84"/>
      <c r="AD130" s="84"/>
      <c r="AE130" s="84"/>
      <c r="AF130" s="84"/>
    </row>
    <row r="131" spans="2:32" ht="13.8">
      <c r="B131" s="304" t="s">
        <v>379</v>
      </c>
      <c r="C131" s="85">
        <f t="shared" ref="C131:L132" si="31">E84</f>
        <v>483504769</v>
      </c>
      <c r="D131" s="85">
        <f t="shared" si="31"/>
        <v>0</v>
      </c>
      <c r="E131" s="85">
        <f t="shared" si="31"/>
        <v>0</v>
      </c>
      <c r="F131" s="85">
        <f t="shared" si="31"/>
        <v>0</v>
      </c>
      <c r="G131" s="85">
        <f t="shared" si="31"/>
        <v>0</v>
      </c>
      <c r="H131" s="85">
        <f t="shared" si="31"/>
        <v>0</v>
      </c>
      <c r="I131" s="85">
        <f t="shared" si="31"/>
        <v>0</v>
      </c>
      <c r="J131" s="85">
        <f t="shared" si="31"/>
        <v>0</v>
      </c>
      <c r="K131" s="85">
        <f t="shared" si="31"/>
        <v>0</v>
      </c>
      <c r="L131" s="85">
        <f t="shared" si="31"/>
        <v>0</v>
      </c>
      <c r="M131" s="85">
        <f t="shared" ref="M131:V132" si="32">O84</f>
        <v>0</v>
      </c>
      <c r="N131" s="85">
        <f t="shared" si="32"/>
        <v>0</v>
      </c>
      <c r="O131" s="85">
        <f t="shared" si="32"/>
        <v>0</v>
      </c>
      <c r="P131" s="85">
        <f t="shared" si="32"/>
        <v>0</v>
      </c>
      <c r="Q131" s="85">
        <f t="shared" si="32"/>
        <v>0</v>
      </c>
      <c r="R131" s="85">
        <f t="shared" si="32"/>
        <v>0</v>
      </c>
      <c r="S131" s="85">
        <f t="shared" si="32"/>
        <v>0</v>
      </c>
      <c r="T131" s="85">
        <f t="shared" si="32"/>
        <v>0</v>
      </c>
      <c r="U131" s="85">
        <f t="shared" si="32"/>
        <v>0</v>
      </c>
      <c r="V131" s="85">
        <f t="shared" si="32"/>
        <v>0</v>
      </c>
      <c r="W131" s="85">
        <f t="shared" ref="W131:AF132" si="33">Y84</f>
        <v>0</v>
      </c>
      <c r="X131" s="85">
        <f t="shared" si="33"/>
        <v>0</v>
      </c>
      <c r="Y131" s="85">
        <f t="shared" si="33"/>
        <v>0</v>
      </c>
      <c r="Z131" s="85">
        <f t="shared" si="33"/>
        <v>0</v>
      </c>
      <c r="AA131" s="85">
        <f t="shared" si="33"/>
        <v>0</v>
      </c>
      <c r="AB131" s="85">
        <f t="shared" si="33"/>
        <v>0</v>
      </c>
      <c r="AC131" s="85">
        <f t="shared" si="33"/>
        <v>0</v>
      </c>
      <c r="AD131" s="85">
        <f t="shared" si="33"/>
        <v>0</v>
      </c>
      <c r="AE131" s="85">
        <f t="shared" si="33"/>
        <v>0</v>
      </c>
      <c r="AF131" s="85">
        <f t="shared" si="33"/>
        <v>0</v>
      </c>
    </row>
    <row r="132" spans="2:32" ht="13.8">
      <c r="B132" s="304" t="s">
        <v>380</v>
      </c>
      <c r="C132" s="85">
        <f t="shared" si="31"/>
        <v>0</v>
      </c>
      <c r="D132" s="85">
        <f t="shared" si="31"/>
        <v>450040.51398408157</v>
      </c>
      <c r="E132" s="85">
        <f t="shared" si="31"/>
        <v>450040.51398408157</v>
      </c>
      <c r="F132" s="85">
        <f t="shared" si="31"/>
        <v>450040.51398408157</v>
      </c>
      <c r="G132" s="85">
        <f t="shared" si="31"/>
        <v>450040.51398408157</v>
      </c>
      <c r="H132" s="85">
        <f t="shared" si="31"/>
        <v>450040.51398408157</v>
      </c>
      <c r="I132" s="85">
        <f t="shared" si="31"/>
        <v>450040.51398408157</v>
      </c>
      <c r="J132" s="85">
        <f t="shared" si="31"/>
        <v>450040.51398408157</v>
      </c>
      <c r="K132" s="85">
        <f t="shared" si="31"/>
        <v>450040.51398408157</v>
      </c>
      <c r="L132" s="85">
        <f t="shared" si="31"/>
        <v>450040.51398408157</v>
      </c>
      <c r="M132" s="85">
        <f t="shared" si="32"/>
        <v>450040.51398408157</v>
      </c>
      <c r="N132" s="85">
        <f t="shared" si="32"/>
        <v>450040.51398408157</v>
      </c>
      <c r="O132" s="85">
        <f t="shared" si="32"/>
        <v>450040.51398408157</v>
      </c>
      <c r="P132" s="85">
        <f t="shared" si="32"/>
        <v>450040.51398408157</v>
      </c>
      <c r="Q132" s="85">
        <f t="shared" si="32"/>
        <v>450040.51398408157</v>
      </c>
      <c r="R132" s="85">
        <f t="shared" si="32"/>
        <v>450040.51398408157</v>
      </c>
      <c r="S132" s="85">
        <f t="shared" si="32"/>
        <v>450040.51398408157</v>
      </c>
      <c r="T132" s="85">
        <f t="shared" si="32"/>
        <v>450040.51398408157</v>
      </c>
      <c r="U132" s="85">
        <f t="shared" si="32"/>
        <v>450040.51398408157</v>
      </c>
      <c r="V132" s="85">
        <f t="shared" si="32"/>
        <v>450040.51398408157</v>
      </c>
      <c r="W132" s="85">
        <f t="shared" si="33"/>
        <v>450040.51398408157</v>
      </c>
      <c r="X132" s="85">
        <f t="shared" si="33"/>
        <v>450040.51398408157</v>
      </c>
      <c r="Y132" s="85">
        <f t="shared" si="33"/>
        <v>450040.51398408157</v>
      </c>
      <c r="Z132" s="85">
        <f t="shared" si="33"/>
        <v>450040.51398408157</v>
      </c>
      <c r="AA132" s="85">
        <f t="shared" si="33"/>
        <v>450040.51398408157</v>
      </c>
      <c r="AB132" s="85">
        <f t="shared" si="33"/>
        <v>450040.51398408157</v>
      </c>
      <c r="AC132" s="85">
        <f t="shared" si="33"/>
        <v>450040.51398408157</v>
      </c>
      <c r="AD132" s="85">
        <f t="shared" si="33"/>
        <v>450040.51398408157</v>
      </c>
      <c r="AE132" s="85">
        <f t="shared" si="33"/>
        <v>450040.51398408157</v>
      </c>
      <c r="AF132" s="85">
        <f t="shared" si="33"/>
        <v>450040.51398408157</v>
      </c>
    </row>
    <row r="133" spans="2:32" ht="13.8">
      <c r="B133" s="304" t="s">
        <v>381</v>
      </c>
      <c r="C133" s="85">
        <f t="shared" ref="C133:L134" si="34">E78</f>
        <v>0</v>
      </c>
      <c r="D133" s="85">
        <f t="shared" si="34"/>
        <v>0</v>
      </c>
      <c r="E133" s="85">
        <f t="shared" si="34"/>
        <v>0</v>
      </c>
      <c r="F133" s="85">
        <f t="shared" si="34"/>
        <v>0</v>
      </c>
      <c r="G133" s="85">
        <f t="shared" si="34"/>
        <v>0</v>
      </c>
      <c r="H133" s="85">
        <f t="shared" si="34"/>
        <v>0</v>
      </c>
      <c r="I133" s="85">
        <f t="shared" si="34"/>
        <v>0</v>
      </c>
      <c r="J133" s="85">
        <f t="shared" si="34"/>
        <v>0</v>
      </c>
      <c r="K133" s="85">
        <f t="shared" si="34"/>
        <v>0</v>
      </c>
      <c r="L133" s="85">
        <f t="shared" si="34"/>
        <v>0</v>
      </c>
      <c r="M133" s="85">
        <f t="shared" ref="M133:V134" si="35">O78</f>
        <v>0</v>
      </c>
      <c r="N133" s="85">
        <f t="shared" si="35"/>
        <v>0</v>
      </c>
      <c r="O133" s="85">
        <f t="shared" si="35"/>
        <v>0</v>
      </c>
      <c r="P133" s="85">
        <f t="shared" si="35"/>
        <v>0</v>
      </c>
      <c r="Q133" s="85">
        <f t="shared" si="35"/>
        <v>0</v>
      </c>
      <c r="R133" s="85">
        <f t="shared" si="35"/>
        <v>0</v>
      </c>
      <c r="S133" s="85">
        <f t="shared" si="35"/>
        <v>0</v>
      </c>
      <c r="T133" s="85">
        <f t="shared" si="35"/>
        <v>0</v>
      </c>
      <c r="U133" s="85">
        <f t="shared" si="35"/>
        <v>0</v>
      </c>
      <c r="V133" s="85">
        <f t="shared" si="35"/>
        <v>0</v>
      </c>
      <c r="W133" s="85">
        <f t="shared" ref="W133:AF134" si="36">Y78</f>
        <v>0</v>
      </c>
      <c r="X133" s="85">
        <f t="shared" si="36"/>
        <v>0</v>
      </c>
      <c r="Y133" s="85">
        <f t="shared" si="36"/>
        <v>0</v>
      </c>
      <c r="Z133" s="85">
        <f t="shared" si="36"/>
        <v>0</v>
      </c>
      <c r="AA133" s="85">
        <f t="shared" si="36"/>
        <v>0</v>
      </c>
      <c r="AB133" s="85">
        <f t="shared" si="36"/>
        <v>0</v>
      </c>
      <c r="AC133" s="85">
        <f t="shared" si="36"/>
        <v>0</v>
      </c>
      <c r="AD133" s="85">
        <f t="shared" si="36"/>
        <v>0</v>
      </c>
      <c r="AE133" s="85">
        <f t="shared" si="36"/>
        <v>0</v>
      </c>
      <c r="AF133" s="85">
        <f t="shared" si="36"/>
        <v>0</v>
      </c>
    </row>
    <row r="134" spans="2:32" ht="13.8">
      <c r="B134" s="304" t="s">
        <v>382</v>
      </c>
      <c r="C134" s="85">
        <f t="shared" si="34"/>
        <v>0</v>
      </c>
      <c r="D134" s="85">
        <f t="shared" si="34"/>
        <v>0</v>
      </c>
      <c r="E134" s="85">
        <f t="shared" si="34"/>
        <v>0</v>
      </c>
      <c r="F134" s="85">
        <f t="shared" si="34"/>
        <v>0</v>
      </c>
      <c r="G134" s="85">
        <f t="shared" si="34"/>
        <v>0</v>
      </c>
      <c r="H134" s="85">
        <f t="shared" si="34"/>
        <v>0</v>
      </c>
      <c r="I134" s="85">
        <f t="shared" si="34"/>
        <v>0</v>
      </c>
      <c r="J134" s="85">
        <f t="shared" si="34"/>
        <v>0</v>
      </c>
      <c r="K134" s="85">
        <f t="shared" si="34"/>
        <v>0</v>
      </c>
      <c r="L134" s="85">
        <f t="shared" si="34"/>
        <v>0</v>
      </c>
      <c r="M134" s="85">
        <f t="shared" si="35"/>
        <v>0</v>
      </c>
      <c r="N134" s="85">
        <f t="shared" si="35"/>
        <v>0</v>
      </c>
      <c r="O134" s="85">
        <f t="shared" si="35"/>
        <v>0</v>
      </c>
      <c r="P134" s="85">
        <f t="shared" si="35"/>
        <v>0</v>
      </c>
      <c r="Q134" s="85">
        <f t="shared" si="35"/>
        <v>0</v>
      </c>
      <c r="R134" s="85">
        <f t="shared" si="35"/>
        <v>0</v>
      </c>
      <c r="S134" s="85">
        <f t="shared" si="35"/>
        <v>0</v>
      </c>
      <c r="T134" s="85">
        <f t="shared" si="35"/>
        <v>0</v>
      </c>
      <c r="U134" s="85">
        <f t="shared" si="35"/>
        <v>0</v>
      </c>
      <c r="V134" s="85">
        <f t="shared" si="35"/>
        <v>0</v>
      </c>
      <c r="W134" s="85">
        <f t="shared" si="36"/>
        <v>0</v>
      </c>
      <c r="X134" s="85">
        <f t="shared" si="36"/>
        <v>0</v>
      </c>
      <c r="Y134" s="85">
        <f t="shared" si="36"/>
        <v>0</v>
      </c>
      <c r="Z134" s="85">
        <f t="shared" si="36"/>
        <v>0</v>
      </c>
      <c r="AA134" s="85">
        <f t="shared" si="36"/>
        <v>0</v>
      </c>
      <c r="AB134" s="85">
        <f t="shared" si="36"/>
        <v>0</v>
      </c>
      <c r="AC134" s="85">
        <f t="shared" si="36"/>
        <v>0</v>
      </c>
      <c r="AD134" s="85">
        <f t="shared" si="36"/>
        <v>0</v>
      </c>
      <c r="AE134" s="85">
        <f t="shared" si="36"/>
        <v>0</v>
      </c>
      <c r="AF134" s="85">
        <f t="shared" si="36"/>
        <v>0</v>
      </c>
    </row>
    <row r="135" spans="2:32" ht="13.8">
      <c r="B135" s="304" t="s">
        <v>383</v>
      </c>
      <c r="C135" s="85">
        <v>0</v>
      </c>
      <c r="D135" s="85">
        <v>0</v>
      </c>
      <c r="E135" s="85">
        <v>0</v>
      </c>
      <c r="F135" s="85">
        <v>0</v>
      </c>
      <c r="G135" s="85">
        <v>0</v>
      </c>
      <c r="H135" s="85">
        <v>0</v>
      </c>
      <c r="I135" s="85">
        <v>0</v>
      </c>
      <c r="J135" s="85">
        <v>0</v>
      </c>
      <c r="K135" s="85">
        <v>0</v>
      </c>
      <c r="L135" s="85">
        <v>0</v>
      </c>
      <c r="M135" s="85">
        <v>0</v>
      </c>
      <c r="N135" s="85">
        <v>0</v>
      </c>
      <c r="O135" s="85">
        <v>0</v>
      </c>
      <c r="P135" s="85">
        <v>0</v>
      </c>
      <c r="Q135" s="85">
        <v>0</v>
      </c>
      <c r="R135" s="85">
        <v>0</v>
      </c>
      <c r="S135" s="85">
        <v>0</v>
      </c>
      <c r="T135" s="85">
        <v>0</v>
      </c>
      <c r="U135" s="85">
        <v>0</v>
      </c>
      <c r="V135" s="85">
        <v>0</v>
      </c>
      <c r="W135" s="85">
        <v>0</v>
      </c>
      <c r="X135" s="85">
        <v>0</v>
      </c>
      <c r="Y135" s="85">
        <v>0</v>
      </c>
      <c r="Z135" s="85">
        <v>0</v>
      </c>
      <c r="AA135" s="85">
        <v>0</v>
      </c>
      <c r="AB135" s="85">
        <v>0</v>
      </c>
      <c r="AC135" s="85">
        <v>0</v>
      </c>
      <c r="AD135" s="85">
        <v>0</v>
      </c>
      <c r="AE135" s="85">
        <v>0</v>
      </c>
      <c r="AF135" s="85">
        <v>0</v>
      </c>
    </row>
    <row r="136" spans="2:32" ht="13.8">
      <c r="B136" s="305" t="s">
        <v>384</v>
      </c>
      <c r="C136" s="94">
        <f t="shared" ref="C136:AF136" si="37">SUM(C131:C135)</f>
        <v>483504769</v>
      </c>
      <c r="D136" s="94">
        <f t="shared" si="37"/>
        <v>450040.51398408157</v>
      </c>
      <c r="E136" s="94">
        <f t="shared" si="37"/>
        <v>450040.51398408157</v>
      </c>
      <c r="F136" s="94">
        <f t="shared" si="37"/>
        <v>450040.51398408157</v>
      </c>
      <c r="G136" s="94">
        <f t="shared" si="37"/>
        <v>450040.51398408157</v>
      </c>
      <c r="H136" s="94">
        <f t="shared" si="37"/>
        <v>450040.51398408157</v>
      </c>
      <c r="I136" s="94">
        <f t="shared" si="37"/>
        <v>450040.51398408157</v>
      </c>
      <c r="J136" s="94">
        <f t="shared" si="37"/>
        <v>450040.51398408157</v>
      </c>
      <c r="K136" s="94">
        <f t="shared" si="37"/>
        <v>450040.51398408157</v>
      </c>
      <c r="L136" s="94">
        <f t="shared" si="37"/>
        <v>450040.51398408157</v>
      </c>
      <c r="M136" s="94">
        <f t="shared" si="37"/>
        <v>450040.51398408157</v>
      </c>
      <c r="N136" s="94">
        <f t="shared" si="37"/>
        <v>450040.51398408157</v>
      </c>
      <c r="O136" s="94">
        <f t="shared" si="37"/>
        <v>450040.51398408157</v>
      </c>
      <c r="P136" s="94">
        <f t="shared" si="37"/>
        <v>450040.51398408157</v>
      </c>
      <c r="Q136" s="94">
        <f t="shared" si="37"/>
        <v>450040.51398408157</v>
      </c>
      <c r="R136" s="94">
        <f t="shared" si="37"/>
        <v>450040.51398408157</v>
      </c>
      <c r="S136" s="94">
        <f t="shared" si="37"/>
        <v>450040.51398408157</v>
      </c>
      <c r="T136" s="94">
        <f t="shared" si="37"/>
        <v>450040.51398408157</v>
      </c>
      <c r="U136" s="94">
        <f t="shared" si="37"/>
        <v>450040.51398408157</v>
      </c>
      <c r="V136" s="94">
        <f t="shared" si="37"/>
        <v>450040.51398408157</v>
      </c>
      <c r="W136" s="94">
        <f t="shared" si="37"/>
        <v>450040.51398408157</v>
      </c>
      <c r="X136" s="94">
        <f t="shared" si="37"/>
        <v>450040.51398408157</v>
      </c>
      <c r="Y136" s="94">
        <f t="shared" si="37"/>
        <v>450040.51398408157</v>
      </c>
      <c r="Z136" s="94">
        <f t="shared" si="37"/>
        <v>450040.51398408157</v>
      </c>
      <c r="AA136" s="94">
        <f t="shared" si="37"/>
        <v>450040.51398408157</v>
      </c>
      <c r="AB136" s="94">
        <f t="shared" si="37"/>
        <v>450040.51398408157</v>
      </c>
      <c r="AC136" s="94">
        <f t="shared" si="37"/>
        <v>450040.51398408157</v>
      </c>
      <c r="AD136" s="94">
        <f t="shared" si="37"/>
        <v>450040.51398408157</v>
      </c>
      <c r="AE136" s="94">
        <f t="shared" si="37"/>
        <v>450040.51398408157</v>
      </c>
      <c r="AF136" s="94">
        <f t="shared" si="37"/>
        <v>450040.51398408157</v>
      </c>
    </row>
    <row r="137" spans="2:32" ht="13.8">
      <c r="B137" s="304" t="s">
        <v>385</v>
      </c>
      <c r="C137" s="85">
        <f t="shared" ref="C137:AF137" si="38">E89</f>
        <v>0</v>
      </c>
      <c r="D137" s="85">
        <f t="shared" si="38"/>
        <v>1749999.9999999998</v>
      </c>
      <c r="E137" s="85">
        <f t="shared" si="38"/>
        <v>1749999.9999999998</v>
      </c>
      <c r="F137" s="85">
        <f t="shared" si="38"/>
        <v>1749999.9999999998</v>
      </c>
      <c r="G137" s="85">
        <f t="shared" si="38"/>
        <v>1749999.9999999998</v>
      </c>
      <c r="H137" s="85">
        <f t="shared" si="38"/>
        <v>1749999.9999999998</v>
      </c>
      <c r="I137" s="85">
        <f t="shared" si="38"/>
        <v>1749999.9999999998</v>
      </c>
      <c r="J137" s="85">
        <f t="shared" si="38"/>
        <v>1749999.9999999998</v>
      </c>
      <c r="K137" s="85">
        <f t="shared" si="38"/>
        <v>1749999.9999999998</v>
      </c>
      <c r="L137" s="85">
        <f t="shared" si="38"/>
        <v>1749999.9999999998</v>
      </c>
      <c r="M137" s="85">
        <f t="shared" si="38"/>
        <v>1749999.9999999998</v>
      </c>
      <c r="N137" s="85">
        <f t="shared" si="38"/>
        <v>1749999.9999999998</v>
      </c>
      <c r="O137" s="85">
        <f t="shared" si="38"/>
        <v>1749999.9999999998</v>
      </c>
      <c r="P137" s="85">
        <f t="shared" si="38"/>
        <v>1749999.9999999998</v>
      </c>
      <c r="Q137" s="85">
        <f t="shared" si="38"/>
        <v>1749999.9999999998</v>
      </c>
      <c r="R137" s="85">
        <f t="shared" si="38"/>
        <v>1749999.9999999998</v>
      </c>
      <c r="S137" s="85">
        <f t="shared" si="38"/>
        <v>1749999.9999999998</v>
      </c>
      <c r="T137" s="85">
        <f t="shared" si="38"/>
        <v>1749999.9999999998</v>
      </c>
      <c r="U137" s="85">
        <f t="shared" si="38"/>
        <v>1749999.9999999998</v>
      </c>
      <c r="V137" s="85">
        <f t="shared" si="38"/>
        <v>1749999.9999999998</v>
      </c>
      <c r="W137" s="85">
        <f t="shared" si="38"/>
        <v>1749999.9999999998</v>
      </c>
      <c r="X137" s="85">
        <f t="shared" si="38"/>
        <v>1749999.9999999998</v>
      </c>
      <c r="Y137" s="85">
        <f t="shared" si="38"/>
        <v>1749999.9999999998</v>
      </c>
      <c r="Z137" s="85">
        <f t="shared" si="38"/>
        <v>1749999.9999999998</v>
      </c>
      <c r="AA137" s="85">
        <f t="shared" si="38"/>
        <v>1749999.9999999998</v>
      </c>
      <c r="AB137" s="85">
        <f t="shared" si="38"/>
        <v>1749999.9999999998</v>
      </c>
      <c r="AC137" s="85">
        <f t="shared" si="38"/>
        <v>1749999.9999999998</v>
      </c>
      <c r="AD137" s="85">
        <f t="shared" si="38"/>
        <v>1749999.9999999998</v>
      </c>
      <c r="AE137" s="85">
        <f t="shared" si="38"/>
        <v>1749999.9999999998</v>
      </c>
      <c r="AF137" s="85">
        <f t="shared" si="38"/>
        <v>1749999.9999999998</v>
      </c>
    </row>
    <row r="138" spans="2:32" ht="13.8">
      <c r="B138" s="304" t="s">
        <v>386</v>
      </c>
      <c r="C138" s="85">
        <f>IF(AND($B$117=penz_fennt_n,$C$127=Háttér_listák!$B$3),C121,0)</f>
        <v>0</v>
      </c>
      <c r="D138" s="85">
        <f>IF(AND($B$117=penz_fennt_n,$C$127=Háttér_listák!$B$3),D121,0)</f>
        <v>0</v>
      </c>
      <c r="E138" s="85">
        <f>IF(AND($B$117=penz_fennt_n,$C$127=Háttér_listák!$B$3),E121,0)</f>
        <v>0</v>
      </c>
      <c r="F138" s="85">
        <f>IF(AND($B$117=penz_fennt_n,$C$127=Háttér_listák!$B$3),F121,0)</f>
        <v>0</v>
      </c>
      <c r="G138" s="85">
        <f>IF(AND($B$117=penz_fennt_n,$C$127=Háttér_listák!$B$3),G121,0)</f>
        <v>0</v>
      </c>
      <c r="H138" s="85">
        <f>IF(AND($B$117=penz_fennt_n,$C$127=Háttér_listák!$B$3),H121,0)</f>
        <v>0</v>
      </c>
      <c r="I138" s="85">
        <f>IF(AND($B$117=penz_fennt_n,$C$127=Háttér_listák!$B$3),I121,0)</f>
        <v>0</v>
      </c>
      <c r="J138" s="85">
        <f>IF(AND($B$117=penz_fennt_n,$C$127=Háttér_listák!$B$3),J121,0)</f>
        <v>0</v>
      </c>
      <c r="K138" s="85">
        <f>IF(AND($B$117=penz_fennt_n,$C$127=Háttér_listák!$B$3),K121,0)</f>
        <v>0</v>
      </c>
      <c r="L138" s="85">
        <f>IF(AND($B$117=penz_fennt_n,$C$127=Háttér_listák!$B$3),L121,0)</f>
        <v>0</v>
      </c>
      <c r="M138" s="85">
        <f>IF(AND($B$117=penz_fennt_n,$C$127=Háttér_listák!$B$3),M121,0)</f>
        <v>0</v>
      </c>
      <c r="N138" s="85">
        <f>IF(AND($B$117=penz_fennt_n,$C$127=Háttér_listák!$B$3),N121,0)</f>
        <v>0</v>
      </c>
      <c r="O138" s="85">
        <f>IF(AND($B$117=penz_fennt_n,$C$127=Háttér_listák!$B$3),O121,0)</f>
        <v>0</v>
      </c>
      <c r="P138" s="85">
        <f>IF(AND($B$117=penz_fennt_n,$C$127=Háttér_listák!$B$3),P121,0)</f>
        <v>0</v>
      </c>
      <c r="Q138" s="85">
        <f>IF(AND($B$117=penz_fennt_n,$C$127=Háttér_listák!$B$3),Q121,0)</f>
        <v>0</v>
      </c>
      <c r="R138" s="85">
        <f>IF(AND($B$117=penz_fennt_n,$C$127=Háttér_listák!$B$3),R121,0)</f>
        <v>0</v>
      </c>
      <c r="S138" s="85">
        <f>IF(AND($B$117=penz_fennt_n,$C$127=Háttér_listák!$B$3),S121,0)</f>
        <v>0</v>
      </c>
      <c r="T138" s="85">
        <f>IF(AND($B$117=penz_fennt_n,$C$127=Háttér_listák!$B$3),T121,0)</f>
        <v>0</v>
      </c>
      <c r="U138" s="85">
        <f>IF(AND($B$117=penz_fennt_n,$C$127=Háttér_listák!$B$3),U121,0)</f>
        <v>0</v>
      </c>
      <c r="V138" s="85">
        <f>IF(AND($B$117=penz_fennt_n,$C$127=Háttér_listák!$B$3),V121,0)</f>
        <v>0</v>
      </c>
      <c r="W138" s="85">
        <f>IF(AND($B$117=penz_fennt_n,$C$127=Háttér_listák!$B$3),W121,0)</f>
        <v>0</v>
      </c>
      <c r="X138" s="85">
        <f>IF(AND($B$117=penz_fennt_n,$C$127=Háttér_listák!$B$3),X121,0)</f>
        <v>0</v>
      </c>
      <c r="Y138" s="85">
        <f>IF(AND($B$117=penz_fennt_n,$C$127=Háttér_listák!$B$3),Y121,0)</f>
        <v>0</v>
      </c>
      <c r="Z138" s="85">
        <f>IF(AND($B$117=penz_fennt_n,$C$127=Háttér_listák!$B$3),Z121,0)</f>
        <v>0</v>
      </c>
      <c r="AA138" s="85">
        <f>IF(AND($B$117=penz_fennt_n,$C$127=Háttér_listák!$B$3),AA121,0)</f>
        <v>0</v>
      </c>
      <c r="AB138" s="85">
        <f>IF(AND($B$117=penz_fennt_n,$C$127=Háttér_listák!$B$3),AB121,0)</f>
        <v>0</v>
      </c>
      <c r="AC138" s="85">
        <f>IF(AND($B$117=penz_fennt_n,$C$127=Háttér_listák!$B$3),AC121,0)</f>
        <v>0</v>
      </c>
      <c r="AD138" s="85">
        <f>IF(AND($B$117=penz_fennt_n,$C$127=Háttér_listák!$B$3),AD121,0)</f>
        <v>0</v>
      </c>
      <c r="AE138" s="85">
        <f>IF(AND($B$117=penz_fennt_n,$C$127=Háttér_listák!$B$3),AE121,0)</f>
        <v>0</v>
      </c>
      <c r="AF138" s="85">
        <f>IF(AND($B$117=penz_fennt_n,$C$127=Háttér_listák!$B$3),AF121,0)</f>
        <v>0</v>
      </c>
    </row>
    <row r="139" spans="2:32" ht="13.8">
      <c r="B139" s="304" t="s">
        <v>387</v>
      </c>
      <c r="C139" s="85">
        <f>E20*$E$103*Háttér_listák!$C$150</f>
        <v>335755029.02417094</v>
      </c>
      <c r="D139" s="85">
        <f>F20*$E$103*Háttér_listák!$C$150</f>
        <v>0</v>
      </c>
      <c r="E139" s="85">
        <f>G20*$E$103*Háttér_listák!$C$150</f>
        <v>0</v>
      </c>
      <c r="F139" s="85">
        <f>H20*$E$103*Háttér_listák!$C$150</f>
        <v>0</v>
      </c>
      <c r="G139" s="85">
        <f>I20*$E$103*Háttér_listák!$C$150</f>
        <v>0</v>
      </c>
      <c r="H139" s="85">
        <v>0</v>
      </c>
      <c r="I139" s="85">
        <v>0</v>
      </c>
      <c r="J139" s="85">
        <v>0</v>
      </c>
      <c r="K139" s="85">
        <v>0</v>
      </c>
      <c r="L139" s="85">
        <v>0</v>
      </c>
      <c r="M139" s="85">
        <v>0</v>
      </c>
      <c r="N139" s="85">
        <v>0</v>
      </c>
      <c r="O139" s="85">
        <v>0</v>
      </c>
      <c r="P139" s="85">
        <v>0</v>
      </c>
      <c r="Q139" s="85">
        <v>0</v>
      </c>
      <c r="R139" s="85">
        <v>0</v>
      </c>
      <c r="S139" s="85">
        <v>0</v>
      </c>
      <c r="T139" s="85">
        <v>0</v>
      </c>
      <c r="U139" s="85">
        <v>0</v>
      </c>
      <c r="V139" s="85">
        <v>0</v>
      </c>
      <c r="W139" s="85">
        <v>0</v>
      </c>
      <c r="X139" s="85">
        <v>0</v>
      </c>
      <c r="Y139" s="85">
        <v>0</v>
      </c>
      <c r="Z139" s="85">
        <v>0</v>
      </c>
      <c r="AA139" s="85">
        <v>0</v>
      </c>
      <c r="AB139" s="85">
        <v>0</v>
      </c>
      <c r="AC139" s="85">
        <v>0</v>
      </c>
      <c r="AD139" s="85">
        <v>0</v>
      </c>
      <c r="AE139" s="85">
        <v>0</v>
      </c>
      <c r="AF139" s="85">
        <v>0</v>
      </c>
    </row>
    <row r="140" spans="2:32" ht="13.8">
      <c r="B140" s="306" t="s">
        <v>388</v>
      </c>
      <c r="C140" s="98">
        <f t="shared" ref="C140:AF140" si="39">SUM(C141:C142)</f>
        <v>147749739.97582906</v>
      </c>
      <c r="D140" s="98">
        <f t="shared" si="39"/>
        <v>0</v>
      </c>
      <c r="E140" s="98">
        <f t="shared" si="39"/>
        <v>0</v>
      </c>
      <c r="F140" s="98">
        <f t="shared" si="39"/>
        <v>0</v>
      </c>
      <c r="G140" s="98">
        <f t="shared" si="39"/>
        <v>0</v>
      </c>
      <c r="H140" s="98">
        <f t="shared" si="39"/>
        <v>0</v>
      </c>
      <c r="I140" s="98">
        <f t="shared" si="39"/>
        <v>0</v>
      </c>
      <c r="J140" s="98">
        <f t="shared" si="39"/>
        <v>0</v>
      </c>
      <c r="K140" s="98">
        <f t="shared" si="39"/>
        <v>0</v>
      </c>
      <c r="L140" s="98">
        <f t="shared" si="39"/>
        <v>0</v>
      </c>
      <c r="M140" s="98">
        <f t="shared" si="39"/>
        <v>0</v>
      </c>
      <c r="N140" s="98">
        <f t="shared" si="39"/>
        <v>0</v>
      </c>
      <c r="O140" s="98">
        <f t="shared" si="39"/>
        <v>0</v>
      </c>
      <c r="P140" s="98">
        <f t="shared" si="39"/>
        <v>0</v>
      </c>
      <c r="Q140" s="98">
        <f t="shared" si="39"/>
        <v>0</v>
      </c>
      <c r="R140" s="98">
        <f t="shared" si="39"/>
        <v>0</v>
      </c>
      <c r="S140" s="98">
        <f t="shared" si="39"/>
        <v>0</v>
      </c>
      <c r="T140" s="98">
        <f t="shared" si="39"/>
        <v>0</v>
      </c>
      <c r="U140" s="98">
        <f t="shared" si="39"/>
        <v>0</v>
      </c>
      <c r="V140" s="98">
        <f t="shared" si="39"/>
        <v>0</v>
      </c>
      <c r="W140" s="98">
        <f t="shared" si="39"/>
        <v>0</v>
      </c>
      <c r="X140" s="98">
        <f t="shared" si="39"/>
        <v>0</v>
      </c>
      <c r="Y140" s="98">
        <f t="shared" si="39"/>
        <v>0</v>
      </c>
      <c r="Z140" s="98">
        <f t="shared" si="39"/>
        <v>0</v>
      </c>
      <c r="AA140" s="98">
        <f t="shared" si="39"/>
        <v>0</v>
      </c>
      <c r="AB140" s="98">
        <f t="shared" si="39"/>
        <v>0</v>
      </c>
      <c r="AC140" s="98">
        <f t="shared" si="39"/>
        <v>0</v>
      </c>
      <c r="AD140" s="98">
        <f t="shared" si="39"/>
        <v>0</v>
      </c>
      <c r="AE140" s="98">
        <f t="shared" si="39"/>
        <v>0</v>
      </c>
      <c r="AF140" s="98">
        <f t="shared" si="39"/>
        <v>0</v>
      </c>
    </row>
    <row r="141" spans="2:32" ht="13.8">
      <c r="B141" s="304" t="s">
        <v>389</v>
      </c>
      <c r="C141" s="85">
        <f>C131-C139</f>
        <v>147749739.97582906</v>
      </c>
      <c r="D141" s="85">
        <f t="shared" ref="D141:AF141" si="40">D131-D139</f>
        <v>0</v>
      </c>
      <c r="E141" s="85">
        <f t="shared" si="40"/>
        <v>0</v>
      </c>
      <c r="F141" s="85">
        <f t="shared" si="40"/>
        <v>0</v>
      </c>
      <c r="G141" s="85">
        <f t="shared" si="40"/>
        <v>0</v>
      </c>
      <c r="H141" s="85">
        <f t="shared" si="40"/>
        <v>0</v>
      </c>
      <c r="I141" s="85">
        <f t="shared" si="40"/>
        <v>0</v>
      </c>
      <c r="J141" s="85">
        <f t="shared" si="40"/>
        <v>0</v>
      </c>
      <c r="K141" s="85">
        <f t="shared" si="40"/>
        <v>0</v>
      </c>
      <c r="L141" s="85">
        <f t="shared" si="40"/>
        <v>0</v>
      </c>
      <c r="M141" s="85">
        <f t="shared" si="40"/>
        <v>0</v>
      </c>
      <c r="N141" s="85">
        <f t="shared" si="40"/>
        <v>0</v>
      </c>
      <c r="O141" s="85">
        <f t="shared" si="40"/>
        <v>0</v>
      </c>
      <c r="P141" s="85">
        <f t="shared" si="40"/>
        <v>0</v>
      </c>
      <c r="Q141" s="85">
        <f t="shared" si="40"/>
        <v>0</v>
      </c>
      <c r="R141" s="85">
        <f t="shared" si="40"/>
        <v>0</v>
      </c>
      <c r="S141" s="85">
        <f t="shared" si="40"/>
        <v>0</v>
      </c>
      <c r="T141" s="85">
        <f t="shared" si="40"/>
        <v>0</v>
      </c>
      <c r="U141" s="85">
        <f t="shared" si="40"/>
        <v>0</v>
      </c>
      <c r="V141" s="85">
        <f t="shared" si="40"/>
        <v>0</v>
      </c>
      <c r="W141" s="85">
        <f t="shared" si="40"/>
        <v>0</v>
      </c>
      <c r="X141" s="85">
        <f t="shared" si="40"/>
        <v>0</v>
      </c>
      <c r="Y141" s="85">
        <f t="shared" si="40"/>
        <v>0</v>
      </c>
      <c r="Z141" s="85">
        <f t="shared" si="40"/>
        <v>0</v>
      </c>
      <c r="AA141" s="85">
        <f t="shared" si="40"/>
        <v>0</v>
      </c>
      <c r="AB141" s="85">
        <f t="shared" si="40"/>
        <v>0</v>
      </c>
      <c r="AC141" s="85">
        <f t="shared" si="40"/>
        <v>0</v>
      </c>
      <c r="AD141" s="85">
        <f t="shared" si="40"/>
        <v>0</v>
      </c>
      <c r="AE141" s="85">
        <f t="shared" si="40"/>
        <v>0</v>
      </c>
      <c r="AF141" s="85">
        <f t="shared" si="40"/>
        <v>0</v>
      </c>
    </row>
    <row r="142" spans="2:32" ht="13.8">
      <c r="B142" s="306" t="s">
        <v>390</v>
      </c>
      <c r="C142" s="99">
        <f t="shared" ref="C142:AF142" si="41">SUM(C143:C144)</f>
        <v>0</v>
      </c>
      <c r="D142" s="99">
        <f t="shared" si="41"/>
        <v>0</v>
      </c>
      <c r="E142" s="99">
        <f t="shared" si="41"/>
        <v>0</v>
      </c>
      <c r="F142" s="99">
        <f t="shared" si="41"/>
        <v>0</v>
      </c>
      <c r="G142" s="99">
        <f t="shared" si="41"/>
        <v>0</v>
      </c>
      <c r="H142" s="99">
        <f t="shared" si="41"/>
        <v>0</v>
      </c>
      <c r="I142" s="99">
        <f t="shared" si="41"/>
        <v>0</v>
      </c>
      <c r="J142" s="99">
        <f t="shared" si="41"/>
        <v>0</v>
      </c>
      <c r="K142" s="99">
        <f t="shared" si="41"/>
        <v>0</v>
      </c>
      <c r="L142" s="99">
        <f t="shared" si="41"/>
        <v>0</v>
      </c>
      <c r="M142" s="99">
        <f t="shared" si="41"/>
        <v>0</v>
      </c>
      <c r="N142" s="99">
        <f t="shared" si="41"/>
        <v>0</v>
      </c>
      <c r="O142" s="99">
        <f t="shared" si="41"/>
        <v>0</v>
      </c>
      <c r="P142" s="99">
        <f t="shared" si="41"/>
        <v>0</v>
      </c>
      <c r="Q142" s="99">
        <f t="shared" si="41"/>
        <v>0</v>
      </c>
      <c r="R142" s="99">
        <f t="shared" si="41"/>
        <v>0</v>
      </c>
      <c r="S142" s="99">
        <f t="shared" si="41"/>
        <v>0</v>
      </c>
      <c r="T142" s="99">
        <f t="shared" si="41"/>
        <v>0</v>
      </c>
      <c r="U142" s="99">
        <f t="shared" si="41"/>
        <v>0</v>
      </c>
      <c r="V142" s="99">
        <f t="shared" si="41"/>
        <v>0</v>
      </c>
      <c r="W142" s="99">
        <f t="shared" si="41"/>
        <v>0</v>
      </c>
      <c r="X142" s="99">
        <f t="shared" si="41"/>
        <v>0</v>
      </c>
      <c r="Y142" s="99">
        <f t="shared" si="41"/>
        <v>0</v>
      </c>
      <c r="Z142" s="99">
        <f t="shared" si="41"/>
        <v>0</v>
      </c>
      <c r="AA142" s="99">
        <f t="shared" si="41"/>
        <v>0</v>
      </c>
      <c r="AB142" s="99">
        <f t="shared" si="41"/>
        <v>0</v>
      </c>
      <c r="AC142" s="99">
        <f t="shared" si="41"/>
        <v>0</v>
      </c>
      <c r="AD142" s="99">
        <f t="shared" si="41"/>
        <v>0</v>
      </c>
      <c r="AE142" s="99">
        <f t="shared" si="41"/>
        <v>0</v>
      </c>
      <c r="AF142" s="99">
        <f t="shared" si="41"/>
        <v>0</v>
      </c>
    </row>
    <row r="143" spans="2:32" ht="13.8">
      <c r="B143" s="304" t="s">
        <v>391</v>
      </c>
      <c r="C143" s="85">
        <f t="shared" ref="C143:AF143" si="42">E76</f>
        <v>0</v>
      </c>
      <c r="D143" s="85">
        <f t="shared" si="42"/>
        <v>0</v>
      </c>
      <c r="E143" s="85">
        <f t="shared" si="42"/>
        <v>0</v>
      </c>
      <c r="F143" s="85">
        <f t="shared" si="42"/>
        <v>0</v>
      </c>
      <c r="G143" s="85">
        <f t="shared" si="42"/>
        <v>0</v>
      </c>
      <c r="H143" s="85">
        <f t="shared" si="42"/>
        <v>0</v>
      </c>
      <c r="I143" s="85">
        <f t="shared" si="42"/>
        <v>0</v>
      </c>
      <c r="J143" s="85">
        <f t="shared" si="42"/>
        <v>0</v>
      </c>
      <c r="K143" s="85">
        <f t="shared" si="42"/>
        <v>0</v>
      </c>
      <c r="L143" s="85">
        <f t="shared" si="42"/>
        <v>0</v>
      </c>
      <c r="M143" s="85">
        <f t="shared" si="42"/>
        <v>0</v>
      </c>
      <c r="N143" s="85">
        <f t="shared" si="42"/>
        <v>0</v>
      </c>
      <c r="O143" s="85">
        <f t="shared" si="42"/>
        <v>0</v>
      </c>
      <c r="P143" s="85">
        <f t="shared" si="42"/>
        <v>0</v>
      </c>
      <c r="Q143" s="85">
        <f t="shared" si="42"/>
        <v>0</v>
      </c>
      <c r="R143" s="85">
        <f t="shared" si="42"/>
        <v>0</v>
      </c>
      <c r="S143" s="85">
        <f t="shared" si="42"/>
        <v>0</v>
      </c>
      <c r="T143" s="85">
        <f t="shared" si="42"/>
        <v>0</v>
      </c>
      <c r="U143" s="85">
        <f t="shared" si="42"/>
        <v>0</v>
      </c>
      <c r="V143" s="85">
        <f t="shared" si="42"/>
        <v>0</v>
      </c>
      <c r="W143" s="85">
        <f t="shared" si="42"/>
        <v>0</v>
      </c>
      <c r="X143" s="85">
        <f t="shared" si="42"/>
        <v>0</v>
      </c>
      <c r="Y143" s="85">
        <f t="shared" si="42"/>
        <v>0</v>
      </c>
      <c r="Z143" s="85">
        <f t="shared" si="42"/>
        <v>0</v>
      </c>
      <c r="AA143" s="85">
        <f t="shared" si="42"/>
        <v>0</v>
      </c>
      <c r="AB143" s="85">
        <f t="shared" si="42"/>
        <v>0</v>
      </c>
      <c r="AC143" s="85">
        <f t="shared" si="42"/>
        <v>0</v>
      </c>
      <c r="AD143" s="85">
        <f t="shared" si="42"/>
        <v>0</v>
      </c>
      <c r="AE143" s="85">
        <f t="shared" si="42"/>
        <v>0</v>
      </c>
      <c r="AF143" s="85">
        <f t="shared" si="42"/>
        <v>0</v>
      </c>
    </row>
    <row r="144" spans="2:32" ht="13.8">
      <c r="B144" s="306" t="s">
        <v>392</v>
      </c>
      <c r="C144" s="99">
        <f t="shared" ref="C144:AF144" si="43">SUM(C145:C146)</f>
        <v>0</v>
      </c>
      <c r="D144" s="99">
        <f t="shared" si="43"/>
        <v>0</v>
      </c>
      <c r="E144" s="99">
        <f t="shared" si="43"/>
        <v>0</v>
      </c>
      <c r="F144" s="99">
        <f t="shared" si="43"/>
        <v>0</v>
      </c>
      <c r="G144" s="99">
        <f t="shared" si="43"/>
        <v>0</v>
      </c>
      <c r="H144" s="99">
        <f t="shared" si="43"/>
        <v>0</v>
      </c>
      <c r="I144" s="99">
        <f t="shared" si="43"/>
        <v>0</v>
      </c>
      <c r="J144" s="99">
        <f t="shared" si="43"/>
        <v>0</v>
      </c>
      <c r="K144" s="99">
        <f t="shared" si="43"/>
        <v>0</v>
      </c>
      <c r="L144" s="99">
        <f t="shared" si="43"/>
        <v>0</v>
      </c>
      <c r="M144" s="99">
        <f t="shared" si="43"/>
        <v>0</v>
      </c>
      <c r="N144" s="99">
        <f t="shared" si="43"/>
        <v>0</v>
      </c>
      <c r="O144" s="99">
        <f t="shared" si="43"/>
        <v>0</v>
      </c>
      <c r="P144" s="99">
        <f t="shared" si="43"/>
        <v>0</v>
      </c>
      <c r="Q144" s="99">
        <f t="shared" si="43"/>
        <v>0</v>
      </c>
      <c r="R144" s="99">
        <f t="shared" si="43"/>
        <v>0</v>
      </c>
      <c r="S144" s="99">
        <f t="shared" si="43"/>
        <v>0</v>
      </c>
      <c r="T144" s="99">
        <f t="shared" si="43"/>
        <v>0</v>
      </c>
      <c r="U144" s="99">
        <f t="shared" si="43"/>
        <v>0</v>
      </c>
      <c r="V144" s="99">
        <f t="shared" si="43"/>
        <v>0</v>
      </c>
      <c r="W144" s="99">
        <f t="shared" si="43"/>
        <v>0</v>
      </c>
      <c r="X144" s="99">
        <f t="shared" si="43"/>
        <v>0</v>
      </c>
      <c r="Y144" s="99">
        <f t="shared" si="43"/>
        <v>0</v>
      </c>
      <c r="Z144" s="99">
        <f t="shared" si="43"/>
        <v>0</v>
      </c>
      <c r="AA144" s="99">
        <f t="shared" si="43"/>
        <v>0</v>
      </c>
      <c r="AB144" s="99">
        <f t="shared" si="43"/>
        <v>0</v>
      </c>
      <c r="AC144" s="99">
        <f t="shared" si="43"/>
        <v>0</v>
      </c>
      <c r="AD144" s="99">
        <f t="shared" si="43"/>
        <v>0</v>
      </c>
      <c r="AE144" s="99">
        <f t="shared" si="43"/>
        <v>0</v>
      </c>
      <c r="AF144" s="99">
        <f t="shared" si="43"/>
        <v>0</v>
      </c>
    </row>
    <row r="145" spans="2:32" ht="13.8">
      <c r="B145" s="304" t="s">
        <v>393</v>
      </c>
      <c r="C145" s="85">
        <f t="shared" ref="C145:AF145" si="44">E77</f>
        <v>0</v>
      </c>
      <c r="D145" s="85">
        <f t="shared" si="44"/>
        <v>0</v>
      </c>
      <c r="E145" s="85">
        <f t="shared" si="44"/>
        <v>0</v>
      </c>
      <c r="F145" s="85">
        <f t="shared" si="44"/>
        <v>0</v>
      </c>
      <c r="G145" s="85">
        <f t="shared" si="44"/>
        <v>0</v>
      </c>
      <c r="H145" s="85">
        <f t="shared" si="44"/>
        <v>0</v>
      </c>
      <c r="I145" s="85">
        <f t="shared" si="44"/>
        <v>0</v>
      </c>
      <c r="J145" s="85">
        <f t="shared" si="44"/>
        <v>0</v>
      </c>
      <c r="K145" s="85">
        <f t="shared" si="44"/>
        <v>0</v>
      </c>
      <c r="L145" s="85">
        <f t="shared" si="44"/>
        <v>0</v>
      </c>
      <c r="M145" s="85">
        <f t="shared" si="44"/>
        <v>0</v>
      </c>
      <c r="N145" s="85">
        <f t="shared" si="44"/>
        <v>0</v>
      </c>
      <c r="O145" s="85">
        <f t="shared" si="44"/>
        <v>0</v>
      </c>
      <c r="P145" s="85">
        <f t="shared" si="44"/>
        <v>0</v>
      </c>
      <c r="Q145" s="85">
        <f t="shared" si="44"/>
        <v>0</v>
      </c>
      <c r="R145" s="85">
        <f t="shared" si="44"/>
        <v>0</v>
      </c>
      <c r="S145" s="85">
        <f t="shared" si="44"/>
        <v>0</v>
      </c>
      <c r="T145" s="85">
        <f t="shared" si="44"/>
        <v>0</v>
      </c>
      <c r="U145" s="85">
        <f t="shared" si="44"/>
        <v>0</v>
      </c>
      <c r="V145" s="85">
        <f t="shared" si="44"/>
        <v>0</v>
      </c>
      <c r="W145" s="85">
        <f t="shared" si="44"/>
        <v>0</v>
      </c>
      <c r="X145" s="85">
        <f t="shared" si="44"/>
        <v>0</v>
      </c>
      <c r="Y145" s="85">
        <f t="shared" si="44"/>
        <v>0</v>
      </c>
      <c r="Z145" s="85">
        <f t="shared" si="44"/>
        <v>0</v>
      </c>
      <c r="AA145" s="85">
        <f t="shared" si="44"/>
        <v>0</v>
      </c>
      <c r="AB145" s="85">
        <f t="shared" si="44"/>
        <v>0</v>
      </c>
      <c r="AC145" s="85">
        <f t="shared" si="44"/>
        <v>0</v>
      </c>
      <c r="AD145" s="85">
        <f t="shared" si="44"/>
        <v>0</v>
      </c>
      <c r="AE145" s="85">
        <f t="shared" si="44"/>
        <v>0</v>
      </c>
      <c r="AF145" s="85">
        <f t="shared" si="44"/>
        <v>0</v>
      </c>
    </row>
    <row r="146" spans="2:32" ht="13.8">
      <c r="B146" s="304" t="s">
        <v>394</v>
      </c>
      <c r="C146" s="85">
        <f t="shared" ref="C146:AF146" si="45">E80</f>
        <v>0</v>
      </c>
      <c r="D146" s="85">
        <f t="shared" si="45"/>
        <v>0</v>
      </c>
      <c r="E146" s="85">
        <f t="shared" si="45"/>
        <v>0</v>
      </c>
      <c r="F146" s="85">
        <f t="shared" si="45"/>
        <v>0</v>
      </c>
      <c r="G146" s="85">
        <f t="shared" si="45"/>
        <v>0</v>
      </c>
      <c r="H146" s="85">
        <f t="shared" si="45"/>
        <v>0</v>
      </c>
      <c r="I146" s="85">
        <f t="shared" si="45"/>
        <v>0</v>
      </c>
      <c r="J146" s="85">
        <f t="shared" si="45"/>
        <v>0</v>
      </c>
      <c r="K146" s="85">
        <f t="shared" si="45"/>
        <v>0</v>
      </c>
      <c r="L146" s="85">
        <f t="shared" si="45"/>
        <v>0</v>
      </c>
      <c r="M146" s="85">
        <f t="shared" si="45"/>
        <v>0</v>
      </c>
      <c r="N146" s="85">
        <f t="shared" si="45"/>
        <v>0</v>
      </c>
      <c r="O146" s="85">
        <f t="shared" si="45"/>
        <v>0</v>
      </c>
      <c r="P146" s="85">
        <f t="shared" si="45"/>
        <v>0</v>
      </c>
      <c r="Q146" s="85">
        <f t="shared" si="45"/>
        <v>0</v>
      </c>
      <c r="R146" s="85">
        <f t="shared" si="45"/>
        <v>0</v>
      </c>
      <c r="S146" s="85">
        <f t="shared" si="45"/>
        <v>0</v>
      </c>
      <c r="T146" s="85">
        <f t="shared" si="45"/>
        <v>0</v>
      </c>
      <c r="U146" s="85">
        <f t="shared" si="45"/>
        <v>0</v>
      </c>
      <c r="V146" s="85">
        <f t="shared" si="45"/>
        <v>0</v>
      </c>
      <c r="W146" s="85">
        <f t="shared" si="45"/>
        <v>0</v>
      </c>
      <c r="X146" s="85">
        <f t="shared" si="45"/>
        <v>0</v>
      </c>
      <c r="Y146" s="85">
        <f t="shared" si="45"/>
        <v>0</v>
      </c>
      <c r="Z146" s="85">
        <f t="shared" si="45"/>
        <v>0</v>
      </c>
      <c r="AA146" s="85">
        <f t="shared" si="45"/>
        <v>0</v>
      </c>
      <c r="AB146" s="85">
        <f t="shared" si="45"/>
        <v>0</v>
      </c>
      <c r="AC146" s="85">
        <f t="shared" si="45"/>
        <v>0</v>
      </c>
      <c r="AD146" s="85">
        <f t="shared" si="45"/>
        <v>0</v>
      </c>
      <c r="AE146" s="85">
        <f t="shared" si="45"/>
        <v>0</v>
      </c>
      <c r="AF146" s="85">
        <f t="shared" si="45"/>
        <v>0</v>
      </c>
    </row>
    <row r="147" spans="2:32" ht="13.8">
      <c r="B147" s="304" t="s">
        <v>395</v>
      </c>
      <c r="C147" s="85">
        <f t="shared" ref="C147:AF147" si="46">E91</f>
        <v>0</v>
      </c>
      <c r="D147" s="85">
        <f t="shared" si="46"/>
        <v>0</v>
      </c>
      <c r="E147" s="85">
        <f t="shared" si="46"/>
        <v>0</v>
      </c>
      <c r="F147" s="85">
        <f t="shared" si="46"/>
        <v>0</v>
      </c>
      <c r="G147" s="85">
        <f t="shared" si="46"/>
        <v>0</v>
      </c>
      <c r="H147" s="85">
        <f t="shared" si="46"/>
        <v>0</v>
      </c>
      <c r="I147" s="85">
        <f t="shared" si="46"/>
        <v>0</v>
      </c>
      <c r="J147" s="85">
        <f t="shared" si="46"/>
        <v>0</v>
      </c>
      <c r="K147" s="85">
        <f t="shared" si="46"/>
        <v>0</v>
      </c>
      <c r="L147" s="85">
        <f t="shared" si="46"/>
        <v>0</v>
      </c>
      <c r="M147" s="85">
        <f t="shared" si="46"/>
        <v>0</v>
      </c>
      <c r="N147" s="85">
        <f t="shared" si="46"/>
        <v>0</v>
      </c>
      <c r="O147" s="85">
        <f t="shared" si="46"/>
        <v>0</v>
      </c>
      <c r="P147" s="85">
        <f t="shared" si="46"/>
        <v>0</v>
      </c>
      <c r="Q147" s="85">
        <f t="shared" si="46"/>
        <v>0</v>
      </c>
      <c r="R147" s="85">
        <f t="shared" si="46"/>
        <v>0</v>
      </c>
      <c r="S147" s="85">
        <f t="shared" si="46"/>
        <v>0</v>
      </c>
      <c r="T147" s="85">
        <f t="shared" si="46"/>
        <v>0</v>
      </c>
      <c r="U147" s="85">
        <f t="shared" si="46"/>
        <v>0</v>
      </c>
      <c r="V147" s="85">
        <f t="shared" si="46"/>
        <v>130900000</v>
      </c>
      <c r="W147" s="85">
        <f t="shared" si="46"/>
        <v>0</v>
      </c>
      <c r="X147" s="85">
        <f t="shared" si="46"/>
        <v>0</v>
      </c>
      <c r="Y147" s="85">
        <f t="shared" si="46"/>
        <v>0</v>
      </c>
      <c r="Z147" s="85">
        <f t="shared" si="46"/>
        <v>0</v>
      </c>
      <c r="AA147" s="85">
        <f t="shared" si="46"/>
        <v>0</v>
      </c>
      <c r="AB147" s="85">
        <f t="shared" si="46"/>
        <v>0</v>
      </c>
      <c r="AC147" s="85">
        <f t="shared" si="46"/>
        <v>0</v>
      </c>
      <c r="AD147" s="85">
        <f t="shared" si="46"/>
        <v>0</v>
      </c>
      <c r="AE147" s="85">
        <f t="shared" si="46"/>
        <v>0</v>
      </c>
      <c r="AF147" s="85">
        <f t="shared" si="46"/>
        <v>0</v>
      </c>
    </row>
    <row r="148" spans="2:32" ht="13.8">
      <c r="B148" s="305" t="s">
        <v>396</v>
      </c>
      <c r="C148" s="94">
        <f t="shared" ref="C148:AF148" si="47">SUM(C137:C140)</f>
        <v>483504769</v>
      </c>
      <c r="D148" s="94">
        <f t="shared" si="47"/>
        <v>1749999.9999999998</v>
      </c>
      <c r="E148" s="94">
        <f t="shared" si="47"/>
        <v>1749999.9999999998</v>
      </c>
      <c r="F148" s="94">
        <f t="shared" si="47"/>
        <v>1749999.9999999998</v>
      </c>
      <c r="G148" s="94">
        <f t="shared" si="47"/>
        <v>1749999.9999999998</v>
      </c>
      <c r="H148" s="94">
        <f t="shared" si="47"/>
        <v>1749999.9999999998</v>
      </c>
      <c r="I148" s="94">
        <f t="shared" si="47"/>
        <v>1749999.9999999998</v>
      </c>
      <c r="J148" s="94">
        <f t="shared" si="47"/>
        <v>1749999.9999999998</v>
      </c>
      <c r="K148" s="94">
        <f t="shared" si="47"/>
        <v>1749999.9999999998</v>
      </c>
      <c r="L148" s="94">
        <f t="shared" si="47"/>
        <v>1749999.9999999998</v>
      </c>
      <c r="M148" s="94">
        <f t="shared" si="47"/>
        <v>1749999.9999999998</v>
      </c>
      <c r="N148" s="94">
        <f t="shared" si="47"/>
        <v>1749999.9999999998</v>
      </c>
      <c r="O148" s="94">
        <f t="shared" si="47"/>
        <v>1749999.9999999998</v>
      </c>
      <c r="P148" s="94">
        <f t="shared" si="47"/>
        <v>1749999.9999999998</v>
      </c>
      <c r="Q148" s="94">
        <f t="shared" si="47"/>
        <v>1749999.9999999998</v>
      </c>
      <c r="R148" s="94">
        <f t="shared" si="47"/>
        <v>1749999.9999999998</v>
      </c>
      <c r="S148" s="94">
        <f t="shared" si="47"/>
        <v>1749999.9999999998</v>
      </c>
      <c r="T148" s="94">
        <f t="shared" si="47"/>
        <v>1749999.9999999998</v>
      </c>
      <c r="U148" s="94">
        <f t="shared" si="47"/>
        <v>1749999.9999999998</v>
      </c>
      <c r="V148" s="94">
        <f t="shared" si="47"/>
        <v>1749999.9999999998</v>
      </c>
      <c r="W148" s="94">
        <f t="shared" si="47"/>
        <v>1749999.9999999998</v>
      </c>
      <c r="X148" s="94">
        <f t="shared" si="47"/>
        <v>1749999.9999999998</v>
      </c>
      <c r="Y148" s="94">
        <f t="shared" si="47"/>
        <v>1749999.9999999998</v>
      </c>
      <c r="Z148" s="94">
        <f t="shared" si="47"/>
        <v>1749999.9999999998</v>
      </c>
      <c r="AA148" s="94">
        <f t="shared" si="47"/>
        <v>1749999.9999999998</v>
      </c>
      <c r="AB148" s="94">
        <f t="shared" si="47"/>
        <v>1749999.9999999998</v>
      </c>
      <c r="AC148" s="94">
        <f t="shared" si="47"/>
        <v>1749999.9999999998</v>
      </c>
      <c r="AD148" s="94">
        <f t="shared" si="47"/>
        <v>1749999.9999999998</v>
      </c>
      <c r="AE148" s="94">
        <f t="shared" si="47"/>
        <v>1749999.9999999998</v>
      </c>
      <c r="AF148" s="94">
        <f t="shared" si="47"/>
        <v>1749999.9999999998</v>
      </c>
    </row>
    <row r="149" spans="2:32" ht="30" customHeight="1">
      <c r="B149" s="305" t="s">
        <v>397</v>
      </c>
      <c r="C149" s="94">
        <f t="shared" ref="C149:AF149" si="48">C148-C136</f>
        <v>0</v>
      </c>
      <c r="D149" s="94">
        <f t="shared" si="48"/>
        <v>1299959.4860159182</v>
      </c>
      <c r="E149" s="94">
        <f t="shared" si="48"/>
        <v>1299959.4860159182</v>
      </c>
      <c r="F149" s="94">
        <f t="shared" si="48"/>
        <v>1299959.4860159182</v>
      </c>
      <c r="G149" s="94">
        <f t="shared" si="48"/>
        <v>1299959.4860159182</v>
      </c>
      <c r="H149" s="94">
        <f t="shared" si="48"/>
        <v>1299959.4860159182</v>
      </c>
      <c r="I149" s="94">
        <f t="shared" si="48"/>
        <v>1299959.4860159182</v>
      </c>
      <c r="J149" s="94">
        <f t="shared" si="48"/>
        <v>1299959.4860159182</v>
      </c>
      <c r="K149" s="94">
        <f t="shared" si="48"/>
        <v>1299959.4860159182</v>
      </c>
      <c r="L149" s="94">
        <f t="shared" si="48"/>
        <v>1299959.4860159182</v>
      </c>
      <c r="M149" s="94">
        <f t="shared" si="48"/>
        <v>1299959.4860159182</v>
      </c>
      <c r="N149" s="94">
        <f t="shared" si="48"/>
        <v>1299959.4860159182</v>
      </c>
      <c r="O149" s="94">
        <f t="shared" si="48"/>
        <v>1299959.4860159182</v>
      </c>
      <c r="P149" s="94">
        <f t="shared" si="48"/>
        <v>1299959.4860159182</v>
      </c>
      <c r="Q149" s="94">
        <f t="shared" si="48"/>
        <v>1299959.4860159182</v>
      </c>
      <c r="R149" s="94">
        <f t="shared" si="48"/>
        <v>1299959.4860159182</v>
      </c>
      <c r="S149" s="94">
        <f t="shared" si="48"/>
        <v>1299959.4860159182</v>
      </c>
      <c r="T149" s="94">
        <f t="shared" si="48"/>
        <v>1299959.4860159182</v>
      </c>
      <c r="U149" s="94">
        <f t="shared" si="48"/>
        <v>1299959.4860159182</v>
      </c>
      <c r="V149" s="94">
        <f t="shared" si="48"/>
        <v>1299959.4860159182</v>
      </c>
      <c r="W149" s="94">
        <f t="shared" si="48"/>
        <v>1299959.4860159182</v>
      </c>
      <c r="X149" s="94">
        <f t="shared" si="48"/>
        <v>1299959.4860159182</v>
      </c>
      <c r="Y149" s="94">
        <f t="shared" si="48"/>
        <v>1299959.4860159182</v>
      </c>
      <c r="Z149" s="94">
        <f t="shared" si="48"/>
        <v>1299959.4860159182</v>
      </c>
      <c r="AA149" s="94">
        <f t="shared" si="48"/>
        <v>1299959.4860159182</v>
      </c>
      <c r="AB149" s="94">
        <f t="shared" si="48"/>
        <v>1299959.4860159182</v>
      </c>
      <c r="AC149" s="94">
        <f t="shared" si="48"/>
        <v>1299959.4860159182</v>
      </c>
      <c r="AD149" s="94">
        <f t="shared" si="48"/>
        <v>1299959.4860159182</v>
      </c>
      <c r="AE149" s="94">
        <f t="shared" si="48"/>
        <v>1299959.4860159182</v>
      </c>
      <c r="AF149" s="94">
        <f t="shared" si="48"/>
        <v>1299959.4860159182</v>
      </c>
    </row>
    <row r="150" spans="2:32" ht="30" customHeight="1">
      <c r="B150" s="305" t="s">
        <v>398</v>
      </c>
      <c r="C150" s="94">
        <f>C149</f>
        <v>0</v>
      </c>
      <c r="D150" s="94">
        <f t="shared" ref="D150:AF150" si="49">C150+D149</f>
        <v>1299959.4860159182</v>
      </c>
      <c r="E150" s="94">
        <f t="shared" si="49"/>
        <v>2599918.9720318364</v>
      </c>
      <c r="F150" s="94">
        <f t="shared" si="49"/>
        <v>3899878.4580477546</v>
      </c>
      <c r="G150" s="94">
        <f t="shared" si="49"/>
        <v>5199837.9440636728</v>
      </c>
      <c r="H150" s="94">
        <f t="shared" si="49"/>
        <v>6499797.4300795905</v>
      </c>
      <c r="I150" s="94">
        <f t="shared" si="49"/>
        <v>7799756.9160955083</v>
      </c>
      <c r="J150" s="94">
        <f t="shared" si="49"/>
        <v>9099716.402111426</v>
      </c>
      <c r="K150" s="94">
        <f t="shared" si="49"/>
        <v>10399675.888127344</v>
      </c>
      <c r="L150" s="94">
        <f t="shared" si="49"/>
        <v>11699635.374143261</v>
      </c>
      <c r="M150" s="94">
        <f t="shared" si="49"/>
        <v>12999594.860159179</v>
      </c>
      <c r="N150" s="94">
        <f t="shared" si="49"/>
        <v>14299554.346175097</v>
      </c>
      <c r="O150" s="94">
        <f t="shared" si="49"/>
        <v>15599513.832191015</v>
      </c>
      <c r="P150" s="94">
        <f t="shared" si="49"/>
        <v>16899473.318206932</v>
      </c>
      <c r="Q150" s="94">
        <f t="shared" si="49"/>
        <v>18199432.804222852</v>
      </c>
      <c r="R150" s="94">
        <f t="shared" si="49"/>
        <v>19499392.290238772</v>
      </c>
      <c r="S150" s="94">
        <f t="shared" si="49"/>
        <v>20799351.776254691</v>
      </c>
      <c r="T150" s="94">
        <f t="shared" si="49"/>
        <v>22099311.262270611</v>
      </c>
      <c r="U150" s="94">
        <f t="shared" si="49"/>
        <v>23399270.74828653</v>
      </c>
      <c r="V150" s="94">
        <f t="shared" si="49"/>
        <v>24699230.23430245</v>
      </c>
      <c r="W150" s="94">
        <f t="shared" si="49"/>
        <v>25999189.72031837</v>
      </c>
      <c r="X150" s="94">
        <f t="shared" si="49"/>
        <v>27299149.206334289</v>
      </c>
      <c r="Y150" s="94">
        <f t="shared" si="49"/>
        <v>28599108.692350209</v>
      </c>
      <c r="Z150" s="94">
        <f t="shared" si="49"/>
        <v>29899068.178366128</v>
      </c>
      <c r="AA150" s="94">
        <f t="shared" si="49"/>
        <v>31199027.664382048</v>
      </c>
      <c r="AB150" s="94">
        <f t="shared" si="49"/>
        <v>32498987.150397968</v>
      </c>
      <c r="AC150" s="94">
        <f t="shared" si="49"/>
        <v>33798946.636413887</v>
      </c>
      <c r="AD150" s="94">
        <f t="shared" si="49"/>
        <v>35098906.122429803</v>
      </c>
      <c r="AE150" s="94">
        <f t="shared" si="49"/>
        <v>36398865.608445719</v>
      </c>
      <c r="AF150" s="94">
        <f t="shared" si="49"/>
        <v>37698825.094461635</v>
      </c>
    </row>
    <row r="151" spans="2:32" ht="13.8"/>
    <row r="152" spans="2:32" ht="13.8">
      <c r="C152" s="151">
        <f>MIN(C150:AF150)</f>
        <v>0</v>
      </c>
      <c r="D152" s="105"/>
    </row>
    <row r="153" spans="2:32" ht="15" customHeight="1" thickBot="1"/>
    <row r="154" spans="2:32" ht="14.4" thickBot="1">
      <c r="B154" s="107" t="str">
        <f>IF(C127="nem","A projekt a megadott válaszok alapján nem támogatható.",IF(C127="igen","A projekt a megadott válaszok alapján támogatható, a támogatási arány és támogatási összeg az alábbi:",IF(AND(C127="",D127=""),"A projekt a megadott válaszok alapján támogatható, a támogatási arány és támogatási összeg az alábbi:")))</f>
        <v>A projekt a megadott válaszok alapján támogatható, a támogatási arány és támogatási összeg az alábbi:</v>
      </c>
    </row>
    <row r="156" spans="2:32" ht="27.6">
      <c r="B156" s="37" t="s">
        <v>335</v>
      </c>
      <c r="C156" s="37" t="s">
        <v>358</v>
      </c>
      <c r="D156" s="37" t="s">
        <v>359</v>
      </c>
      <c r="E156" s="37" t="s">
        <v>288</v>
      </c>
    </row>
    <row r="157" spans="2:32" ht="15" customHeight="1">
      <c r="B157" s="30" t="s">
        <v>360</v>
      </c>
      <c r="C157" s="97">
        <f t="shared" ref="C157:D159" si="50">C100</f>
        <v>78835000</v>
      </c>
      <c r="D157" s="97">
        <f t="shared" si="50"/>
        <v>404669769</v>
      </c>
      <c r="E157" s="97">
        <f>C157+D157</f>
        <v>483504769</v>
      </c>
    </row>
    <row r="158" spans="2:32" ht="15" customHeight="1">
      <c r="B158" s="30" t="s">
        <v>361</v>
      </c>
      <c r="C158" s="97">
        <f t="shared" si="50"/>
        <v>78835000</v>
      </c>
      <c r="D158" s="97">
        <f t="shared" si="50"/>
        <v>404669769</v>
      </c>
      <c r="E158" s="97">
        <f>C158+D158</f>
        <v>483504769</v>
      </c>
    </row>
    <row r="159" spans="2:32" ht="15" customHeight="1">
      <c r="B159" s="30" t="s">
        <v>362</v>
      </c>
      <c r="C159" s="97">
        <f t="shared" si="50"/>
        <v>0</v>
      </c>
      <c r="D159" s="97">
        <f t="shared" si="50"/>
        <v>0</v>
      </c>
      <c r="E159" s="97">
        <f>C159+D159</f>
        <v>0</v>
      </c>
    </row>
    <row r="160" spans="2:32" ht="13.8">
      <c r="B160" s="30" t="s">
        <v>363</v>
      </c>
      <c r="C160" s="108">
        <f>IF($C$152&lt;0,0,C103)</f>
        <v>1</v>
      </c>
      <c r="D160" s="108">
        <f>IF($C$152&lt;0,0,D103)</f>
        <v>0.80482693866470378</v>
      </c>
      <c r="E160" s="108">
        <f>IFERROR(E161/E158,0)</f>
        <v>0.83664972362335244</v>
      </c>
    </row>
    <row r="161" spans="2:5" ht="15" customHeight="1">
      <c r="B161" s="30" t="s">
        <v>364</v>
      </c>
      <c r="C161" s="97">
        <f>C158*C160</f>
        <v>78835000</v>
      </c>
      <c r="D161" s="97">
        <f>D158*D160</f>
        <v>325689131.35442287</v>
      </c>
      <c r="E161" s="97">
        <f>C161+D161</f>
        <v>404524131.35442287</v>
      </c>
    </row>
    <row r="162" spans="2:5" ht="15" customHeight="1">
      <c r="B162" s="30" t="s">
        <v>365</v>
      </c>
      <c r="C162" s="97">
        <f>C161*Háttér_listák!$C$150</f>
        <v>65433050</v>
      </c>
      <c r="D162" s="97">
        <f>D161*Háttér_listák!$C$150</f>
        <v>270321979.02417099</v>
      </c>
      <c r="E162" s="97">
        <f>C162+D162</f>
        <v>335755029.02417099</v>
      </c>
    </row>
    <row r="163" spans="2:5" ht="15" customHeight="1">
      <c r="B163" s="30" t="s">
        <v>366</v>
      </c>
      <c r="C163" s="97">
        <f>C161-C162</f>
        <v>13401950</v>
      </c>
      <c r="D163" s="97">
        <f>D161-D162</f>
        <v>55367152.330251873</v>
      </c>
      <c r="E163" s="97">
        <f>C163+D163</f>
        <v>68769102.330251873</v>
      </c>
    </row>
    <row r="164" spans="2:5" ht="15" customHeight="1">
      <c r="B164" s="30" t="s">
        <v>367</v>
      </c>
      <c r="C164" s="97">
        <f>C158+C159-C161</f>
        <v>0</v>
      </c>
      <c r="D164" s="97">
        <f>D158+D159-D161</f>
        <v>78980637.645577133</v>
      </c>
      <c r="E164" s="97">
        <f>C164+D164</f>
        <v>78980637.645577133</v>
      </c>
    </row>
    <row r="165" spans="2:5" ht="15" customHeight="1">
      <c r="B165" s="30" t="s">
        <v>368</v>
      </c>
      <c r="C165" s="97">
        <f>C163+C164</f>
        <v>13401950</v>
      </c>
      <c r="D165" s="97">
        <f>D163+D164</f>
        <v>134347789.97582901</v>
      </c>
      <c r="E165" s="97">
        <f>C165+D165</f>
        <v>147749739.97582901</v>
      </c>
    </row>
  </sheetData>
  <sheetProtection algorithmName="SHA-512" hashValue="GsW/DwXt8xhur2JuCqIyQB5mf4Zyul99wYV5+VV8wruY1yFhlFwPxU3Hb5ewNafjatyhs710SsdlGnJ/Jfp3SA==" saltValue="EHJJi47KPMae8JBJYXoMng==" spinCount="100000" sheet="1" objects="1" scenarios="1"/>
  <mergeCells count="2">
    <mergeCell ref="E126:G126"/>
    <mergeCell ref="E127:G127"/>
  </mergeCells>
  <conditionalFormatting sqref="C51">
    <cfRule type="expression" dxfId="261" priority="26">
      <formula>NOT(ISBLANK(C$75))</formula>
    </cfRule>
  </conditionalFormatting>
  <conditionalFormatting sqref="C52">
    <cfRule type="expression" dxfId="260" priority="1">
      <formula>NOT(ISBLANK(C$58))</formula>
    </cfRule>
  </conditionalFormatting>
  <conditionalFormatting sqref="C70 C71:D71 C72:AH72">
    <cfRule type="expression" dxfId="259" priority="30">
      <formula>NOT(ISBLANK(C$69))</formula>
    </cfRule>
  </conditionalFormatting>
  <conditionalFormatting sqref="C76">
    <cfRule type="expression" dxfId="258" priority="18">
      <formula>NOT(ISBLANK(C$69))</formula>
    </cfRule>
  </conditionalFormatting>
  <conditionalFormatting sqref="C84 E84:AH84">
    <cfRule type="expression" dxfId="257" priority="25">
      <formula>NOT(ISBLANK(C$83))</formula>
    </cfRule>
  </conditionalFormatting>
  <conditionalFormatting sqref="C93:C94">
    <cfRule type="expression" dxfId="256" priority="27">
      <formula>NOT(ISBLANK(C$83))</formula>
    </cfRule>
  </conditionalFormatting>
  <conditionalFormatting sqref="C113:AF113">
    <cfRule type="expression" dxfId="255" priority="22">
      <formula>NOT(ISBLANK(C$130))</formula>
    </cfRule>
  </conditionalFormatting>
  <conditionalFormatting sqref="C114:AF114">
    <cfRule type="expression" dxfId="254" priority="21">
      <formula>NOT(ISBLANK(C$120))</formula>
    </cfRule>
  </conditionalFormatting>
  <conditionalFormatting sqref="C120:AF120">
    <cfRule type="expression" dxfId="253" priority="24">
      <formula>NOT(ISBLANK(C$130))</formula>
    </cfRule>
  </conditionalFormatting>
  <conditionalFormatting sqref="C121:AF121">
    <cfRule type="expression" dxfId="252" priority="23">
      <formula>NOT(ISBLANK(C$120))</formula>
    </cfRule>
  </conditionalFormatting>
  <conditionalFormatting sqref="C130:AF130">
    <cfRule type="expression" dxfId="251" priority="37">
      <formula>NOT(ISBLANK(C$130))</formula>
    </cfRule>
  </conditionalFormatting>
  <conditionalFormatting sqref="C131:AF150">
    <cfRule type="expression" dxfId="250" priority="36">
      <formula>NOT(ISBLANK(C$130))</formula>
    </cfRule>
  </conditionalFormatting>
  <conditionalFormatting sqref="C58:AH58">
    <cfRule type="expression" dxfId="249" priority="48">
      <formula>NOT(ISBLANK(C$58))</formula>
    </cfRule>
  </conditionalFormatting>
  <conditionalFormatting sqref="C69:AH69">
    <cfRule type="expression" dxfId="248" priority="45">
      <formula>NOT(ISBLANK(C$69))</formula>
    </cfRule>
  </conditionalFormatting>
  <conditionalFormatting sqref="C75:AH75">
    <cfRule type="expression" dxfId="247" priority="41">
      <formula>NOT(ISBLANK(C$75))</formula>
    </cfRule>
  </conditionalFormatting>
  <conditionalFormatting sqref="C77:AH80 D84">
    <cfRule type="expression" dxfId="246" priority="16">
      <formula>NOT(ISBLANK(C$75))</formula>
    </cfRule>
  </conditionalFormatting>
  <conditionalFormatting sqref="C83:AH83">
    <cfRule type="expression" dxfId="245" priority="39">
      <formula>NOT(ISBLANK(C$83))</formula>
    </cfRule>
  </conditionalFormatting>
  <conditionalFormatting sqref="C85:AH92">
    <cfRule type="expression" dxfId="244" priority="28">
      <formula>NOT(ISBLANK(C$83))</formula>
    </cfRule>
  </conditionalFormatting>
  <conditionalFormatting sqref="D70">
    <cfRule type="expression" dxfId="243" priority="19">
      <formula>NOT(ISBLANK(D$58))</formula>
    </cfRule>
  </conditionalFormatting>
  <conditionalFormatting sqref="D76">
    <cfRule type="expression" dxfId="242" priority="17">
      <formula>NOT(ISBLANK(D$58))</formula>
    </cfRule>
  </conditionalFormatting>
  <conditionalFormatting sqref="E59:AH60 E63:AH64">
    <cfRule type="expression" dxfId="241" priority="6">
      <formula>NOT(ISBLANK(E$58))</formula>
    </cfRule>
  </conditionalFormatting>
  <conditionalFormatting sqref="E61:AH62">
    <cfRule type="expression" dxfId="240" priority="5">
      <formula>NOT(ISBLANK(E$58))</formula>
    </cfRule>
  </conditionalFormatting>
  <conditionalFormatting sqref="E70:AH71">
    <cfRule type="expression" dxfId="239" priority="3">
      <formula>NOT(ISBLANK(E$58))</formula>
    </cfRule>
  </conditionalFormatting>
  <conditionalFormatting sqref="E76:AH80">
    <cfRule type="expression" dxfId="238" priority="29">
      <formula>NOT(ISBLANK(E$75))</formula>
    </cfRule>
  </conditionalFormatting>
  <dataValidations count="1">
    <dataValidation type="list" allowBlank="1" showInputMessage="1" showErrorMessage="1" sqref="C127" xr:uid="{55C691F9-E7A2-44DD-89AA-7A1E2DBECA12}">
      <formula1>i_n_list</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978B-49F8-4E5C-A3AE-DC79999EF5B1}">
  <sheetPr codeName="Munka1">
    <tabColor rgb="FFCCECFF"/>
  </sheetPr>
  <dimension ref="C1:AI83"/>
  <sheetViews>
    <sheetView zoomScale="25" zoomScaleNormal="25" workbookViewId="0">
      <selection activeCell="AB33" sqref="AB33"/>
    </sheetView>
  </sheetViews>
  <sheetFormatPr defaultColWidth="9.19921875" defaultRowHeight="13.8"/>
  <cols>
    <col min="1" max="2" width="9.19921875" style="47"/>
    <col min="3" max="3" width="59.69921875" style="47" customWidth="1"/>
    <col min="4" max="35" width="18.69921875" style="47" customWidth="1"/>
    <col min="36" max="37" width="9.19921875" style="47"/>
    <col min="38" max="39" width="13" style="47" bestFit="1" customWidth="1"/>
    <col min="40" max="40" width="11.69921875" style="47" bestFit="1" customWidth="1"/>
    <col min="41" max="42" width="13" style="47" bestFit="1" customWidth="1"/>
    <col min="43" max="69" width="11.69921875" style="47" bestFit="1" customWidth="1"/>
    <col min="70" max="16384" width="9.19921875" style="47"/>
  </cols>
  <sheetData>
    <row r="1" spans="3:35" ht="14.4" thickBot="1"/>
    <row r="2" spans="3:35">
      <c r="C2" s="284" t="s">
        <v>178</v>
      </c>
      <c r="D2" s="36"/>
      <c r="E2" s="36"/>
    </row>
    <row r="3" spans="3:35" ht="42" thickBot="1">
      <c r="C3" s="285" t="s">
        <v>399</v>
      </c>
      <c r="D3" s="36"/>
      <c r="E3" s="36"/>
    </row>
    <row r="4" spans="3:35">
      <c r="C4" s="119"/>
      <c r="D4" s="36"/>
      <c r="E4" s="36"/>
    </row>
    <row r="5" spans="3:35" ht="14.7" customHeight="1" thickBot="1">
      <c r="C5" s="119"/>
      <c r="D5" s="36"/>
      <c r="E5" s="36"/>
    </row>
    <row r="6" spans="3:35" ht="28.2" thickBot="1">
      <c r="C6" s="235" t="s">
        <v>400</v>
      </c>
    </row>
    <row r="7" spans="3:35" ht="53.4" thickBot="1">
      <c r="C7" s="307" t="s">
        <v>401</v>
      </c>
    </row>
    <row r="9" spans="3:35">
      <c r="C9" s="303" t="s">
        <v>402</v>
      </c>
      <c r="D9" s="303" t="s">
        <v>288</v>
      </c>
      <c r="E9" s="303" t="s">
        <v>403</v>
      </c>
      <c r="F9" s="100" cm="1">
        <f t="array" ref="F9:Y9">Háttér_listák!$B$139:INDEX(Háttér_listák!$B$139:$AF$139,MATCH(0,Háttér_listák!$B$138:$AF$138,0)-1)</f>
        <v>2025</v>
      </c>
      <c r="G9" s="100">
        <v>2026</v>
      </c>
      <c r="H9" s="100">
        <v>2027</v>
      </c>
      <c r="I9" s="100">
        <v>2028</v>
      </c>
      <c r="J9" s="100">
        <v>2029</v>
      </c>
      <c r="K9" s="100">
        <v>2030</v>
      </c>
      <c r="L9" s="100">
        <v>2031</v>
      </c>
      <c r="M9" s="100">
        <v>2032</v>
      </c>
      <c r="N9" s="100">
        <v>2033</v>
      </c>
      <c r="O9" s="100">
        <v>2034</v>
      </c>
      <c r="P9" s="100">
        <v>2035</v>
      </c>
      <c r="Q9" s="100">
        <v>2036</v>
      </c>
      <c r="R9" s="100">
        <v>2037</v>
      </c>
      <c r="S9" s="100">
        <v>2038</v>
      </c>
      <c r="T9" s="100">
        <v>2039</v>
      </c>
      <c r="U9" s="100">
        <v>2040</v>
      </c>
      <c r="V9" s="100">
        <v>2041</v>
      </c>
      <c r="W9" s="100">
        <v>2042</v>
      </c>
      <c r="X9" s="100">
        <v>2043</v>
      </c>
      <c r="Y9" s="100">
        <v>2044</v>
      </c>
      <c r="Z9" s="100"/>
      <c r="AA9" s="100"/>
      <c r="AB9" s="100"/>
      <c r="AC9" s="100"/>
      <c r="AD9" s="100"/>
      <c r="AE9" s="100"/>
      <c r="AF9" s="100"/>
      <c r="AG9" s="100"/>
      <c r="AH9" s="100"/>
      <c r="AI9" s="100"/>
    </row>
    <row r="10" spans="3:35">
      <c r="C10" s="30" t="s">
        <v>404</v>
      </c>
      <c r="D10" s="541">
        <f t="shared" ref="D10:D11" si="0">SUM(F10:AI10)</f>
        <v>361700000</v>
      </c>
      <c r="E10" s="541">
        <f t="shared" ref="E10:E11" si="1">F10+NPV(edr,G10:AI10)</f>
        <v>361700000</v>
      </c>
      <c r="F10" s="274">
        <v>361700000</v>
      </c>
      <c r="G10" s="274">
        <v>0</v>
      </c>
      <c r="H10" s="274">
        <v>0</v>
      </c>
      <c r="I10" s="274">
        <v>0</v>
      </c>
      <c r="J10" s="274">
        <v>0</v>
      </c>
      <c r="K10" s="274">
        <v>0</v>
      </c>
      <c r="L10" s="274">
        <v>0</v>
      </c>
      <c r="M10" s="274">
        <v>0</v>
      </c>
      <c r="N10" s="274">
        <v>0</v>
      </c>
      <c r="O10" s="274">
        <v>0</v>
      </c>
      <c r="P10" s="274">
        <v>0</v>
      </c>
      <c r="Q10" s="274">
        <v>0</v>
      </c>
      <c r="R10" s="274">
        <v>0</v>
      </c>
      <c r="S10" s="274">
        <v>0</v>
      </c>
      <c r="T10" s="274">
        <v>0</v>
      </c>
      <c r="U10" s="274">
        <v>0</v>
      </c>
      <c r="V10" s="274">
        <v>0</v>
      </c>
      <c r="W10" s="274">
        <v>0</v>
      </c>
      <c r="X10" s="274">
        <v>0</v>
      </c>
      <c r="Y10" s="274">
        <v>0</v>
      </c>
      <c r="Z10" s="274">
        <v>0</v>
      </c>
      <c r="AA10" s="274">
        <v>0</v>
      </c>
      <c r="AB10" s="274">
        <v>0</v>
      </c>
      <c r="AC10" s="274">
        <v>0</v>
      </c>
      <c r="AD10" s="274">
        <v>0</v>
      </c>
      <c r="AE10" s="274">
        <v>0</v>
      </c>
      <c r="AF10" s="274">
        <v>0</v>
      </c>
      <c r="AG10" s="274">
        <v>0</v>
      </c>
      <c r="AH10" s="274">
        <v>0</v>
      </c>
      <c r="AI10" s="274">
        <v>0</v>
      </c>
    </row>
    <row r="11" spans="3:35">
      <c r="C11" s="30" t="s">
        <v>405</v>
      </c>
      <c r="D11" s="541">
        <f t="shared" si="0"/>
        <v>130900000</v>
      </c>
      <c r="E11" s="541">
        <f t="shared" si="1"/>
        <v>55546938.825251095</v>
      </c>
      <c r="F11" s="274">
        <v>0</v>
      </c>
      <c r="G11" s="274">
        <v>0</v>
      </c>
      <c r="H11" s="274">
        <v>0</v>
      </c>
      <c r="I11" s="274">
        <v>0</v>
      </c>
      <c r="J11" s="274">
        <v>0</v>
      </c>
      <c r="K11" s="274">
        <v>0</v>
      </c>
      <c r="L11" s="274">
        <v>0</v>
      </c>
      <c r="M11" s="274">
        <v>0</v>
      </c>
      <c r="N11" s="274">
        <v>0</v>
      </c>
      <c r="O11" s="274">
        <v>0</v>
      </c>
      <c r="P11" s="274">
        <v>0</v>
      </c>
      <c r="Q11" s="274">
        <v>0</v>
      </c>
      <c r="R11" s="274">
        <v>0</v>
      </c>
      <c r="S11" s="274">
        <v>0</v>
      </c>
      <c r="T11" s="274">
        <v>0</v>
      </c>
      <c r="U11" s="274">
        <v>0</v>
      </c>
      <c r="V11" s="274">
        <v>0</v>
      </c>
      <c r="W11" s="274">
        <v>0</v>
      </c>
      <c r="X11" s="274">
        <v>0</v>
      </c>
      <c r="Y11" s="274">
        <v>0</v>
      </c>
      <c r="Z11" s="274">
        <v>0</v>
      </c>
      <c r="AA11" s="274">
        <v>0</v>
      </c>
      <c r="AB11" s="274">
        <v>0</v>
      </c>
      <c r="AC11" s="274">
        <v>0</v>
      </c>
      <c r="AD11" s="274">
        <v>0</v>
      </c>
      <c r="AE11" s="274">
        <v>0</v>
      </c>
      <c r="AF11" s="274">
        <v>0</v>
      </c>
      <c r="AG11" s="274">
        <v>0</v>
      </c>
      <c r="AH11" s="274">
        <v>0</v>
      </c>
      <c r="AI11" s="274">
        <v>130900000</v>
      </c>
    </row>
    <row r="12" spans="3:35">
      <c r="D12" s="36"/>
      <c r="E12" s="36"/>
    </row>
    <row r="13" spans="3:35" ht="14.4" thickBot="1">
      <c r="D13" s="36"/>
      <c r="E13" s="36"/>
    </row>
    <row r="14" spans="3:35" ht="28.2" thickBot="1">
      <c r="C14" s="235" t="s">
        <v>333</v>
      </c>
      <c r="D14" s="36"/>
      <c r="E14" s="36"/>
    </row>
    <row r="15" spans="3:35" ht="79.8" thickBot="1">
      <c r="C15" s="307" t="s">
        <v>406</v>
      </c>
      <c r="D15" s="36"/>
      <c r="E15" s="36"/>
    </row>
    <row r="18" spans="3:35">
      <c r="C18" s="303" t="s">
        <v>407</v>
      </c>
      <c r="D18" s="303" t="s">
        <v>288</v>
      </c>
      <c r="E18" s="303" t="s">
        <v>403</v>
      </c>
      <c r="F18" s="100" cm="1">
        <f t="array" ref="F18:Y18">Háttér_listák!$B$139:INDEX(Háttér_listák!$B$139:$AF$139,MATCH(0,Háttér_listák!$B$138:$AF$138,0)-1)</f>
        <v>2025</v>
      </c>
      <c r="G18" s="100">
        <v>2026</v>
      </c>
      <c r="H18" s="100">
        <v>2027</v>
      </c>
      <c r="I18" s="100">
        <v>2028</v>
      </c>
      <c r="J18" s="100">
        <v>2029</v>
      </c>
      <c r="K18" s="100">
        <v>2030</v>
      </c>
      <c r="L18" s="100">
        <v>2031</v>
      </c>
      <c r="M18" s="100">
        <v>2032</v>
      </c>
      <c r="N18" s="100">
        <v>2033</v>
      </c>
      <c r="O18" s="100">
        <v>2034</v>
      </c>
      <c r="P18" s="100">
        <v>2035</v>
      </c>
      <c r="Q18" s="100">
        <v>2036</v>
      </c>
      <c r="R18" s="100">
        <v>2037</v>
      </c>
      <c r="S18" s="100">
        <v>2038</v>
      </c>
      <c r="T18" s="100">
        <v>2039</v>
      </c>
      <c r="U18" s="100">
        <v>2040</v>
      </c>
      <c r="V18" s="100">
        <v>2041</v>
      </c>
      <c r="W18" s="100">
        <v>2042</v>
      </c>
      <c r="X18" s="100">
        <v>2043</v>
      </c>
      <c r="Y18" s="100">
        <v>2044</v>
      </c>
      <c r="Z18" s="100"/>
      <c r="AA18" s="100"/>
      <c r="AB18" s="100"/>
      <c r="AC18" s="100"/>
      <c r="AD18" s="100"/>
      <c r="AE18" s="100"/>
      <c r="AF18" s="100"/>
      <c r="AG18" s="100"/>
      <c r="AH18" s="100"/>
      <c r="AI18" s="100"/>
    </row>
    <row r="19" spans="3:35">
      <c r="C19" s="308" t="s">
        <v>408</v>
      </c>
      <c r="D19" s="541"/>
      <c r="E19" s="541"/>
      <c r="F19" s="274">
        <v>0</v>
      </c>
      <c r="G19" s="274">
        <v>450040.51398408157</v>
      </c>
      <c r="H19" s="274">
        <v>450040.51398408157</v>
      </c>
      <c r="I19" s="274">
        <v>450040.51398408157</v>
      </c>
      <c r="J19" s="274">
        <v>450040.51398408157</v>
      </c>
      <c r="K19" s="274">
        <v>450040.51398408157</v>
      </c>
      <c r="L19" s="274">
        <v>450040.51398408157</v>
      </c>
      <c r="M19" s="274">
        <v>450040.51398408157</v>
      </c>
      <c r="N19" s="274">
        <v>450040.51398408157</v>
      </c>
      <c r="O19" s="274">
        <v>450040.51398408157</v>
      </c>
      <c r="P19" s="274">
        <v>450040.51398408157</v>
      </c>
      <c r="Q19" s="274">
        <v>450040.51398408157</v>
      </c>
      <c r="R19" s="274">
        <v>450040.51398408157</v>
      </c>
      <c r="S19" s="274">
        <v>450040.51398408157</v>
      </c>
      <c r="T19" s="274">
        <v>450040.51398408157</v>
      </c>
      <c r="U19" s="274">
        <v>450040.51398408157</v>
      </c>
      <c r="V19" s="274">
        <v>450040.51398408157</v>
      </c>
      <c r="W19" s="274">
        <v>450040.51398408157</v>
      </c>
      <c r="X19" s="274">
        <v>450040.51398408157</v>
      </c>
      <c r="Y19" s="274">
        <v>450040.51398408157</v>
      </c>
      <c r="Z19" s="274">
        <v>450040.51398408157</v>
      </c>
      <c r="AA19" s="274">
        <v>450040.51398408157</v>
      </c>
      <c r="AB19" s="274">
        <v>450040.51398408157</v>
      </c>
      <c r="AC19" s="274">
        <v>450040.51398408157</v>
      </c>
      <c r="AD19" s="274">
        <v>450040.51398408157</v>
      </c>
      <c r="AE19" s="274">
        <v>450040.51398408157</v>
      </c>
      <c r="AF19" s="274">
        <v>450040.51398408157</v>
      </c>
      <c r="AG19" s="274">
        <v>450040.51398408157</v>
      </c>
      <c r="AH19" s="274">
        <v>450040.51398408157</v>
      </c>
      <c r="AI19" s="274">
        <v>450040.51398408157</v>
      </c>
    </row>
    <row r="20" spans="3:35">
      <c r="C20" s="308" t="s">
        <v>409</v>
      </c>
      <c r="D20" s="541"/>
      <c r="E20" s="541"/>
      <c r="F20" s="537">
        <f>SUM(F21:F23)</f>
        <v>0</v>
      </c>
      <c r="G20" s="537">
        <f t="shared" ref="G20:AI20" si="2">SUM(G21:G23)</f>
        <v>0</v>
      </c>
      <c r="H20" s="537">
        <f t="shared" si="2"/>
        <v>0</v>
      </c>
      <c r="I20" s="537">
        <f t="shared" si="2"/>
        <v>0</v>
      </c>
      <c r="J20" s="537">
        <f t="shared" si="2"/>
        <v>0</v>
      </c>
      <c r="K20" s="537">
        <f t="shared" si="2"/>
        <v>0</v>
      </c>
      <c r="L20" s="537">
        <f t="shared" si="2"/>
        <v>0</v>
      </c>
      <c r="M20" s="537">
        <f t="shared" si="2"/>
        <v>0</v>
      </c>
      <c r="N20" s="537">
        <f t="shared" si="2"/>
        <v>0</v>
      </c>
      <c r="O20" s="537">
        <f t="shared" si="2"/>
        <v>0</v>
      </c>
      <c r="P20" s="537">
        <f t="shared" si="2"/>
        <v>0</v>
      </c>
      <c r="Q20" s="537">
        <f t="shared" si="2"/>
        <v>0</v>
      </c>
      <c r="R20" s="537">
        <f t="shared" si="2"/>
        <v>0</v>
      </c>
      <c r="S20" s="537">
        <f t="shared" si="2"/>
        <v>0</v>
      </c>
      <c r="T20" s="537">
        <f t="shared" si="2"/>
        <v>0</v>
      </c>
      <c r="U20" s="537">
        <f t="shared" si="2"/>
        <v>0</v>
      </c>
      <c r="V20" s="537">
        <f t="shared" si="2"/>
        <v>0</v>
      </c>
      <c r="W20" s="537">
        <f t="shared" si="2"/>
        <v>0</v>
      </c>
      <c r="X20" s="537">
        <f t="shared" si="2"/>
        <v>0</v>
      </c>
      <c r="Y20" s="537">
        <f t="shared" si="2"/>
        <v>0</v>
      </c>
      <c r="Z20" s="537">
        <f t="shared" si="2"/>
        <v>0</v>
      </c>
      <c r="AA20" s="537">
        <f t="shared" si="2"/>
        <v>0</v>
      </c>
      <c r="AB20" s="537">
        <f t="shared" si="2"/>
        <v>0</v>
      </c>
      <c r="AC20" s="537">
        <f t="shared" si="2"/>
        <v>0</v>
      </c>
      <c r="AD20" s="537">
        <f t="shared" si="2"/>
        <v>0</v>
      </c>
      <c r="AE20" s="537">
        <f t="shared" si="2"/>
        <v>0</v>
      </c>
      <c r="AF20" s="537">
        <f t="shared" si="2"/>
        <v>0</v>
      </c>
      <c r="AG20" s="537">
        <f t="shared" si="2"/>
        <v>0</v>
      </c>
      <c r="AH20" s="537">
        <f t="shared" si="2"/>
        <v>0</v>
      </c>
      <c r="AI20" s="537">
        <f t="shared" si="2"/>
        <v>0</v>
      </c>
    </row>
    <row r="21" spans="3:35" ht="27.6">
      <c r="C21" s="308" t="s">
        <v>410</v>
      </c>
      <c r="D21" s="541"/>
      <c r="E21" s="541"/>
      <c r="F21" s="274">
        <v>0</v>
      </c>
      <c r="G21" s="274">
        <v>0</v>
      </c>
      <c r="H21" s="274">
        <v>0</v>
      </c>
      <c r="I21" s="274">
        <v>0</v>
      </c>
      <c r="J21" s="274">
        <v>0</v>
      </c>
      <c r="K21" s="274">
        <v>0</v>
      </c>
      <c r="L21" s="274">
        <v>0</v>
      </c>
      <c r="M21" s="274">
        <v>0</v>
      </c>
      <c r="N21" s="274">
        <v>0</v>
      </c>
      <c r="O21" s="274">
        <v>0</v>
      </c>
      <c r="P21" s="274">
        <v>0</v>
      </c>
      <c r="Q21" s="274">
        <v>0</v>
      </c>
      <c r="R21" s="274">
        <v>0</v>
      </c>
      <c r="S21" s="274">
        <v>0</v>
      </c>
      <c r="T21" s="274">
        <v>0</v>
      </c>
      <c r="U21" s="274">
        <v>0</v>
      </c>
      <c r="V21" s="274">
        <v>0</v>
      </c>
      <c r="W21" s="274">
        <v>0</v>
      </c>
      <c r="X21" s="274">
        <v>0</v>
      </c>
      <c r="Y21" s="274">
        <v>0</v>
      </c>
      <c r="Z21" s="274">
        <v>0</v>
      </c>
      <c r="AA21" s="274">
        <v>0</v>
      </c>
      <c r="AB21" s="274">
        <v>0</v>
      </c>
      <c r="AC21" s="274">
        <v>0</v>
      </c>
      <c r="AD21" s="274">
        <v>0</v>
      </c>
      <c r="AE21" s="274">
        <v>0</v>
      </c>
      <c r="AF21" s="274">
        <v>0</v>
      </c>
      <c r="AG21" s="274">
        <v>0</v>
      </c>
      <c r="AH21" s="274">
        <v>0</v>
      </c>
      <c r="AI21" s="274">
        <v>0</v>
      </c>
    </row>
    <row r="22" spans="3:35">
      <c r="C22" s="308" t="s">
        <v>411</v>
      </c>
      <c r="D22" s="541"/>
      <c r="E22" s="541"/>
      <c r="F22" s="274">
        <v>0</v>
      </c>
      <c r="G22" s="274">
        <v>0</v>
      </c>
      <c r="H22" s="274">
        <v>0</v>
      </c>
      <c r="I22" s="274">
        <v>0</v>
      </c>
      <c r="J22" s="274">
        <v>0</v>
      </c>
      <c r="K22" s="274">
        <v>0</v>
      </c>
      <c r="L22" s="274">
        <v>0</v>
      </c>
      <c r="M22" s="274">
        <v>0</v>
      </c>
      <c r="N22" s="274">
        <v>0</v>
      </c>
      <c r="O22" s="274">
        <v>0</v>
      </c>
      <c r="P22" s="274">
        <v>0</v>
      </c>
      <c r="Q22" s="274">
        <v>0</v>
      </c>
      <c r="R22" s="274">
        <v>0</v>
      </c>
      <c r="S22" s="274">
        <v>0</v>
      </c>
      <c r="T22" s="274">
        <v>0</v>
      </c>
      <c r="U22" s="274">
        <v>0</v>
      </c>
      <c r="V22" s="274">
        <v>0</v>
      </c>
      <c r="W22" s="274">
        <v>0</v>
      </c>
      <c r="X22" s="274">
        <v>0</v>
      </c>
      <c r="Y22" s="274">
        <v>0</v>
      </c>
      <c r="Z22" s="274">
        <v>0</v>
      </c>
      <c r="AA22" s="274">
        <v>0</v>
      </c>
      <c r="AB22" s="274">
        <v>0</v>
      </c>
      <c r="AC22" s="274">
        <v>0</v>
      </c>
      <c r="AD22" s="274">
        <v>0</v>
      </c>
      <c r="AE22" s="274">
        <v>0</v>
      </c>
      <c r="AF22" s="274">
        <v>0</v>
      </c>
      <c r="AG22" s="274">
        <v>0</v>
      </c>
      <c r="AH22" s="274">
        <v>0</v>
      </c>
      <c r="AI22" s="274">
        <v>0</v>
      </c>
    </row>
    <row r="23" spans="3:35" ht="27.6">
      <c r="C23" s="308" t="s">
        <v>412</v>
      </c>
      <c r="D23" s="541"/>
      <c r="E23" s="541"/>
      <c r="F23" s="274">
        <v>0</v>
      </c>
      <c r="G23" s="274">
        <v>0</v>
      </c>
      <c r="H23" s="274">
        <v>0</v>
      </c>
      <c r="I23" s="274">
        <v>0</v>
      </c>
      <c r="J23" s="274">
        <v>0</v>
      </c>
      <c r="K23" s="274">
        <v>0</v>
      </c>
      <c r="L23" s="274">
        <v>0</v>
      </c>
      <c r="M23" s="274">
        <v>0</v>
      </c>
      <c r="N23" s="274">
        <v>0</v>
      </c>
      <c r="O23" s="274">
        <v>0</v>
      </c>
      <c r="P23" s="274">
        <v>0</v>
      </c>
      <c r="Q23" s="274">
        <v>0</v>
      </c>
      <c r="R23" s="274">
        <v>0</v>
      </c>
      <c r="S23" s="274">
        <v>0</v>
      </c>
      <c r="T23" s="274">
        <v>0</v>
      </c>
      <c r="U23" s="274">
        <v>0</v>
      </c>
      <c r="V23" s="274">
        <v>0</v>
      </c>
      <c r="W23" s="274">
        <v>0</v>
      </c>
      <c r="X23" s="274">
        <v>0</v>
      </c>
      <c r="Y23" s="274">
        <v>0</v>
      </c>
      <c r="Z23" s="274">
        <v>0</v>
      </c>
      <c r="AA23" s="274">
        <v>0</v>
      </c>
      <c r="AB23" s="274">
        <v>0</v>
      </c>
      <c r="AC23" s="274">
        <v>0</v>
      </c>
      <c r="AD23" s="274">
        <v>0</v>
      </c>
      <c r="AE23" s="274">
        <v>0</v>
      </c>
      <c r="AF23" s="274">
        <v>0</v>
      </c>
      <c r="AG23" s="274">
        <v>0</v>
      </c>
      <c r="AH23" s="274">
        <v>0</v>
      </c>
      <c r="AI23" s="274">
        <v>0</v>
      </c>
    </row>
    <row r="24" spans="3:35" ht="27.6">
      <c r="C24" s="35" t="s">
        <v>413</v>
      </c>
      <c r="D24" s="542">
        <f>SUM(F24:AI24)</f>
        <v>13051174.905538369</v>
      </c>
      <c r="E24" s="542">
        <f>F24+NPV(edr,G24:AI24)</f>
        <v>8635581.9662230443</v>
      </c>
      <c r="F24" s="549">
        <f>F19-F20</f>
        <v>0</v>
      </c>
      <c r="G24" s="549">
        <f t="shared" ref="G24:AI24" si="3">G19-G20</f>
        <v>450040.51398408157</v>
      </c>
      <c r="H24" s="549">
        <f t="shared" si="3"/>
        <v>450040.51398408157</v>
      </c>
      <c r="I24" s="549">
        <f t="shared" si="3"/>
        <v>450040.51398408157</v>
      </c>
      <c r="J24" s="549">
        <f t="shared" si="3"/>
        <v>450040.51398408157</v>
      </c>
      <c r="K24" s="549">
        <f t="shared" si="3"/>
        <v>450040.51398408157</v>
      </c>
      <c r="L24" s="549">
        <f t="shared" si="3"/>
        <v>450040.51398408157</v>
      </c>
      <c r="M24" s="549">
        <f t="shared" si="3"/>
        <v>450040.51398408157</v>
      </c>
      <c r="N24" s="549">
        <f t="shared" si="3"/>
        <v>450040.51398408157</v>
      </c>
      <c r="O24" s="549">
        <f t="shared" si="3"/>
        <v>450040.51398408157</v>
      </c>
      <c r="P24" s="549">
        <f t="shared" si="3"/>
        <v>450040.51398408157</v>
      </c>
      <c r="Q24" s="549">
        <f t="shared" si="3"/>
        <v>450040.51398408157</v>
      </c>
      <c r="R24" s="549">
        <f t="shared" si="3"/>
        <v>450040.51398408157</v>
      </c>
      <c r="S24" s="549">
        <f t="shared" si="3"/>
        <v>450040.51398408157</v>
      </c>
      <c r="T24" s="549">
        <f t="shared" si="3"/>
        <v>450040.51398408157</v>
      </c>
      <c r="U24" s="549">
        <f t="shared" si="3"/>
        <v>450040.51398408157</v>
      </c>
      <c r="V24" s="549">
        <f t="shared" si="3"/>
        <v>450040.51398408157</v>
      </c>
      <c r="W24" s="549">
        <f t="shared" si="3"/>
        <v>450040.51398408157</v>
      </c>
      <c r="X24" s="549">
        <f t="shared" si="3"/>
        <v>450040.51398408157</v>
      </c>
      <c r="Y24" s="549">
        <f t="shared" si="3"/>
        <v>450040.51398408157</v>
      </c>
      <c r="Z24" s="549">
        <f t="shared" si="3"/>
        <v>450040.51398408157</v>
      </c>
      <c r="AA24" s="549">
        <f t="shared" si="3"/>
        <v>450040.51398408157</v>
      </c>
      <c r="AB24" s="549">
        <f t="shared" si="3"/>
        <v>450040.51398408157</v>
      </c>
      <c r="AC24" s="549">
        <f t="shared" si="3"/>
        <v>450040.51398408157</v>
      </c>
      <c r="AD24" s="549">
        <f t="shared" si="3"/>
        <v>450040.51398408157</v>
      </c>
      <c r="AE24" s="549">
        <f t="shared" si="3"/>
        <v>450040.51398408157</v>
      </c>
      <c r="AF24" s="549">
        <f t="shared" si="3"/>
        <v>450040.51398408157</v>
      </c>
      <c r="AG24" s="549">
        <f t="shared" si="3"/>
        <v>450040.51398408157</v>
      </c>
      <c r="AH24" s="549">
        <f t="shared" si="3"/>
        <v>450040.51398408157</v>
      </c>
      <c r="AI24" s="549">
        <f t="shared" si="3"/>
        <v>450040.51398408157</v>
      </c>
    </row>
    <row r="25" spans="3:35">
      <c r="C25" s="308" t="s">
        <v>414</v>
      </c>
      <c r="D25" s="541"/>
      <c r="E25" s="541"/>
      <c r="F25" s="274">
        <v>0</v>
      </c>
      <c r="G25" s="274">
        <v>0</v>
      </c>
      <c r="H25" s="274">
        <v>0</v>
      </c>
      <c r="I25" s="274">
        <v>0</v>
      </c>
      <c r="J25" s="274">
        <v>0</v>
      </c>
      <c r="K25" s="274">
        <v>0</v>
      </c>
      <c r="L25" s="274">
        <v>0</v>
      </c>
      <c r="M25" s="274">
        <v>0</v>
      </c>
      <c r="N25" s="274">
        <v>0</v>
      </c>
      <c r="O25" s="274">
        <v>0</v>
      </c>
      <c r="P25" s="274">
        <v>0</v>
      </c>
      <c r="Q25" s="274">
        <v>0</v>
      </c>
      <c r="R25" s="274">
        <v>0</v>
      </c>
      <c r="S25" s="274">
        <v>0</v>
      </c>
      <c r="T25" s="274">
        <v>0</v>
      </c>
      <c r="U25" s="274">
        <v>0</v>
      </c>
      <c r="V25" s="274">
        <v>0</v>
      </c>
      <c r="W25" s="274">
        <v>0</v>
      </c>
      <c r="X25" s="274">
        <v>0</v>
      </c>
      <c r="Y25" s="274">
        <v>0</v>
      </c>
      <c r="Z25" s="274">
        <v>0</v>
      </c>
      <c r="AA25" s="274">
        <v>0</v>
      </c>
      <c r="AB25" s="274">
        <v>0</v>
      </c>
      <c r="AC25" s="274">
        <v>0</v>
      </c>
      <c r="AD25" s="274">
        <v>0</v>
      </c>
      <c r="AE25" s="274">
        <v>0</v>
      </c>
      <c r="AF25" s="274">
        <v>0</v>
      </c>
      <c r="AG25" s="274">
        <v>0</v>
      </c>
      <c r="AH25" s="274">
        <v>0</v>
      </c>
      <c r="AI25" s="274">
        <v>0</v>
      </c>
    </row>
    <row r="26" spans="3:35">
      <c r="C26" s="308" t="s">
        <v>409</v>
      </c>
      <c r="D26" s="541"/>
      <c r="E26" s="541"/>
      <c r="F26" s="85">
        <f t="shared" ref="F26:AI26" si="4">SUM(F27:F29)</f>
        <v>0</v>
      </c>
      <c r="G26" s="85">
        <f t="shared" si="4"/>
        <v>0</v>
      </c>
      <c r="H26" s="85">
        <f t="shared" si="4"/>
        <v>0</v>
      </c>
      <c r="I26" s="85">
        <f t="shared" si="4"/>
        <v>0</v>
      </c>
      <c r="J26" s="85">
        <f t="shared" si="4"/>
        <v>0</v>
      </c>
      <c r="K26" s="85">
        <f t="shared" si="4"/>
        <v>0</v>
      </c>
      <c r="L26" s="85">
        <f t="shared" si="4"/>
        <v>0</v>
      </c>
      <c r="M26" s="85">
        <f t="shared" si="4"/>
        <v>0</v>
      </c>
      <c r="N26" s="85">
        <f t="shared" si="4"/>
        <v>0</v>
      </c>
      <c r="O26" s="85">
        <f t="shared" si="4"/>
        <v>0</v>
      </c>
      <c r="P26" s="85">
        <f t="shared" si="4"/>
        <v>0</v>
      </c>
      <c r="Q26" s="85">
        <f t="shared" si="4"/>
        <v>0</v>
      </c>
      <c r="R26" s="85">
        <f t="shared" si="4"/>
        <v>0</v>
      </c>
      <c r="S26" s="85">
        <f t="shared" si="4"/>
        <v>0</v>
      </c>
      <c r="T26" s="85">
        <f t="shared" si="4"/>
        <v>0</v>
      </c>
      <c r="U26" s="85">
        <f t="shared" si="4"/>
        <v>0</v>
      </c>
      <c r="V26" s="85">
        <f t="shared" si="4"/>
        <v>0</v>
      </c>
      <c r="W26" s="85">
        <f t="shared" si="4"/>
        <v>0</v>
      </c>
      <c r="X26" s="85">
        <f t="shared" si="4"/>
        <v>0</v>
      </c>
      <c r="Y26" s="85">
        <f t="shared" si="4"/>
        <v>0</v>
      </c>
      <c r="Z26" s="85">
        <f t="shared" si="4"/>
        <v>0</v>
      </c>
      <c r="AA26" s="85">
        <f t="shared" si="4"/>
        <v>0</v>
      </c>
      <c r="AB26" s="85">
        <f t="shared" si="4"/>
        <v>0</v>
      </c>
      <c r="AC26" s="85">
        <f t="shared" si="4"/>
        <v>0</v>
      </c>
      <c r="AD26" s="85">
        <f t="shared" si="4"/>
        <v>0</v>
      </c>
      <c r="AE26" s="85">
        <f t="shared" si="4"/>
        <v>0</v>
      </c>
      <c r="AF26" s="85">
        <f t="shared" si="4"/>
        <v>0</v>
      </c>
      <c r="AG26" s="85">
        <f t="shared" si="4"/>
        <v>0</v>
      </c>
      <c r="AH26" s="85">
        <f t="shared" si="4"/>
        <v>0</v>
      </c>
      <c r="AI26" s="85">
        <f t="shared" si="4"/>
        <v>0</v>
      </c>
    </row>
    <row r="27" spans="3:35">
      <c r="C27" s="308" t="s">
        <v>415</v>
      </c>
      <c r="D27" s="541"/>
      <c r="E27" s="541"/>
      <c r="F27" s="274">
        <v>0</v>
      </c>
      <c r="G27" s="274">
        <v>0</v>
      </c>
      <c r="H27" s="274">
        <v>0</v>
      </c>
      <c r="I27" s="274">
        <v>0</v>
      </c>
      <c r="J27" s="274">
        <v>0</v>
      </c>
      <c r="K27" s="274">
        <v>0</v>
      </c>
      <c r="L27" s="274">
        <v>0</v>
      </c>
      <c r="M27" s="274">
        <v>0</v>
      </c>
      <c r="N27" s="274">
        <v>0</v>
      </c>
      <c r="O27" s="274">
        <v>0</v>
      </c>
      <c r="P27" s="274">
        <v>0</v>
      </c>
      <c r="Q27" s="274">
        <v>0</v>
      </c>
      <c r="R27" s="274">
        <v>0</v>
      </c>
      <c r="S27" s="274">
        <v>0</v>
      </c>
      <c r="T27" s="274">
        <v>0</v>
      </c>
      <c r="U27" s="274">
        <v>0</v>
      </c>
      <c r="V27" s="274">
        <v>0</v>
      </c>
      <c r="W27" s="274">
        <v>0</v>
      </c>
      <c r="X27" s="274">
        <v>0</v>
      </c>
      <c r="Y27" s="274">
        <v>0</v>
      </c>
      <c r="Z27" s="274">
        <v>0</v>
      </c>
      <c r="AA27" s="274">
        <v>0</v>
      </c>
      <c r="AB27" s="274">
        <v>0</v>
      </c>
      <c r="AC27" s="274">
        <v>0</v>
      </c>
      <c r="AD27" s="274">
        <v>0</v>
      </c>
      <c r="AE27" s="274">
        <v>0</v>
      </c>
      <c r="AF27" s="274">
        <v>0</v>
      </c>
      <c r="AG27" s="274">
        <v>0</v>
      </c>
      <c r="AH27" s="274">
        <v>0</v>
      </c>
      <c r="AI27" s="274">
        <v>0</v>
      </c>
    </row>
    <row r="28" spans="3:35">
      <c r="C28" s="308" t="s">
        <v>416</v>
      </c>
      <c r="D28" s="541"/>
      <c r="E28" s="541"/>
      <c r="F28" s="274">
        <v>0</v>
      </c>
      <c r="G28" s="274">
        <v>0</v>
      </c>
      <c r="H28" s="274">
        <v>0</v>
      </c>
      <c r="I28" s="274">
        <v>0</v>
      </c>
      <c r="J28" s="274">
        <v>0</v>
      </c>
      <c r="K28" s="274">
        <v>0</v>
      </c>
      <c r="L28" s="274">
        <v>0</v>
      </c>
      <c r="M28" s="274">
        <v>0</v>
      </c>
      <c r="N28" s="274">
        <v>0</v>
      </c>
      <c r="O28" s="274">
        <v>0</v>
      </c>
      <c r="P28" s="274">
        <v>0</v>
      </c>
      <c r="Q28" s="274">
        <v>0</v>
      </c>
      <c r="R28" s="274">
        <v>0</v>
      </c>
      <c r="S28" s="274">
        <v>0</v>
      </c>
      <c r="T28" s="274">
        <v>0</v>
      </c>
      <c r="U28" s="274">
        <v>0</v>
      </c>
      <c r="V28" s="274">
        <v>0</v>
      </c>
      <c r="W28" s="274">
        <v>0</v>
      </c>
      <c r="X28" s="274">
        <v>0</v>
      </c>
      <c r="Y28" s="274">
        <v>0</v>
      </c>
      <c r="Z28" s="274">
        <v>0</v>
      </c>
      <c r="AA28" s="274">
        <v>0</v>
      </c>
      <c r="AB28" s="274">
        <v>0</v>
      </c>
      <c r="AC28" s="274">
        <v>0</v>
      </c>
      <c r="AD28" s="274">
        <v>0</v>
      </c>
      <c r="AE28" s="274">
        <v>0</v>
      </c>
      <c r="AF28" s="274">
        <v>0</v>
      </c>
      <c r="AG28" s="274">
        <v>0</v>
      </c>
      <c r="AH28" s="274">
        <v>0</v>
      </c>
      <c r="AI28" s="274">
        <v>0</v>
      </c>
    </row>
    <row r="29" spans="3:35" ht="27.6">
      <c r="C29" s="308" t="s">
        <v>417</v>
      </c>
      <c r="D29" s="541"/>
      <c r="E29" s="541"/>
      <c r="F29" s="274">
        <v>0</v>
      </c>
      <c r="G29" s="274">
        <v>0</v>
      </c>
      <c r="H29" s="274">
        <v>0</v>
      </c>
      <c r="I29" s="274">
        <v>0</v>
      </c>
      <c r="J29" s="274">
        <v>0</v>
      </c>
      <c r="K29" s="274">
        <v>0</v>
      </c>
      <c r="L29" s="274">
        <v>0</v>
      </c>
      <c r="M29" s="274">
        <v>0</v>
      </c>
      <c r="N29" s="274">
        <v>0</v>
      </c>
      <c r="O29" s="274">
        <v>0</v>
      </c>
      <c r="P29" s="274">
        <v>0</v>
      </c>
      <c r="Q29" s="274">
        <v>0</v>
      </c>
      <c r="R29" s="274">
        <v>0</v>
      </c>
      <c r="S29" s="274">
        <v>0</v>
      </c>
      <c r="T29" s="274">
        <v>0</v>
      </c>
      <c r="U29" s="274">
        <v>0</v>
      </c>
      <c r="V29" s="274">
        <v>0</v>
      </c>
      <c r="W29" s="274">
        <v>0</v>
      </c>
      <c r="X29" s="274">
        <v>0</v>
      </c>
      <c r="Y29" s="274">
        <v>0</v>
      </c>
      <c r="Z29" s="274">
        <v>0</v>
      </c>
      <c r="AA29" s="274">
        <v>0</v>
      </c>
      <c r="AB29" s="274">
        <v>0</v>
      </c>
      <c r="AC29" s="274">
        <v>0</v>
      </c>
      <c r="AD29" s="274">
        <v>0</v>
      </c>
      <c r="AE29" s="274">
        <v>0</v>
      </c>
      <c r="AF29" s="274">
        <v>0</v>
      </c>
      <c r="AG29" s="274">
        <v>0</v>
      </c>
      <c r="AH29" s="274">
        <v>0</v>
      </c>
      <c r="AI29" s="274">
        <v>0</v>
      </c>
    </row>
    <row r="30" spans="3:35">
      <c r="C30" s="35" t="s">
        <v>418</v>
      </c>
      <c r="D30" s="542">
        <f>SUM(F30:AI30)</f>
        <v>0</v>
      </c>
      <c r="E30" s="542">
        <f>F30+NPV(edr,G30:AI30)</f>
        <v>0</v>
      </c>
      <c r="F30" s="549">
        <f>F25-F26</f>
        <v>0</v>
      </c>
      <c r="G30" s="549">
        <f t="shared" ref="G30:AI30" si="5">G25-G26</f>
        <v>0</v>
      </c>
      <c r="H30" s="549">
        <f t="shared" si="5"/>
        <v>0</v>
      </c>
      <c r="I30" s="549">
        <f t="shared" si="5"/>
        <v>0</v>
      </c>
      <c r="J30" s="549">
        <f t="shared" si="5"/>
        <v>0</v>
      </c>
      <c r="K30" s="549">
        <f t="shared" si="5"/>
        <v>0</v>
      </c>
      <c r="L30" s="549">
        <f t="shared" si="5"/>
        <v>0</v>
      </c>
      <c r="M30" s="549">
        <f t="shared" si="5"/>
        <v>0</v>
      </c>
      <c r="N30" s="549">
        <f t="shared" si="5"/>
        <v>0</v>
      </c>
      <c r="O30" s="549">
        <f t="shared" si="5"/>
        <v>0</v>
      </c>
      <c r="P30" s="549">
        <f t="shared" si="5"/>
        <v>0</v>
      </c>
      <c r="Q30" s="549">
        <f t="shared" si="5"/>
        <v>0</v>
      </c>
      <c r="R30" s="549">
        <f t="shared" si="5"/>
        <v>0</v>
      </c>
      <c r="S30" s="549">
        <f t="shared" si="5"/>
        <v>0</v>
      </c>
      <c r="T30" s="549">
        <f t="shared" si="5"/>
        <v>0</v>
      </c>
      <c r="U30" s="549">
        <f t="shared" si="5"/>
        <v>0</v>
      </c>
      <c r="V30" s="549">
        <f t="shared" si="5"/>
        <v>0</v>
      </c>
      <c r="W30" s="549">
        <f t="shared" si="5"/>
        <v>0</v>
      </c>
      <c r="X30" s="549">
        <f t="shared" si="5"/>
        <v>0</v>
      </c>
      <c r="Y30" s="549">
        <f t="shared" si="5"/>
        <v>0</v>
      </c>
      <c r="Z30" s="549">
        <f t="shared" si="5"/>
        <v>0</v>
      </c>
      <c r="AA30" s="549">
        <f t="shared" si="5"/>
        <v>0</v>
      </c>
      <c r="AB30" s="549">
        <f t="shared" si="5"/>
        <v>0</v>
      </c>
      <c r="AC30" s="549">
        <f t="shared" si="5"/>
        <v>0</v>
      </c>
      <c r="AD30" s="549">
        <f t="shared" si="5"/>
        <v>0</v>
      </c>
      <c r="AE30" s="549">
        <f t="shared" si="5"/>
        <v>0</v>
      </c>
      <c r="AF30" s="549">
        <f t="shared" si="5"/>
        <v>0</v>
      </c>
      <c r="AG30" s="549">
        <f t="shared" si="5"/>
        <v>0</v>
      </c>
      <c r="AH30" s="549">
        <f t="shared" si="5"/>
        <v>0</v>
      </c>
      <c r="AI30" s="549">
        <f t="shared" si="5"/>
        <v>0</v>
      </c>
    </row>
    <row r="31" spans="3:35">
      <c r="C31" s="101"/>
    </row>
    <row r="32" spans="3:35" ht="14.4" thickBot="1">
      <c r="C32" s="101"/>
    </row>
    <row r="33" spans="3:35" ht="28.2" thickBot="1">
      <c r="C33" s="235" t="s">
        <v>400</v>
      </c>
    </row>
    <row r="34" spans="3:35" ht="53.4" thickBot="1">
      <c r="C34" s="307" t="s">
        <v>401</v>
      </c>
    </row>
    <row r="36" spans="3:35">
      <c r="C36" s="303" t="s">
        <v>402</v>
      </c>
      <c r="D36" s="303" t="s">
        <v>288</v>
      </c>
      <c r="E36" s="303" t="s">
        <v>403</v>
      </c>
      <c r="F36" s="100" cm="1">
        <f t="array" ref="F36:Y36">Háttér_listák!$B$139:INDEX(Háttér_listák!$B$139:$AF$139,MATCH(0,Háttér_listák!$B$138:$AF$138,0)-1)</f>
        <v>2025</v>
      </c>
      <c r="G36" s="100">
        <v>2026</v>
      </c>
      <c r="H36" s="100">
        <v>2027</v>
      </c>
      <c r="I36" s="100">
        <v>2028</v>
      </c>
      <c r="J36" s="100">
        <v>2029</v>
      </c>
      <c r="K36" s="100">
        <v>2030</v>
      </c>
      <c r="L36" s="100">
        <v>2031</v>
      </c>
      <c r="M36" s="100">
        <v>2032</v>
      </c>
      <c r="N36" s="100">
        <v>2033</v>
      </c>
      <c r="O36" s="100">
        <v>2034</v>
      </c>
      <c r="P36" s="100">
        <v>2035</v>
      </c>
      <c r="Q36" s="100">
        <v>2036</v>
      </c>
      <c r="R36" s="100">
        <v>2037</v>
      </c>
      <c r="S36" s="100">
        <v>2038</v>
      </c>
      <c r="T36" s="100">
        <v>2039</v>
      </c>
      <c r="U36" s="100">
        <v>2040</v>
      </c>
      <c r="V36" s="100">
        <v>2041</v>
      </c>
      <c r="W36" s="100">
        <v>2042</v>
      </c>
      <c r="X36" s="100">
        <v>2043</v>
      </c>
      <c r="Y36" s="100">
        <v>2044</v>
      </c>
      <c r="Z36" s="100"/>
      <c r="AA36" s="100"/>
      <c r="AB36" s="100"/>
      <c r="AC36" s="100"/>
      <c r="AD36" s="100"/>
      <c r="AE36" s="100"/>
      <c r="AF36" s="100"/>
      <c r="AG36" s="100"/>
      <c r="AH36" s="100"/>
      <c r="AI36" s="100"/>
    </row>
    <row r="37" spans="3:35">
      <c r="C37" s="30" t="s">
        <v>404</v>
      </c>
      <c r="D37" s="541">
        <f t="shared" ref="D37:D42" si="6">SUM(F37:AI37)</f>
        <v>361700000</v>
      </c>
      <c r="E37" s="541">
        <f t="shared" ref="E37:E42" si="7">F37+NPV(edr,G37:AI37)</f>
        <v>361700000</v>
      </c>
      <c r="F37" s="537">
        <f>F10</f>
        <v>361700000</v>
      </c>
      <c r="G37" s="537">
        <f t="shared" ref="G37:AI37" si="8">G10</f>
        <v>0</v>
      </c>
      <c r="H37" s="537">
        <f t="shared" si="8"/>
        <v>0</v>
      </c>
      <c r="I37" s="537">
        <f t="shared" si="8"/>
        <v>0</v>
      </c>
      <c r="J37" s="537">
        <f t="shared" si="8"/>
        <v>0</v>
      </c>
      <c r="K37" s="537">
        <f t="shared" si="8"/>
        <v>0</v>
      </c>
      <c r="L37" s="537">
        <f t="shared" si="8"/>
        <v>0</v>
      </c>
      <c r="M37" s="537">
        <f t="shared" si="8"/>
        <v>0</v>
      </c>
      <c r="N37" s="537">
        <f t="shared" si="8"/>
        <v>0</v>
      </c>
      <c r="O37" s="537">
        <f t="shared" si="8"/>
        <v>0</v>
      </c>
      <c r="P37" s="537">
        <f t="shared" si="8"/>
        <v>0</v>
      </c>
      <c r="Q37" s="537">
        <f t="shared" si="8"/>
        <v>0</v>
      </c>
      <c r="R37" s="537">
        <f t="shared" si="8"/>
        <v>0</v>
      </c>
      <c r="S37" s="537">
        <f t="shared" si="8"/>
        <v>0</v>
      </c>
      <c r="T37" s="537">
        <f t="shared" si="8"/>
        <v>0</v>
      </c>
      <c r="U37" s="537">
        <f t="shared" si="8"/>
        <v>0</v>
      </c>
      <c r="V37" s="537">
        <f t="shared" si="8"/>
        <v>0</v>
      </c>
      <c r="W37" s="537">
        <f t="shared" si="8"/>
        <v>0</v>
      </c>
      <c r="X37" s="537">
        <f t="shared" si="8"/>
        <v>0</v>
      </c>
      <c r="Y37" s="537">
        <f t="shared" si="8"/>
        <v>0</v>
      </c>
      <c r="Z37" s="537">
        <f t="shared" si="8"/>
        <v>0</v>
      </c>
      <c r="AA37" s="537">
        <f t="shared" si="8"/>
        <v>0</v>
      </c>
      <c r="AB37" s="537">
        <f t="shared" si="8"/>
        <v>0</v>
      </c>
      <c r="AC37" s="537">
        <f t="shared" si="8"/>
        <v>0</v>
      </c>
      <c r="AD37" s="537">
        <f t="shared" si="8"/>
        <v>0</v>
      </c>
      <c r="AE37" s="537">
        <f t="shared" si="8"/>
        <v>0</v>
      </c>
      <c r="AF37" s="537">
        <f t="shared" si="8"/>
        <v>0</v>
      </c>
      <c r="AG37" s="537">
        <f t="shared" si="8"/>
        <v>0</v>
      </c>
      <c r="AH37" s="537">
        <f t="shared" si="8"/>
        <v>0</v>
      </c>
      <c r="AI37" s="537">
        <f t="shared" si="8"/>
        <v>0</v>
      </c>
    </row>
    <row r="38" spans="3:35">
      <c r="C38" s="30" t="s">
        <v>419</v>
      </c>
      <c r="D38" s="541">
        <f t="shared" si="6"/>
        <v>13051174.905538369</v>
      </c>
      <c r="E38" s="541">
        <f t="shared" si="7"/>
        <v>8635581.9662230443</v>
      </c>
      <c r="F38" s="537">
        <f>SUM(F39:F40)</f>
        <v>0</v>
      </c>
      <c r="G38" s="537">
        <f t="shared" ref="G38:AI38" si="9">SUM(G39:G40)</f>
        <v>450040.51398408157</v>
      </c>
      <c r="H38" s="537">
        <f t="shared" si="9"/>
        <v>450040.51398408157</v>
      </c>
      <c r="I38" s="537">
        <f t="shared" si="9"/>
        <v>450040.51398408157</v>
      </c>
      <c r="J38" s="537">
        <f t="shared" si="9"/>
        <v>450040.51398408157</v>
      </c>
      <c r="K38" s="537">
        <f t="shared" si="9"/>
        <v>450040.51398408157</v>
      </c>
      <c r="L38" s="537">
        <f t="shared" si="9"/>
        <v>450040.51398408157</v>
      </c>
      <c r="M38" s="537">
        <f t="shared" si="9"/>
        <v>450040.51398408157</v>
      </c>
      <c r="N38" s="537">
        <f t="shared" si="9"/>
        <v>450040.51398408157</v>
      </c>
      <c r="O38" s="537">
        <f t="shared" si="9"/>
        <v>450040.51398408157</v>
      </c>
      <c r="P38" s="537">
        <f t="shared" si="9"/>
        <v>450040.51398408157</v>
      </c>
      <c r="Q38" s="537">
        <f t="shared" si="9"/>
        <v>450040.51398408157</v>
      </c>
      <c r="R38" s="537">
        <f t="shared" si="9"/>
        <v>450040.51398408157</v>
      </c>
      <c r="S38" s="537">
        <f t="shared" si="9"/>
        <v>450040.51398408157</v>
      </c>
      <c r="T38" s="537">
        <f t="shared" si="9"/>
        <v>450040.51398408157</v>
      </c>
      <c r="U38" s="537">
        <f t="shared" si="9"/>
        <v>450040.51398408157</v>
      </c>
      <c r="V38" s="537">
        <f t="shared" si="9"/>
        <v>450040.51398408157</v>
      </c>
      <c r="W38" s="537">
        <f t="shared" si="9"/>
        <v>450040.51398408157</v>
      </c>
      <c r="X38" s="537">
        <f t="shared" si="9"/>
        <v>450040.51398408157</v>
      </c>
      <c r="Y38" s="537">
        <f t="shared" si="9"/>
        <v>450040.51398408157</v>
      </c>
      <c r="Z38" s="537">
        <f t="shared" si="9"/>
        <v>450040.51398408157</v>
      </c>
      <c r="AA38" s="537">
        <f t="shared" si="9"/>
        <v>450040.51398408157</v>
      </c>
      <c r="AB38" s="537">
        <f t="shared" si="9"/>
        <v>450040.51398408157</v>
      </c>
      <c r="AC38" s="537">
        <f t="shared" si="9"/>
        <v>450040.51398408157</v>
      </c>
      <c r="AD38" s="537">
        <f t="shared" si="9"/>
        <v>450040.51398408157</v>
      </c>
      <c r="AE38" s="537">
        <f t="shared" si="9"/>
        <v>450040.51398408157</v>
      </c>
      <c r="AF38" s="537">
        <f t="shared" si="9"/>
        <v>450040.51398408157</v>
      </c>
      <c r="AG38" s="537">
        <f t="shared" si="9"/>
        <v>450040.51398408157</v>
      </c>
      <c r="AH38" s="537">
        <f t="shared" si="9"/>
        <v>450040.51398408157</v>
      </c>
      <c r="AI38" s="537">
        <f t="shared" si="9"/>
        <v>450040.51398408157</v>
      </c>
    </row>
    <row r="39" spans="3:35" ht="14.4">
      <c r="C39" s="309" t="s">
        <v>420</v>
      </c>
      <c r="D39" s="541">
        <f t="shared" si="6"/>
        <v>13051174.905538369</v>
      </c>
      <c r="E39" s="541">
        <f t="shared" si="7"/>
        <v>8635581.9662230443</v>
      </c>
      <c r="F39" s="551">
        <f t="shared" ref="F39:AI39" si="10">F24</f>
        <v>0</v>
      </c>
      <c r="G39" s="551">
        <f t="shared" si="10"/>
        <v>450040.51398408157</v>
      </c>
      <c r="H39" s="551">
        <f t="shared" si="10"/>
        <v>450040.51398408157</v>
      </c>
      <c r="I39" s="551">
        <f t="shared" si="10"/>
        <v>450040.51398408157</v>
      </c>
      <c r="J39" s="551">
        <f t="shared" si="10"/>
        <v>450040.51398408157</v>
      </c>
      <c r="K39" s="551">
        <f t="shared" si="10"/>
        <v>450040.51398408157</v>
      </c>
      <c r="L39" s="551">
        <f t="shared" si="10"/>
        <v>450040.51398408157</v>
      </c>
      <c r="M39" s="551">
        <f t="shared" si="10"/>
        <v>450040.51398408157</v>
      </c>
      <c r="N39" s="551">
        <f t="shared" si="10"/>
        <v>450040.51398408157</v>
      </c>
      <c r="O39" s="551">
        <f t="shared" si="10"/>
        <v>450040.51398408157</v>
      </c>
      <c r="P39" s="551">
        <f t="shared" si="10"/>
        <v>450040.51398408157</v>
      </c>
      <c r="Q39" s="551">
        <f t="shared" si="10"/>
        <v>450040.51398408157</v>
      </c>
      <c r="R39" s="551">
        <f t="shared" si="10"/>
        <v>450040.51398408157</v>
      </c>
      <c r="S39" s="551">
        <f t="shared" si="10"/>
        <v>450040.51398408157</v>
      </c>
      <c r="T39" s="551">
        <f t="shared" si="10"/>
        <v>450040.51398408157</v>
      </c>
      <c r="U39" s="551">
        <f t="shared" si="10"/>
        <v>450040.51398408157</v>
      </c>
      <c r="V39" s="551">
        <f t="shared" si="10"/>
        <v>450040.51398408157</v>
      </c>
      <c r="W39" s="551">
        <f t="shared" si="10"/>
        <v>450040.51398408157</v>
      </c>
      <c r="X39" s="551">
        <f t="shared" si="10"/>
        <v>450040.51398408157</v>
      </c>
      <c r="Y39" s="551">
        <f t="shared" si="10"/>
        <v>450040.51398408157</v>
      </c>
      <c r="Z39" s="551">
        <f t="shared" si="10"/>
        <v>450040.51398408157</v>
      </c>
      <c r="AA39" s="551">
        <f t="shared" si="10"/>
        <v>450040.51398408157</v>
      </c>
      <c r="AB39" s="551">
        <f t="shared" si="10"/>
        <v>450040.51398408157</v>
      </c>
      <c r="AC39" s="551">
        <f t="shared" si="10"/>
        <v>450040.51398408157</v>
      </c>
      <c r="AD39" s="551">
        <f t="shared" si="10"/>
        <v>450040.51398408157</v>
      </c>
      <c r="AE39" s="551">
        <f t="shared" si="10"/>
        <v>450040.51398408157</v>
      </c>
      <c r="AF39" s="551">
        <f t="shared" si="10"/>
        <v>450040.51398408157</v>
      </c>
      <c r="AG39" s="551">
        <f t="shared" si="10"/>
        <v>450040.51398408157</v>
      </c>
      <c r="AH39" s="551">
        <f t="shared" si="10"/>
        <v>450040.51398408157</v>
      </c>
      <c r="AI39" s="551">
        <f t="shared" si="10"/>
        <v>450040.51398408157</v>
      </c>
    </row>
    <row r="40" spans="3:35" ht="14.4">
      <c r="C40" s="309" t="s">
        <v>421</v>
      </c>
      <c r="D40" s="541">
        <f t="shared" si="6"/>
        <v>0</v>
      </c>
      <c r="E40" s="541">
        <f t="shared" si="7"/>
        <v>0</v>
      </c>
      <c r="F40" s="551">
        <f t="shared" ref="F40:AI40" si="11">F30</f>
        <v>0</v>
      </c>
      <c r="G40" s="551">
        <f t="shared" si="11"/>
        <v>0</v>
      </c>
      <c r="H40" s="551">
        <f t="shared" si="11"/>
        <v>0</v>
      </c>
      <c r="I40" s="551">
        <f t="shared" si="11"/>
        <v>0</v>
      </c>
      <c r="J40" s="551">
        <f t="shared" si="11"/>
        <v>0</v>
      </c>
      <c r="K40" s="551">
        <f t="shared" si="11"/>
        <v>0</v>
      </c>
      <c r="L40" s="551">
        <f t="shared" si="11"/>
        <v>0</v>
      </c>
      <c r="M40" s="551">
        <f t="shared" si="11"/>
        <v>0</v>
      </c>
      <c r="N40" s="551">
        <f t="shared" si="11"/>
        <v>0</v>
      </c>
      <c r="O40" s="551">
        <f t="shared" si="11"/>
        <v>0</v>
      </c>
      <c r="P40" s="551">
        <f t="shared" si="11"/>
        <v>0</v>
      </c>
      <c r="Q40" s="551">
        <f t="shared" si="11"/>
        <v>0</v>
      </c>
      <c r="R40" s="551">
        <f t="shared" si="11"/>
        <v>0</v>
      </c>
      <c r="S40" s="551">
        <f t="shared" si="11"/>
        <v>0</v>
      </c>
      <c r="T40" s="551">
        <f t="shared" si="11"/>
        <v>0</v>
      </c>
      <c r="U40" s="551">
        <f t="shared" si="11"/>
        <v>0</v>
      </c>
      <c r="V40" s="551">
        <f t="shared" si="11"/>
        <v>0</v>
      </c>
      <c r="W40" s="551">
        <f t="shared" si="11"/>
        <v>0</v>
      </c>
      <c r="X40" s="551">
        <f t="shared" si="11"/>
        <v>0</v>
      </c>
      <c r="Y40" s="551">
        <f t="shared" si="11"/>
        <v>0</v>
      </c>
      <c r="Z40" s="551">
        <f t="shared" si="11"/>
        <v>0</v>
      </c>
      <c r="AA40" s="551">
        <f t="shared" si="11"/>
        <v>0</v>
      </c>
      <c r="AB40" s="551">
        <f t="shared" si="11"/>
        <v>0</v>
      </c>
      <c r="AC40" s="551">
        <f t="shared" si="11"/>
        <v>0</v>
      </c>
      <c r="AD40" s="551">
        <f t="shared" si="11"/>
        <v>0</v>
      </c>
      <c r="AE40" s="551">
        <f t="shared" si="11"/>
        <v>0</v>
      </c>
      <c r="AF40" s="551">
        <f t="shared" si="11"/>
        <v>0</v>
      </c>
      <c r="AG40" s="551">
        <f t="shared" si="11"/>
        <v>0</v>
      </c>
      <c r="AH40" s="551">
        <f t="shared" si="11"/>
        <v>0</v>
      </c>
      <c r="AI40" s="551">
        <f t="shared" si="11"/>
        <v>0</v>
      </c>
    </row>
    <row r="41" spans="3:35">
      <c r="C41" s="30" t="s">
        <v>405</v>
      </c>
      <c r="D41" s="541">
        <f t="shared" si="6"/>
        <v>130900000</v>
      </c>
      <c r="E41" s="541">
        <f t="shared" si="7"/>
        <v>55546938.825251095</v>
      </c>
      <c r="F41" s="537">
        <f>F11</f>
        <v>0</v>
      </c>
      <c r="G41" s="537">
        <f t="shared" ref="G41:AI41" si="12">G11</f>
        <v>0</v>
      </c>
      <c r="H41" s="537">
        <f t="shared" si="12"/>
        <v>0</v>
      </c>
      <c r="I41" s="537">
        <f t="shared" si="12"/>
        <v>0</v>
      </c>
      <c r="J41" s="537">
        <f t="shared" si="12"/>
        <v>0</v>
      </c>
      <c r="K41" s="537">
        <f t="shared" si="12"/>
        <v>0</v>
      </c>
      <c r="L41" s="537">
        <f t="shared" si="12"/>
        <v>0</v>
      </c>
      <c r="M41" s="537">
        <f t="shared" si="12"/>
        <v>0</v>
      </c>
      <c r="N41" s="537">
        <f t="shared" si="12"/>
        <v>0</v>
      </c>
      <c r="O41" s="537">
        <f t="shared" si="12"/>
        <v>0</v>
      </c>
      <c r="P41" s="537">
        <f t="shared" si="12"/>
        <v>0</v>
      </c>
      <c r="Q41" s="537">
        <f t="shared" si="12"/>
        <v>0</v>
      </c>
      <c r="R41" s="537">
        <f t="shared" si="12"/>
        <v>0</v>
      </c>
      <c r="S41" s="537">
        <f t="shared" si="12"/>
        <v>0</v>
      </c>
      <c r="T41" s="537">
        <f t="shared" si="12"/>
        <v>0</v>
      </c>
      <c r="U41" s="537">
        <f t="shared" si="12"/>
        <v>0</v>
      </c>
      <c r="V41" s="537">
        <f t="shared" si="12"/>
        <v>0</v>
      </c>
      <c r="W41" s="537">
        <f t="shared" si="12"/>
        <v>0</v>
      </c>
      <c r="X41" s="537">
        <f t="shared" si="12"/>
        <v>0</v>
      </c>
      <c r="Y41" s="537">
        <f t="shared" si="12"/>
        <v>0</v>
      </c>
      <c r="Z41" s="537">
        <f t="shared" si="12"/>
        <v>0</v>
      </c>
      <c r="AA41" s="537">
        <f t="shared" si="12"/>
        <v>0</v>
      </c>
      <c r="AB41" s="537">
        <f t="shared" si="12"/>
        <v>0</v>
      </c>
      <c r="AC41" s="537">
        <f t="shared" si="12"/>
        <v>0</v>
      </c>
      <c r="AD41" s="537">
        <f t="shared" si="12"/>
        <v>0</v>
      </c>
      <c r="AE41" s="537">
        <f t="shared" si="12"/>
        <v>0</v>
      </c>
      <c r="AF41" s="537">
        <f t="shared" si="12"/>
        <v>0</v>
      </c>
      <c r="AG41" s="537">
        <f t="shared" si="12"/>
        <v>0</v>
      </c>
      <c r="AH41" s="537">
        <f t="shared" si="12"/>
        <v>0</v>
      </c>
      <c r="AI41" s="537">
        <f t="shared" si="12"/>
        <v>130900000</v>
      </c>
    </row>
    <row r="42" spans="3:35">
      <c r="C42" s="35" t="s">
        <v>288</v>
      </c>
      <c r="D42" s="542">
        <f t="shared" si="6"/>
        <v>243851174.90553844</v>
      </c>
      <c r="E42" s="542">
        <f t="shared" si="7"/>
        <v>314788643.14097196</v>
      </c>
      <c r="F42" s="549">
        <f>F37+F38-F41</f>
        <v>361700000</v>
      </c>
      <c r="G42" s="549">
        <f t="shared" ref="G42:AI42" si="13">G37+G38-G41</f>
        <v>450040.51398408157</v>
      </c>
      <c r="H42" s="549">
        <f t="shared" si="13"/>
        <v>450040.51398408157</v>
      </c>
      <c r="I42" s="549">
        <f t="shared" si="13"/>
        <v>450040.51398408157</v>
      </c>
      <c r="J42" s="549">
        <f t="shared" si="13"/>
        <v>450040.51398408157</v>
      </c>
      <c r="K42" s="549">
        <f t="shared" si="13"/>
        <v>450040.51398408157</v>
      </c>
      <c r="L42" s="549">
        <f t="shared" si="13"/>
        <v>450040.51398408157</v>
      </c>
      <c r="M42" s="549">
        <f t="shared" si="13"/>
        <v>450040.51398408157</v>
      </c>
      <c r="N42" s="549">
        <f t="shared" si="13"/>
        <v>450040.51398408157</v>
      </c>
      <c r="O42" s="549">
        <f t="shared" si="13"/>
        <v>450040.51398408157</v>
      </c>
      <c r="P42" s="549">
        <f t="shared" si="13"/>
        <v>450040.51398408157</v>
      </c>
      <c r="Q42" s="549">
        <f t="shared" si="13"/>
        <v>450040.51398408157</v>
      </c>
      <c r="R42" s="549">
        <f t="shared" si="13"/>
        <v>450040.51398408157</v>
      </c>
      <c r="S42" s="549">
        <f t="shared" si="13"/>
        <v>450040.51398408157</v>
      </c>
      <c r="T42" s="549">
        <f t="shared" si="13"/>
        <v>450040.51398408157</v>
      </c>
      <c r="U42" s="549">
        <f t="shared" si="13"/>
        <v>450040.51398408157</v>
      </c>
      <c r="V42" s="549">
        <f t="shared" si="13"/>
        <v>450040.51398408157</v>
      </c>
      <c r="W42" s="549">
        <f t="shared" si="13"/>
        <v>450040.51398408157</v>
      </c>
      <c r="X42" s="549">
        <f t="shared" si="13"/>
        <v>450040.51398408157</v>
      </c>
      <c r="Y42" s="549">
        <f t="shared" si="13"/>
        <v>450040.51398408157</v>
      </c>
      <c r="Z42" s="549">
        <f t="shared" si="13"/>
        <v>450040.51398408157</v>
      </c>
      <c r="AA42" s="549">
        <f t="shared" si="13"/>
        <v>450040.51398408157</v>
      </c>
      <c r="AB42" s="549">
        <f t="shared" si="13"/>
        <v>450040.51398408157</v>
      </c>
      <c r="AC42" s="549">
        <f t="shared" si="13"/>
        <v>450040.51398408157</v>
      </c>
      <c r="AD42" s="549">
        <f t="shared" si="13"/>
        <v>450040.51398408157</v>
      </c>
      <c r="AE42" s="549">
        <f t="shared" si="13"/>
        <v>450040.51398408157</v>
      </c>
      <c r="AF42" s="549">
        <f t="shared" si="13"/>
        <v>450040.51398408157</v>
      </c>
      <c r="AG42" s="549">
        <f t="shared" si="13"/>
        <v>450040.51398408157</v>
      </c>
      <c r="AH42" s="549">
        <f t="shared" si="13"/>
        <v>450040.51398408157</v>
      </c>
      <c r="AI42" s="549">
        <f t="shared" si="13"/>
        <v>-130449959.48601592</v>
      </c>
    </row>
    <row r="44" spans="3:35" ht="14.4" thickBot="1"/>
    <row r="45" spans="3:35" ht="28.2" thickBot="1">
      <c r="C45" s="235" t="s">
        <v>422</v>
      </c>
    </row>
    <row r="46" spans="3:35" ht="66.599999999999994" thickBot="1">
      <c r="C46" s="307" t="s">
        <v>423</v>
      </c>
    </row>
    <row r="48" spans="3:35">
      <c r="C48" s="303" t="s">
        <v>424</v>
      </c>
      <c r="D48" s="303" t="s">
        <v>288</v>
      </c>
      <c r="E48" s="303" t="s">
        <v>403</v>
      </c>
      <c r="F48" s="100" cm="1">
        <f t="array" ref="F48:Y48">Háttér_listák!$B$139:INDEX(Háttér_listák!$B$139:$AF$139,MATCH(0,Háttér_listák!$B$138:$AF$138,0)-1)</f>
        <v>2025</v>
      </c>
      <c r="G48" s="100">
        <v>2026</v>
      </c>
      <c r="H48" s="100">
        <v>2027</v>
      </c>
      <c r="I48" s="100">
        <v>2028</v>
      </c>
      <c r="J48" s="100">
        <v>2029</v>
      </c>
      <c r="K48" s="100">
        <v>2030</v>
      </c>
      <c r="L48" s="100">
        <v>2031</v>
      </c>
      <c r="M48" s="100">
        <v>2032</v>
      </c>
      <c r="N48" s="100">
        <v>2033</v>
      </c>
      <c r="O48" s="100">
        <v>2034</v>
      </c>
      <c r="P48" s="100">
        <v>2035</v>
      </c>
      <c r="Q48" s="100">
        <v>2036</v>
      </c>
      <c r="R48" s="100">
        <v>2037</v>
      </c>
      <c r="S48" s="100">
        <v>2038</v>
      </c>
      <c r="T48" s="100">
        <v>2039</v>
      </c>
      <c r="U48" s="100">
        <v>2040</v>
      </c>
      <c r="V48" s="100">
        <v>2041</v>
      </c>
      <c r="W48" s="100">
        <v>2042</v>
      </c>
      <c r="X48" s="100">
        <v>2043</v>
      </c>
      <c r="Y48" s="100">
        <v>2044</v>
      </c>
      <c r="Z48" s="100"/>
      <c r="AA48" s="100"/>
      <c r="AB48" s="100"/>
      <c r="AC48" s="100"/>
      <c r="AD48" s="100"/>
      <c r="AE48" s="100"/>
      <c r="AF48" s="100"/>
      <c r="AG48" s="100"/>
      <c r="AH48" s="100"/>
      <c r="AI48" s="100"/>
    </row>
    <row r="49" spans="3:35">
      <c r="C49" s="35" t="s">
        <v>425</v>
      </c>
      <c r="D49" s="542">
        <f>SUM(F49:AI49)</f>
        <v>116000000</v>
      </c>
      <c r="E49" s="542">
        <f t="shared" ref="E49:E64" si="14">F49+NPV(edr,G49:AI49)</f>
        <v>76753818.359815463</v>
      </c>
      <c r="F49" s="549">
        <f>SUM(F50:F53)</f>
        <v>0</v>
      </c>
      <c r="G49" s="549">
        <f t="shared" ref="G49:AI49" si="15">SUM(G50:G53)</f>
        <v>4000000</v>
      </c>
      <c r="H49" s="549">
        <f t="shared" si="15"/>
        <v>4000000</v>
      </c>
      <c r="I49" s="549">
        <f t="shared" si="15"/>
        <v>4000000</v>
      </c>
      <c r="J49" s="549">
        <f t="shared" si="15"/>
        <v>4000000</v>
      </c>
      <c r="K49" s="549">
        <f t="shared" si="15"/>
        <v>4000000</v>
      </c>
      <c r="L49" s="549">
        <f t="shared" si="15"/>
        <v>4000000</v>
      </c>
      <c r="M49" s="549">
        <f t="shared" si="15"/>
        <v>4000000</v>
      </c>
      <c r="N49" s="549">
        <f t="shared" si="15"/>
        <v>4000000</v>
      </c>
      <c r="O49" s="549">
        <f t="shared" si="15"/>
        <v>4000000</v>
      </c>
      <c r="P49" s="549">
        <f t="shared" si="15"/>
        <v>4000000</v>
      </c>
      <c r="Q49" s="549">
        <f t="shared" si="15"/>
        <v>4000000</v>
      </c>
      <c r="R49" s="549">
        <f t="shared" si="15"/>
        <v>4000000</v>
      </c>
      <c r="S49" s="549">
        <f t="shared" si="15"/>
        <v>4000000</v>
      </c>
      <c r="T49" s="549">
        <f t="shared" si="15"/>
        <v>4000000</v>
      </c>
      <c r="U49" s="549">
        <f t="shared" si="15"/>
        <v>4000000</v>
      </c>
      <c r="V49" s="549">
        <f t="shared" si="15"/>
        <v>4000000</v>
      </c>
      <c r="W49" s="549">
        <f t="shared" si="15"/>
        <v>4000000</v>
      </c>
      <c r="X49" s="549">
        <f t="shared" si="15"/>
        <v>4000000</v>
      </c>
      <c r="Y49" s="549">
        <f t="shared" si="15"/>
        <v>4000000</v>
      </c>
      <c r="Z49" s="549">
        <f t="shared" si="15"/>
        <v>4000000</v>
      </c>
      <c r="AA49" s="549">
        <f t="shared" si="15"/>
        <v>4000000</v>
      </c>
      <c r="AB49" s="549">
        <f t="shared" si="15"/>
        <v>4000000</v>
      </c>
      <c r="AC49" s="549">
        <f t="shared" si="15"/>
        <v>4000000</v>
      </c>
      <c r="AD49" s="549">
        <f t="shared" si="15"/>
        <v>4000000</v>
      </c>
      <c r="AE49" s="549">
        <f t="shared" si="15"/>
        <v>4000000</v>
      </c>
      <c r="AF49" s="549">
        <f t="shared" si="15"/>
        <v>4000000</v>
      </c>
      <c r="AG49" s="549">
        <f t="shared" si="15"/>
        <v>4000000</v>
      </c>
      <c r="AH49" s="549">
        <f t="shared" si="15"/>
        <v>4000000</v>
      </c>
      <c r="AI49" s="549">
        <f t="shared" si="15"/>
        <v>4000000</v>
      </c>
    </row>
    <row r="50" spans="3:35">
      <c r="C50" s="310" t="s">
        <v>426</v>
      </c>
      <c r="D50" s="541">
        <f t="shared" ref="D50:D64" si="16">SUM(F50:AI50)</f>
        <v>116000000</v>
      </c>
      <c r="E50" s="541">
        <f t="shared" si="14"/>
        <v>76753818.359815463</v>
      </c>
      <c r="F50" s="274">
        <v>0</v>
      </c>
      <c r="G50" s="274">
        <v>4000000</v>
      </c>
      <c r="H50" s="274">
        <v>4000000</v>
      </c>
      <c r="I50" s="274">
        <v>4000000</v>
      </c>
      <c r="J50" s="274">
        <v>4000000</v>
      </c>
      <c r="K50" s="274">
        <v>4000000</v>
      </c>
      <c r="L50" s="274">
        <v>4000000</v>
      </c>
      <c r="M50" s="274">
        <v>4000000</v>
      </c>
      <c r="N50" s="274">
        <v>4000000</v>
      </c>
      <c r="O50" s="274">
        <v>4000000</v>
      </c>
      <c r="P50" s="274">
        <v>4000000</v>
      </c>
      <c r="Q50" s="274">
        <v>4000000</v>
      </c>
      <c r="R50" s="274">
        <v>4000000</v>
      </c>
      <c r="S50" s="274">
        <v>4000000</v>
      </c>
      <c r="T50" s="274">
        <v>4000000</v>
      </c>
      <c r="U50" s="274">
        <v>4000000</v>
      </c>
      <c r="V50" s="274">
        <v>4000000</v>
      </c>
      <c r="W50" s="274">
        <v>4000000</v>
      </c>
      <c r="X50" s="274">
        <v>4000000</v>
      </c>
      <c r="Y50" s="274">
        <v>4000000</v>
      </c>
      <c r="Z50" s="274">
        <v>4000000</v>
      </c>
      <c r="AA50" s="274">
        <v>4000000</v>
      </c>
      <c r="AB50" s="274">
        <v>4000000</v>
      </c>
      <c r="AC50" s="274">
        <v>4000000</v>
      </c>
      <c r="AD50" s="274">
        <v>4000000</v>
      </c>
      <c r="AE50" s="274">
        <v>4000000</v>
      </c>
      <c r="AF50" s="274">
        <v>4000000</v>
      </c>
      <c r="AG50" s="274">
        <v>4000000</v>
      </c>
      <c r="AH50" s="274">
        <v>4000000</v>
      </c>
      <c r="AI50" s="274">
        <v>4000000</v>
      </c>
    </row>
    <row r="51" spans="3:35">
      <c r="C51" s="310"/>
      <c r="D51" s="541">
        <f t="shared" si="16"/>
        <v>0</v>
      </c>
      <c r="E51" s="541">
        <f t="shared" si="14"/>
        <v>0</v>
      </c>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4"/>
      <c r="AG51" s="274"/>
      <c r="AH51" s="274"/>
      <c r="AI51" s="274"/>
    </row>
    <row r="52" spans="3:35">
      <c r="C52" s="310"/>
      <c r="D52" s="541">
        <f t="shared" si="16"/>
        <v>0</v>
      </c>
      <c r="E52" s="541">
        <f t="shared" si="14"/>
        <v>0</v>
      </c>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c r="AE52" s="274"/>
      <c r="AF52" s="274"/>
      <c r="AG52" s="274"/>
      <c r="AH52" s="274"/>
      <c r="AI52" s="274"/>
    </row>
    <row r="53" spans="3:35">
      <c r="C53" s="310"/>
      <c r="D53" s="541">
        <f t="shared" si="16"/>
        <v>0</v>
      </c>
      <c r="E53" s="541">
        <f t="shared" si="14"/>
        <v>0</v>
      </c>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274"/>
      <c r="AH53" s="274"/>
      <c r="AI53" s="274"/>
    </row>
    <row r="54" spans="3:35">
      <c r="C54" s="35" t="s">
        <v>427</v>
      </c>
      <c r="D54" s="542">
        <f t="shared" si="16"/>
        <v>522000000</v>
      </c>
      <c r="E54" s="542">
        <f t="shared" si="14"/>
        <v>345392182.61916959</v>
      </c>
      <c r="F54" s="549">
        <f>SUM(F55:F58)</f>
        <v>0</v>
      </c>
      <c r="G54" s="549">
        <f t="shared" ref="G54:AI54" si="17">SUM(G55:G58)</f>
        <v>18000000</v>
      </c>
      <c r="H54" s="549">
        <f t="shared" si="17"/>
        <v>18000000</v>
      </c>
      <c r="I54" s="549">
        <f t="shared" si="17"/>
        <v>18000000</v>
      </c>
      <c r="J54" s="549">
        <f t="shared" si="17"/>
        <v>18000000</v>
      </c>
      <c r="K54" s="549">
        <f t="shared" si="17"/>
        <v>18000000</v>
      </c>
      <c r="L54" s="549">
        <f t="shared" si="17"/>
        <v>18000000</v>
      </c>
      <c r="M54" s="549">
        <f t="shared" si="17"/>
        <v>18000000</v>
      </c>
      <c r="N54" s="549">
        <f t="shared" si="17"/>
        <v>18000000</v>
      </c>
      <c r="O54" s="549">
        <f t="shared" si="17"/>
        <v>18000000</v>
      </c>
      <c r="P54" s="549">
        <f t="shared" si="17"/>
        <v>18000000</v>
      </c>
      <c r="Q54" s="549">
        <f t="shared" si="17"/>
        <v>18000000</v>
      </c>
      <c r="R54" s="549">
        <f t="shared" si="17"/>
        <v>18000000</v>
      </c>
      <c r="S54" s="549">
        <f t="shared" si="17"/>
        <v>18000000</v>
      </c>
      <c r="T54" s="549">
        <f t="shared" si="17"/>
        <v>18000000</v>
      </c>
      <c r="U54" s="549">
        <f t="shared" si="17"/>
        <v>18000000</v>
      </c>
      <c r="V54" s="549">
        <f t="shared" si="17"/>
        <v>18000000</v>
      </c>
      <c r="W54" s="549">
        <f t="shared" si="17"/>
        <v>18000000</v>
      </c>
      <c r="X54" s="549">
        <f t="shared" si="17"/>
        <v>18000000</v>
      </c>
      <c r="Y54" s="549">
        <f t="shared" si="17"/>
        <v>18000000</v>
      </c>
      <c r="Z54" s="549">
        <f t="shared" si="17"/>
        <v>18000000</v>
      </c>
      <c r="AA54" s="549">
        <f t="shared" si="17"/>
        <v>18000000</v>
      </c>
      <c r="AB54" s="549">
        <f t="shared" si="17"/>
        <v>18000000</v>
      </c>
      <c r="AC54" s="549">
        <f t="shared" si="17"/>
        <v>18000000</v>
      </c>
      <c r="AD54" s="549">
        <f t="shared" si="17"/>
        <v>18000000</v>
      </c>
      <c r="AE54" s="549">
        <f t="shared" si="17"/>
        <v>18000000</v>
      </c>
      <c r="AF54" s="549">
        <f t="shared" si="17"/>
        <v>18000000</v>
      </c>
      <c r="AG54" s="549">
        <f t="shared" si="17"/>
        <v>18000000</v>
      </c>
      <c r="AH54" s="549">
        <f t="shared" si="17"/>
        <v>18000000</v>
      </c>
      <c r="AI54" s="549">
        <f t="shared" si="17"/>
        <v>18000000</v>
      </c>
    </row>
    <row r="55" spans="3:35">
      <c r="C55" s="310" t="s">
        <v>428</v>
      </c>
      <c r="D55" s="541">
        <f t="shared" si="16"/>
        <v>290000000</v>
      </c>
      <c r="E55" s="541">
        <f t="shared" si="14"/>
        <v>191884545.89953858</v>
      </c>
      <c r="F55" s="274">
        <v>0</v>
      </c>
      <c r="G55" s="274">
        <v>10000000</v>
      </c>
      <c r="H55" s="274">
        <v>10000000</v>
      </c>
      <c r="I55" s="274">
        <v>10000000</v>
      </c>
      <c r="J55" s="274">
        <v>10000000</v>
      </c>
      <c r="K55" s="274">
        <v>10000000</v>
      </c>
      <c r="L55" s="274">
        <v>10000000</v>
      </c>
      <c r="M55" s="274">
        <v>10000000</v>
      </c>
      <c r="N55" s="274">
        <v>10000000</v>
      </c>
      <c r="O55" s="274">
        <v>10000000</v>
      </c>
      <c r="P55" s="274">
        <v>10000000</v>
      </c>
      <c r="Q55" s="274">
        <v>10000000</v>
      </c>
      <c r="R55" s="274">
        <v>10000000</v>
      </c>
      <c r="S55" s="274">
        <v>10000000</v>
      </c>
      <c r="T55" s="274">
        <v>10000000</v>
      </c>
      <c r="U55" s="274">
        <v>10000000</v>
      </c>
      <c r="V55" s="274">
        <v>10000000</v>
      </c>
      <c r="W55" s="274">
        <v>10000000</v>
      </c>
      <c r="X55" s="274">
        <v>10000000</v>
      </c>
      <c r="Y55" s="274">
        <v>10000000</v>
      </c>
      <c r="Z55" s="274">
        <v>10000000</v>
      </c>
      <c r="AA55" s="274">
        <v>10000000</v>
      </c>
      <c r="AB55" s="274">
        <v>10000000</v>
      </c>
      <c r="AC55" s="274">
        <v>10000000</v>
      </c>
      <c r="AD55" s="274">
        <v>10000000</v>
      </c>
      <c r="AE55" s="274">
        <v>10000000</v>
      </c>
      <c r="AF55" s="274">
        <v>10000000</v>
      </c>
      <c r="AG55" s="274">
        <v>10000000</v>
      </c>
      <c r="AH55" s="274">
        <v>10000000</v>
      </c>
      <c r="AI55" s="274">
        <v>10000000</v>
      </c>
    </row>
    <row r="56" spans="3:35">
      <c r="C56" s="310" t="s">
        <v>429</v>
      </c>
      <c r="D56" s="541">
        <f t="shared" si="16"/>
        <v>145000000</v>
      </c>
      <c r="E56" s="541">
        <f t="shared" si="14"/>
        <v>95942272.949769288</v>
      </c>
      <c r="F56" s="274">
        <v>0</v>
      </c>
      <c r="G56" s="274">
        <v>5000000</v>
      </c>
      <c r="H56" s="274">
        <v>5000000</v>
      </c>
      <c r="I56" s="274">
        <v>5000000</v>
      </c>
      <c r="J56" s="274">
        <v>5000000</v>
      </c>
      <c r="K56" s="274">
        <v>5000000</v>
      </c>
      <c r="L56" s="274">
        <v>5000000</v>
      </c>
      <c r="M56" s="274">
        <v>5000000</v>
      </c>
      <c r="N56" s="274">
        <v>5000000</v>
      </c>
      <c r="O56" s="274">
        <v>5000000</v>
      </c>
      <c r="P56" s="274">
        <v>5000000</v>
      </c>
      <c r="Q56" s="274">
        <v>5000000</v>
      </c>
      <c r="R56" s="274">
        <v>5000000</v>
      </c>
      <c r="S56" s="274">
        <v>5000000</v>
      </c>
      <c r="T56" s="274">
        <v>5000000</v>
      </c>
      <c r="U56" s="274">
        <v>5000000</v>
      </c>
      <c r="V56" s="274">
        <v>5000000</v>
      </c>
      <c r="W56" s="274">
        <v>5000000</v>
      </c>
      <c r="X56" s="274">
        <v>5000000</v>
      </c>
      <c r="Y56" s="274">
        <v>5000000</v>
      </c>
      <c r="Z56" s="274">
        <v>5000000</v>
      </c>
      <c r="AA56" s="274">
        <v>5000000</v>
      </c>
      <c r="AB56" s="274">
        <v>5000000</v>
      </c>
      <c r="AC56" s="274">
        <v>5000000</v>
      </c>
      <c r="AD56" s="274">
        <v>5000000</v>
      </c>
      <c r="AE56" s="274">
        <v>5000000</v>
      </c>
      <c r="AF56" s="274">
        <v>5000000</v>
      </c>
      <c r="AG56" s="274">
        <v>5000000</v>
      </c>
      <c r="AH56" s="274">
        <v>5000000</v>
      </c>
      <c r="AI56" s="274">
        <v>5000000</v>
      </c>
    </row>
    <row r="57" spans="3:35">
      <c r="C57" s="310" t="s">
        <v>430</v>
      </c>
      <c r="D57" s="541">
        <f t="shared" si="16"/>
        <v>87000000</v>
      </c>
      <c r="E57" s="541">
        <f t="shared" si="14"/>
        <v>57565363.769861609</v>
      </c>
      <c r="F57" s="274">
        <v>0</v>
      </c>
      <c r="G57" s="274">
        <v>3000000</v>
      </c>
      <c r="H57" s="274">
        <v>3000000</v>
      </c>
      <c r="I57" s="274">
        <v>3000000</v>
      </c>
      <c r="J57" s="274">
        <v>3000000</v>
      </c>
      <c r="K57" s="274">
        <v>3000000</v>
      </c>
      <c r="L57" s="274">
        <v>3000000</v>
      </c>
      <c r="M57" s="274">
        <v>3000000</v>
      </c>
      <c r="N57" s="274">
        <v>3000000</v>
      </c>
      <c r="O57" s="274">
        <v>3000000</v>
      </c>
      <c r="P57" s="274">
        <v>3000000</v>
      </c>
      <c r="Q57" s="274">
        <v>3000000</v>
      </c>
      <c r="R57" s="274">
        <v>3000000</v>
      </c>
      <c r="S57" s="274">
        <v>3000000</v>
      </c>
      <c r="T57" s="274">
        <v>3000000</v>
      </c>
      <c r="U57" s="274">
        <v>3000000</v>
      </c>
      <c r="V57" s="274">
        <v>3000000</v>
      </c>
      <c r="W57" s="274">
        <v>3000000</v>
      </c>
      <c r="X57" s="274">
        <v>3000000</v>
      </c>
      <c r="Y57" s="274">
        <v>3000000</v>
      </c>
      <c r="Z57" s="274">
        <v>3000000</v>
      </c>
      <c r="AA57" s="274">
        <v>3000000</v>
      </c>
      <c r="AB57" s="274">
        <v>3000000</v>
      </c>
      <c r="AC57" s="274">
        <v>3000000</v>
      </c>
      <c r="AD57" s="274">
        <v>3000000</v>
      </c>
      <c r="AE57" s="274">
        <v>3000000</v>
      </c>
      <c r="AF57" s="274">
        <v>3000000</v>
      </c>
      <c r="AG57" s="274">
        <v>3000000</v>
      </c>
      <c r="AH57" s="274">
        <v>3000000</v>
      </c>
      <c r="AI57" s="274">
        <v>3000000</v>
      </c>
    </row>
    <row r="58" spans="3:35">
      <c r="C58" s="310"/>
      <c r="D58" s="541">
        <f t="shared" si="16"/>
        <v>0</v>
      </c>
      <c r="E58" s="541">
        <f t="shared" si="14"/>
        <v>0</v>
      </c>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4"/>
      <c r="AF58" s="274"/>
      <c r="AG58" s="274"/>
      <c r="AH58" s="274"/>
      <c r="AI58" s="274"/>
    </row>
    <row r="59" spans="3:35">
      <c r="C59" s="35" t="s">
        <v>431</v>
      </c>
      <c r="D59" s="542">
        <f t="shared" si="16"/>
        <v>0</v>
      </c>
      <c r="E59" s="542">
        <f t="shared" si="14"/>
        <v>0</v>
      </c>
      <c r="F59" s="549">
        <f>SUM(F60:F63)</f>
        <v>0</v>
      </c>
      <c r="G59" s="549">
        <f t="shared" ref="G59:AI59" si="18">SUM(G60:G63)</f>
        <v>0</v>
      </c>
      <c r="H59" s="549">
        <f t="shared" si="18"/>
        <v>0</v>
      </c>
      <c r="I59" s="549">
        <f t="shared" si="18"/>
        <v>0</v>
      </c>
      <c r="J59" s="549">
        <f t="shared" si="18"/>
        <v>0</v>
      </c>
      <c r="K59" s="549">
        <f t="shared" si="18"/>
        <v>0</v>
      </c>
      <c r="L59" s="549">
        <f t="shared" si="18"/>
        <v>0</v>
      </c>
      <c r="M59" s="549">
        <f t="shared" si="18"/>
        <v>0</v>
      </c>
      <c r="N59" s="549">
        <f t="shared" si="18"/>
        <v>0</v>
      </c>
      <c r="O59" s="549">
        <f t="shared" si="18"/>
        <v>0</v>
      </c>
      <c r="P59" s="549">
        <f t="shared" si="18"/>
        <v>0</v>
      </c>
      <c r="Q59" s="549">
        <f t="shared" si="18"/>
        <v>0</v>
      </c>
      <c r="R59" s="549">
        <f t="shared" si="18"/>
        <v>0</v>
      </c>
      <c r="S59" s="549">
        <f t="shared" si="18"/>
        <v>0</v>
      </c>
      <c r="T59" s="549">
        <f t="shared" si="18"/>
        <v>0</v>
      </c>
      <c r="U59" s="549">
        <f t="shared" si="18"/>
        <v>0</v>
      </c>
      <c r="V59" s="549">
        <f t="shared" si="18"/>
        <v>0</v>
      </c>
      <c r="W59" s="549">
        <f t="shared" si="18"/>
        <v>0</v>
      </c>
      <c r="X59" s="549">
        <f t="shared" si="18"/>
        <v>0</v>
      </c>
      <c r="Y59" s="549">
        <f t="shared" si="18"/>
        <v>0</v>
      </c>
      <c r="Z59" s="549">
        <f t="shared" si="18"/>
        <v>0</v>
      </c>
      <c r="AA59" s="549">
        <f t="shared" si="18"/>
        <v>0</v>
      </c>
      <c r="AB59" s="549">
        <f t="shared" si="18"/>
        <v>0</v>
      </c>
      <c r="AC59" s="549">
        <f t="shared" si="18"/>
        <v>0</v>
      </c>
      <c r="AD59" s="549">
        <f t="shared" si="18"/>
        <v>0</v>
      </c>
      <c r="AE59" s="549">
        <f t="shared" si="18"/>
        <v>0</v>
      </c>
      <c r="AF59" s="549">
        <f t="shared" si="18"/>
        <v>0</v>
      </c>
      <c r="AG59" s="549">
        <f t="shared" si="18"/>
        <v>0</v>
      </c>
      <c r="AH59" s="549">
        <f t="shared" si="18"/>
        <v>0</v>
      </c>
      <c r="AI59" s="549">
        <f t="shared" si="18"/>
        <v>0</v>
      </c>
    </row>
    <row r="60" spans="3:35">
      <c r="C60" s="310"/>
      <c r="D60" s="541">
        <f t="shared" si="16"/>
        <v>0</v>
      </c>
      <c r="E60" s="541">
        <f t="shared" si="14"/>
        <v>0</v>
      </c>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c r="AH60" s="274"/>
      <c r="AI60" s="274"/>
    </row>
    <row r="61" spans="3:35">
      <c r="C61" s="310"/>
      <c r="D61" s="541">
        <f t="shared" si="16"/>
        <v>0</v>
      </c>
      <c r="E61" s="541">
        <f t="shared" si="14"/>
        <v>0</v>
      </c>
      <c r="F61" s="274"/>
      <c r="G61" s="274"/>
      <c r="H61" s="274"/>
      <c r="I61" s="274"/>
      <c r="J61" s="274"/>
      <c r="K61" s="274"/>
      <c r="L61" s="274"/>
      <c r="M61" s="274"/>
      <c r="N61" s="274"/>
      <c r="O61" s="274"/>
      <c r="P61" s="274"/>
      <c r="Q61" s="274"/>
      <c r="R61" s="274"/>
      <c r="S61" s="274"/>
      <c r="T61" s="274"/>
      <c r="U61" s="274"/>
      <c r="V61" s="274"/>
      <c r="W61" s="274"/>
      <c r="X61" s="274"/>
      <c r="Y61" s="274"/>
      <c r="Z61" s="274"/>
      <c r="AA61" s="274"/>
      <c r="AB61" s="274"/>
      <c r="AC61" s="274"/>
      <c r="AD61" s="274"/>
      <c r="AE61" s="274"/>
      <c r="AF61" s="274"/>
      <c r="AG61" s="274"/>
      <c r="AH61" s="274"/>
      <c r="AI61" s="274"/>
    </row>
    <row r="62" spans="3:35">
      <c r="C62" s="310"/>
      <c r="D62" s="541">
        <f t="shared" si="16"/>
        <v>0</v>
      </c>
      <c r="E62" s="541">
        <f t="shared" si="14"/>
        <v>0</v>
      </c>
      <c r="F62" s="274"/>
      <c r="G62" s="274"/>
      <c r="H62" s="274"/>
      <c r="I62" s="274"/>
      <c r="J62" s="274"/>
      <c r="K62" s="274"/>
      <c r="L62" s="274"/>
      <c r="M62" s="274"/>
      <c r="N62" s="274"/>
      <c r="O62" s="274"/>
      <c r="P62" s="274"/>
      <c r="Q62" s="274"/>
      <c r="R62" s="274"/>
      <c r="S62" s="274"/>
      <c r="T62" s="274"/>
      <c r="U62" s="274"/>
      <c r="V62" s="274"/>
      <c r="W62" s="274"/>
      <c r="X62" s="274"/>
      <c r="Y62" s="274"/>
      <c r="Z62" s="274"/>
      <c r="AA62" s="274"/>
      <c r="AB62" s="274"/>
      <c r="AC62" s="274"/>
      <c r="AD62" s="274"/>
      <c r="AE62" s="274"/>
      <c r="AF62" s="274"/>
      <c r="AG62" s="274"/>
      <c r="AH62" s="274"/>
      <c r="AI62" s="274"/>
    </row>
    <row r="63" spans="3:35">
      <c r="C63" s="310"/>
      <c r="D63" s="541">
        <f t="shared" si="16"/>
        <v>0</v>
      </c>
      <c r="E63" s="541">
        <f t="shared" si="14"/>
        <v>0</v>
      </c>
      <c r="F63" s="274"/>
      <c r="G63" s="274"/>
      <c r="H63" s="274"/>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274"/>
      <c r="AH63" s="274"/>
      <c r="AI63" s="274"/>
    </row>
    <row r="64" spans="3:35">
      <c r="C64" s="35" t="s">
        <v>432</v>
      </c>
      <c r="D64" s="542">
        <f t="shared" si="16"/>
        <v>638000000</v>
      </c>
      <c r="E64" s="542">
        <f t="shared" si="14"/>
        <v>422146000.97898501</v>
      </c>
      <c r="F64" s="549">
        <f>SUM(F49,F54,F59)</f>
        <v>0</v>
      </c>
      <c r="G64" s="549">
        <f t="shared" ref="G64:AI64" si="19">SUM(G49,G54,G59)</f>
        <v>22000000</v>
      </c>
      <c r="H64" s="549">
        <f t="shared" si="19"/>
        <v>22000000</v>
      </c>
      <c r="I64" s="549">
        <f t="shared" si="19"/>
        <v>22000000</v>
      </c>
      <c r="J64" s="549">
        <f t="shared" si="19"/>
        <v>22000000</v>
      </c>
      <c r="K64" s="549">
        <f t="shared" si="19"/>
        <v>22000000</v>
      </c>
      <c r="L64" s="549">
        <f t="shared" si="19"/>
        <v>22000000</v>
      </c>
      <c r="M64" s="549">
        <f t="shared" si="19"/>
        <v>22000000</v>
      </c>
      <c r="N64" s="549">
        <f t="shared" si="19"/>
        <v>22000000</v>
      </c>
      <c r="O64" s="549">
        <f t="shared" si="19"/>
        <v>22000000</v>
      </c>
      <c r="P64" s="549">
        <f t="shared" si="19"/>
        <v>22000000</v>
      </c>
      <c r="Q64" s="549">
        <f t="shared" si="19"/>
        <v>22000000</v>
      </c>
      <c r="R64" s="549">
        <f t="shared" si="19"/>
        <v>22000000</v>
      </c>
      <c r="S64" s="549">
        <f t="shared" si="19"/>
        <v>22000000</v>
      </c>
      <c r="T64" s="549">
        <f t="shared" si="19"/>
        <v>22000000</v>
      </c>
      <c r="U64" s="549">
        <f t="shared" si="19"/>
        <v>22000000</v>
      </c>
      <c r="V64" s="549">
        <f t="shared" si="19"/>
        <v>22000000</v>
      </c>
      <c r="W64" s="549">
        <f t="shared" si="19"/>
        <v>22000000</v>
      </c>
      <c r="X64" s="549">
        <f t="shared" si="19"/>
        <v>22000000</v>
      </c>
      <c r="Y64" s="549">
        <f t="shared" si="19"/>
        <v>22000000</v>
      </c>
      <c r="Z64" s="549">
        <f t="shared" si="19"/>
        <v>22000000</v>
      </c>
      <c r="AA64" s="549">
        <f t="shared" si="19"/>
        <v>22000000</v>
      </c>
      <c r="AB64" s="549">
        <f t="shared" si="19"/>
        <v>22000000</v>
      </c>
      <c r="AC64" s="549">
        <f t="shared" si="19"/>
        <v>22000000</v>
      </c>
      <c r="AD64" s="549">
        <f t="shared" si="19"/>
        <v>22000000</v>
      </c>
      <c r="AE64" s="549">
        <f t="shared" si="19"/>
        <v>22000000</v>
      </c>
      <c r="AF64" s="549">
        <f t="shared" si="19"/>
        <v>22000000</v>
      </c>
      <c r="AG64" s="549">
        <f t="shared" si="19"/>
        <v>22000000</v>
      </c>
      <c r="AH64" s="549">
        <f t="shared" si="19"/>
        <v>22000000</v>
      </c>
      <c r="AI64" s="549">
        <f t="shared" si="19"/>
        <v>22000000</v>
      </c>
    </row>
    <row r="67" spans="3:35">
      <c r="C67" s="303" t="s">
        <v>433</v>
      </c>
      <c r="D67" s="303" t="s">
        <v>288</v>
      </c>
      <c r="E67" s="303" t="s">
        <v>403</v>
      </c>
      <c r="F67" s="100" cm="1">
        <f t="array" ref="F67:Y67">Háttér_listák!$B$139:INDEX(Háttér_listák!$B$139:$AF$139,MATCH(0,Háttér_listák!$B$138:$AF$138,0)-1)</f>
        <v>2025</v>
      </c>
      <c r="G67" s="100">
        <v>2026</v>
      </c>
      <c r="H67" s="100">
        <v>2027</v>
      </c>
      <c r="I67" s="100">
        <v>2028</v>
      </c>
      <c r="J67" s="100">
        <v>2029</v>
      </c>
      <c r="K67" s="100">
        <v>2030</v>
      </c>
      <c r="L67" s="100">
        <v>2031</v>
      </c>
      <c r="M67" s="100">
        <v>2032</v>
      </c>
      <c r="N67" s="100">
        <v>2033</v>
      </c>
      <c r="O67" s="100">
        <v>2034</v>
      </c>
      <c r="P67" s="100">
        <v>2035</v>
      </c>
      <c r="Q67" s="100">
        <v>2036</v>
      </c>
      <c r="R67" s="100">
        <v>2037</v>
      </c>
      <c r="S67" s="100">
        <v>2038</v>
      </c>
      <c r="T67" s="100">
        <v>2039</v>
      </c>
      <c r="U67" s="100">
        <v>2040</v>
      </c>
      <c r="V67" s="100">
        <v>2041</v>
      </c>
      <c r="W67" s="100">
        <v>2042</v>
      </c>
      <c r="X67" s="100">
        <v>2043</v>
      </c>
      <c r="Y67" s="100">
        <v>2044</v>
      </c>
      <c r="Z67" s="100"/>
      <c r="AA67" s="100"/>
      <c r="AB67" s="100"/>
      <c r="AC67" s="100"/>
      <c r="AD67" s="100"/>
      <c r="AE67" s="100"/>
      <c r="AF67" s="100"/>
      <c r="AG67" s="100"/>
      <c r="AH67" s="100"/>
      <c r="AI67" s="100"/>
    </row>
    <row r="68" spans="3:35">
      <c r="C68" s="30" t="s">
        <v>434</v>
      </c>
      <c r="D68" s="541">
        <f>SUM(F68:AI68)</f>
        <v>361700000</v>
      </c>
      <c r="E68" s="541">
        <f t="shared" ref="E68:E78" si="20">F68+NPV(edr,G68:AI68)</f>
        <v>361700000</v>
      </c>
      <c r="F68" s="85">
        <f>F37</f>
        <v>361700000</v>
      </c>
      <c r="G68" s="85">
        <f t="shared" ref="G68:AI68" si="21">G37</f>
        <v>0</v>
      </c>
      <c r="H68" s="85">
        <f t="shared" si="21"/>
        <v>0</v>
      </c>
      <c r="I68" s="85">
        <f t="shared" si="21"/>
        <v>0</v>
      </c>
      <c r="J68" s="85">
        <f t="shared" si="21"/>
        <v>0</v>
      </c>
      <c r="K68" s="85">
        <f t="shared" si="21"/>
        <v>0</v>
      </c>
      <c r="L68" s="85">
        <f t="shared" si="21"/>
        <v>0</v>
      </c>
      <c r="M68" s="85">
        <f t="shared" si="21"/>
        <v>0</v>
      </c>
      <c r="N68" s="85">
        <f t="shared" si="21"/>
        <v>0</v>
      </c>
      <c r="O68" s="85">
        <f t="shared" si="21"/>
        <v>0</v>
      </c>
      <c r="P68" s="85">
        <f t="shared" si="21"/>
        <v>0</v>
      </c>
      <c r="Q68" s="85">
        <f t="shared" si="21"/>
        <v>0</v>
      </c>
      <c r="R68" s="85">
        <f t="shared" si="21"/>
        <v>0</v>
      </c>
      <c r="S68" s="85">
        <f t="shared" si="21"/>
        <v>0</v>
      </c>
      <c r="T68" s="85">
        <f t="shared" si="21"/>
        <v>0</v>
      </c>
      <c r="U68" s="85">
        <f t="shared" si="21"/>
        <v>0</v>
      </c>
      <c r="V68" s="85">
        <f t="shared" si="21"/>
        <v>0</v>
      </c>
      <c r="W68" s="85">
        <f t="shared" si="21"/>
        <v>0</v>
      </c>
      <c r="X68" s="85">
        <f t="shared" si="21"/>
        <v>0</v>
      </c>
      <c r="Y68" s="85">
        <f t="shared" si="21"/>
        <v>0</v>
      </c>
      <c r="Z68" s="85">
        <f t="shared" si="21"/>
        <v>0</v>
      </c>
      <c r="AA68" s="85">
        <f t="shared" si="21"/>
        <v>0</v>
      </c>
      <c r="AB68" s="85">
        <f t="shared" si="21"/>
        <v>0</v>
      </c>
      <c r="AC68" s="85">
        <f t="shared" si="21"/>
        <v>0</v>
      </c>
      <c r="AD68" s="85">
        <f t="shared" si="21"/>
        <v>0</v>
      </c>
      <c r="AE68" s="85">
        <f t="shared" si="21"/>
        <v>0</v>
      </c>
      <c r="AF68" s="85">
        <f t="shared" si="21"/>
        <v>0</v>
      </c>
      <c r="AG68" s="85">
        <f t="shared" si="21"/>
        <v>0</v>
      </c>
      <c r="AH68" s="85">
        <f t="shared" si="21"/>
        <v>0</v>
      </c>
      <c r="AI68" s="85">
        <f t="shared" si="21"/>
        <v>0</v>
      </c>
    </row>
    <row r="69" spans="3:35">
      <c r="C69" s="30" t="s">
        <v>419</v>
      </c>
      <c r="D69" s="541">
        <f t="shared" ref="D69:D78" si="22">SUM(F69:AI69)</f>
        <v>13051174.905538369</v>
      </c>
      <c r="E69" s="541">
        <f t="shared" si="20"/>
        <v>8635581.9662230443</v>
      </c>
      <c r="F69" s="85">
        <f>SUM(F70:F71)</f>
        <v>0</v>
      </c>
      <c r="G69" s="85">
        <f t="shared" ref="G69:AI69" si="23">SUM(G70:G71)</f>
        <v>450040.51398408157</v>
      </c>
      <c r="H69" s="85">
        <f t="shared" si="23"/>
        <v>450040.51398408157</v>
      </c>
      <c r="I69" s="85">
        <f t="shared" si="23"/>
        <v>450040.51398408157</v>
      </c>
      <c r="J69" s="85">
        <f t="shared" si="23"/>
        <v>450040.51398408157</v>
      </c>
      <c r="K69" s="85">
        <f t="shared" si="23"/>
        <v>450040.51398408157</v>
      </c>
      <c r="L69" s="85">
        <f t="shared" si="23"/>
        <v>450040.51398408157</v>
      </c>
      <c r="M69" s="85">
        <f t="shared" si="23"/>
        <v>450040.51398408157</v>
      </c>
      <c r="N69" s="85">
        <f t="shared" si="23"/>
        <v>450040.51398408157</v>
      </c>
      <c r="O69" s="85">
        <f t="shared" si="23"/>
        <v>450040.51398408157</v>
      </c>
      <c r="P69" s="85">
        <f t="shared" si="23"/>
        <v>450040.51398408157</v>
      </c>
      <c r="Q69" s="85">
        <f t="shared" si="23"/>
        <v>450040.51398408157</v>
      </c>
      <c r="R69" s="85">
        <f t="shared" si="23"/>
        <v>450040.51398408157</v>
      </c>
      <c r="S69" s="85">
        <f t="shared" si="23"/>
        <v>450040.51398408157</v>
      </c>
      <c r="T69" s="85">
        <f t="shared" si="23"/>
        <v>450040.51398408157</v>
      </c>
      <c r="U69" s="85">
        <f t="shared" si="23"/>
        <v>450040.51398408157</v>
      </c>
      <c r="V69" s="85">
        <f t="shared" si="23"/>
        <v>450040.51398408157</v>
      </c>
      <c r="W69" s="85">
        <f t="shared" si="23"/>
        <v>450040.51398408157</v>
      </c>
      <c r="X69" s="85">
        <f t="shared" si="23"/>
        <v>450040.51398408157</v>
      </c>
      <c r="Y69" s="85">
        <f t="shared" si="23"/>
        <v>450040.51398408157</v>
      </c>
      <c r="Z69" s="85">
        <f t="shared" si="23"/>
        <v>450040.51398408157</v>
      </c>
      <c r="AA69" s="85">
        <f t="shared" si="23"/>
        <v>450040.51398408157</v>
      </c>
      <c r="AB69" s="85">
        <f t="shared" si="23"/>
        <v>450040.51398408157</v>
      </c>
      <c r="AC69" s="85">
        <f t="shared" si="23"/>
        <v>450040.51398408157</v>
      </c>
      <c r="AD69" s="85">
        <f t="shared" si="23"/>
        <v>450040.51398408157</v>
      </c>
      <c r="AE69" s="85">
        <f t="shared" si="23"/>
        <v>450040.51398408157</v>
      </c>
      <c r="AF69" s="85">
        <f t="shared" si="23"/>
        <v>450040.51398408157</v>
      </c>
      <c r="AG69" s="85">
        <f t="shared" si="23"/>
        <v>450040.51398408157</v>
      </c>
      <c r="AH69" s="85">
        <f t="shared" si="23"/>
        <v>450040.51398408157</v>
      </c>
      <c r="AI69" s="85">
        <f t="shared" si="23"/>
        <v>450040.51398408157</v>
      </c>
    </row>
    <row r="70" spans="3:35" ht="14.4">
      <c r="C70" s="309" t="s">
        <v>420</v>
      </c>
      <c r="D70" s="541">
        <f>SUM(F70:AI70)</f>
        <v>13051174.905538369</v>
      </c>
      <c r="E70" s="541">
        <f>F70+NPV(edr,G70:AI70)</f>
        <v>8635581.9662230443</v>
      </c>
      <c r="F70" s="85">
        <f>F39</f>
        <v>0</v>
      </c>
      <c r="G70" s="85">
        <f t="shared" ref="G70:AI70" si="24">G39</f>
        <v>450040.51398408157</v>
      </c>
      <c r="H70" s="85">
        <f t="shared" si="24"/>
        <v>450040.51398408157</v>
      </c>
      <c r="I70" s="85">
        <f t="shared" si="24"/>
        <v>450040.51398408157</v>
      </c>
      <c r="J70" s="85">
        <f t="shared" si="24"/>
        <v>450040.51398408157</v>
      </c>
      <c r="K70" s="85">
        <f t="shared" si="24"/>
        <v>450040.51398408157</v>
      </c>
      <c r="L70" s="85">
        <f t="shared" si="24"/>
        <v>450040.51398408157</v>
      </c>
      <c r="M70" s="85">
        <f t="shared" si="24"/>
        <v>450040.51398408157</v>
      </c>
      <c r="N70" s="85">
        <f t="shared" si="24"/>
        <v>450040.51398408157</v>
      </c>
      <c r="O70" s="85">
        <f t="shared" si="24"/>
        <v>450040.51398408157</v>
      </c>
      <c r="P70" s="85">
        <f t="shared" si="24"/>
        <v>450040.51398408157</v>
      </c>
      <c r="Q70" s="85">
        <f t="shared" si="24"/>
        <v>450040.51398408157</v>
      </c>
      <c r="R70" s="85">
        <f t="shared" si="24"/>
        <v>450040.51398408157</v>
      </c>
      <c r="S70" s="85">
        <f t="shared" si="24"/>
        <v>450040.51398408157</v>
      </c>
      <c r="T70" s="85">
        <f t="shared" si="24"/>
        <v>450040.51398408157</v>
      </c>
      <c r="U70" s="85">
        <f t="shared" si="24"/>
        <v>450040.51398408157</v>
      </c>
      <c r="V70" s="85">
        <f t="shared" si="24"/>
        <v>450040.51398408157</v>
      </c>
      <c r="W70" s="85">
        <f t="shared" si="24"/>
        <v>450040.51398408157</v>
      </c>
      <c r="X70" s="85">
        <f t="shared" si="24"/>
        <v>450040.51398408157</v>
      </c>
      <c r="Y70" s="85">
        <f t="shared" si="24"/>
        <v>450040.51398408157</v>
      </c>
      <c r="Z70" s="85">
        <f t="shared" si="24"/>
        <v>450040.51398408157</v>
      </c>
      <c r="AA70" s="85">
        <f t="shared" si="24"/>
        <v>450040.51398408157</v>
      </c>
      <c r="AB70" s="85">
        <f t="shared" si="24"/>
        <v>450040.51398408157</v>
      </c>
      <c r="AC70" s="85">
        <f t="shared" si="24"/>
        <v>450040.51398408157</v>
      </c>
      <c r="AD70" s="85">
        <f t="shared" si="24"/>
        <v>450040.51398408157</v>
      </c>
      <c r="AE70" s="85">
        <f t="shared" si="24"/>
        <v>450040.51398408157</v>
      </c>
      <c r="AF70" s="85">
        <f t="shared" si="24"/>
        <v>450040.51398408157</v>
      </c>
      <c r="AG70" s="85">
        <f t="shared" si="24"/>
        <v>450040.51398408157</v>
      </c>
      <c r="AH70" s="85">
        <f t="shared" si="24"/>
        <v>450040.51398408157</v>
      </c>
      <c r="AI70" s="85">
        <f t="shared" si="24"/>
        <v>450040.51398408157</v>
      </c>
    </row>
    <row r="71" spans="3:35" ht="14.4">
      <c r="C71" s="309" t="s">
        <v>421</v>
      </c>
      <c r="D71" s="541">
        <f>SUM(F71:AI71)</f>
        <v>0</v>
      </c>
      <c r="E71" s="541">
        <f>F71+NPV(edr,G71:AI71)</f>
        <v>0</v>
      </c>
      <c r="F71" s="85">
        <f>F40</f>
        <v>0</v>
      </c>
      <c r="G71" s="85">
        <f t="shared" ref="G71:AI71" si="25">G40</f>
        <v>0</v>
      </c>
      <c r="H71" s="85">
        <f t="shared" si="25"/>
        <v>0</v>
      </c>
      <c r="I71" s="85">
        <f t="shared" si="25"/>
        <v>0</v>
      </c>
      <c r="J71" s="85">
        <f t="shared" si="25"/>
        <v>0</v>
      </c>
      <c r="K71" s="85">
        <f t="shared" si="25"/>
        <v>0</v>
      </c>
      <c r="L71" s="85">
        <f t="shared" si="25"/>
        <v>0</v>
      </c>
      <c r="M71" s="85">
        <f t="shared" si="25"/>
        <v>0</v>
      </c>
      <c r="N71" s="85">
        <f t="shared" si="25"/>
        <v>0</v>
      </c>
      <c r="O71" s="85">
        <f t="shared" si="25"/>
        <v>0</v>
      </c>
      <c r="P71" s="85">
        <f t="shared" si="25"/>
        <v>0</v>
      </c>
      <c r="Q71" s="85">
        <f t="shared" si="25"/>
        <v>0</v>
      </c>
      <c r="R71" s="85">
        <f t="shared" si="25"/>
        <v>0</v>
      </c>
      <c r="S71" s="85">
        <f t="shared" si="25"/>
        <v>0</v>
      </c>
      <c r="T71" s="85">
        <f t="shared" si="25"/>
        <v>0</v>
      </c>
      <c r="U71" s="85">
        <f t="shared" si="25"/>
        <v>0</v>
      </c>
      <c r="V71" s="85">
        <f t="shared" si="25"/>
        <v>0</v>
      </c>
      <c r="W71" s="85">
        <f t="shared" si="25"/>
        <v>0</v>
      </c>
      <c r="X71" s="85">
        <f t="shared" si="25"/>
        <v>0</v>
      </c>
      <c r="Y71" s="85">
        <f t="shared" si="25"/>
        <v>0</v>
      </c>
      <c r="Z71" s="85">
        <f t="shared" si="25"/>
        <v>0</v>
      </c>
      <c r="AA71" s="85">
        <f t="shared" si="25"/>
        <v>0</v>
      </c>
      <c r="AB71" s="85">
        <f t="shared" si="25"/>
        <v>0</v>
      </c>
      <c r="AC71" s="85">
        <f t="shared" si="25"/>
        <v>0</v>
      </c>
      <c r="AD71" s="85">
        <f t="shared" si="25"/>
        <v>0</v>
      </c>
      <c r="AE71" s="85">
        <f t="shared" si="25"/>
        <v>0</v>
      </c>
      <c r="AF71" s="85">
        <f t="shared" si="25"/>
        <v>0</v>
      </c>
      <c r="AG71" s="85">
        <f t="shared" si="25"/>
        <v>0</v>
      </c>
      <c r="AH71" s="85">
        <f t="shared" si="25"/>
        <v>0</v>
      </c>
      <c r="AI71" s="85">
        <f t="shared" si="25"/>
        <v>0</v>
      </c>
    </row>
    <row r="72" spans="3:35">
      <c r="C72" s="30" t="s">
        <v>405</v>
      </c>
      <c r="D72" s="541">
        <f t="shared" si="22"/>
        <v>130900000</v>
      </c>
      <c r="E72" s="541">
        <f t="shared" si="20"/>
        <v>55546938.825251095</v>
      </c>
      <c r="F72" s="85">
        <f>F41</f>
        <v>0</v>
      </c>
      <c r="G72" s="85">
        <f t="shared" ref="G72:AH72" si="26">G41</f>
        <v>0</v>
      </c>
      <c r="H72" s="85">
        <f t="shared" si="26"/>
        <v>0</v>
      </c>
      <c r="I72" s="85">
        <f t="shared" si="26"/>
        <v>0</v>
      </c>
      <c r="J72" s="85">
        <f t="shared" si="26"/>
        <v>0</v>
      </c>
      <c r="K72" s="85">
        <f t="shared" si="26"/>
        <v>0</v>
      </c>
      <c r="L72" s="85">
        <f t="shared" si="26"/>
        <v>0</v>
      </c>
      <c r="M72" s="85">
        <f t="shared" si="26"/>
        <v>0</v>
      </c>
      <c r="N72" s="85">
        <f t="shared" si="26"/>
        <v>0</v>
      </c>
      <c r="O72" s="85">
        <f t="shared" si="26"/>
        <v>0</v>
      </c>
      <c r="P72" s="85">
        <f t="shared" si="26"/>
        <v>0</v>
      </c>
      <c r="Q72" s="85">
        <f t="shared" si="26"/>
        <v>0</v>
      </c>
      <c r="R72" s="85">
        <f t="shared" si="26"/>
        <v>0</v>
      </c>
      <c r="S72" s="85">
        <f t="shared" si="26"/>
        <v>0</v>
      </c>
      <c r="T72" s="85">
        <f t="shared" si="26"/>
        <v>0</v>
      </c>
      <c r="U72" s="85">
        <f t="shared" si="26"/>
        <v>0</v>
      </c>
      <c r="V72" s="85">
        <f t="shared" si="26"/>
        <v>0</v>
      </c>
      <c r="W72" s="85">
        <f t="shared" si="26"/>
        <v>0</v>
      </c>
      <c r="X72" s="85">
        <f t="shared" si="26"/>
        <v>0</v>
      </c>
      <c r="Y72" s="85">
        <f t="shared" si="26"/>
        <v>0</v>
      </c>
      <c r="Z72" s="85">
        <f t="shared" si="26"/>
        <v>0</v>
      </c>
      <c r="AA72" s="85">
        <f t="shared" si="26"/>
        <v>0</v>
      </c>
      <c r="AB72" s="85">
        <f t="shared" si="26"/>
        <v>0</v>
      </c>
      <c r="AC72" s="85">
        <f t="shared" si="26"/>
        <v>0</v>
      </c>
      <c r="AD72" s="85">
        <f t="shared" si="26"/>
        <v>0</v>
      </c>
      <c r="AE72" s="85">
        <f t="shared" si="26"/>
        <v>0</v>
      </c>
      <c r="AF72" s="85">
        <f t="shared" si="26"/>
        <v>0</v>
      </c>
      <c r="AG72" s="85">
        <f t="shared" si="26"/>
        <v>0</v>
      </c>
      <c r="AH72" s="85">
        <f t="shared" si="26"/>
        <v>0</v>
      </c>
      <c r="AI72" s="85">
        <f>AI41</f>
        <v>130900000</v>
      </c>
    </row>
    <row r="73" spans="3:35">
      <c r="C73" s="35" t="s">
        <v>435</v>
      </c>
      <c r="D73" s="542">
        <f t="shared" si="22"/>
        <v>243851174.90553844</v>
      </c>
      <c r="E73" s="542">
        <f t="shared" si="20"/>
        <v>314788643.14097196</v>
      </c>
      <c r="F73" s="94">
        <f>F68+F69-F72</f>
        <v>361700000</v>
      </c>
      <c r="G73" s="94">
        <f t="shared" ref="G73:AH73" si="27">G68+G69-G72</f>
        <v>450040.51398408157</v>
      </c>
      <c r="H73" s="94">
        <f t="shared" si="27"/>
        <v>450040.51398408157</v>
      </c>
      <c r="I73" s="94">
        <f t="shared" si="27"/>
        <v>450040.51398408157</v>
      </c>
      <c r="J73" s="94">
        <f t="shared" si="27"/>
        <v>450040.51398408157</v>
      </c>
      <c r="K73" s="94">
        <f t="shared" si="27"/>
        <v>450040.51398408157</v>
      </c>
      <c r="L73" s="94">
        <f t="shared" si="27"/>
        <v>450040.51398408157</v>
      </c>
      <c r="M73" s="94">
        <f t="shared" si="27"/>
        <v>450040.51398408157</v>
      </c>
      <c r="N73" s="94">
        <f t="shared" si="27"/>
        <v>450040.51398408157</v>
      </c>
      <c r="O73" s="94">
        <f t="shared" si="27"/>
        <v>450040.51398408157</v>
      </c>
      <c r="P73" s="94">
        <f t="shared" si="27"/>
        <v>450040.51398408157</v>
      </c>
      <c r="Q73" s="94">
        <f t="shared" si="27"/>
        <v>450040.51398408157</v>
      </c>
      <c r="R73" s="94">
        <f t="shared" si="27"/>
        <v>450040.51398408157</v>
      </c>
      <c r="S73" s="94">
        <f t="shared" si="27"/>
        <v>450040.51398408157</v>
      </c>
      <c r="T73" s="94">
        <f t="shared" si="27"/>
        <v>450040.51398408157</v>
      </c>
      <c r="U73" s="94">
        <f t="shared" si="27"/>
        <v>450040.51398408157</v>
      </c>
      <c r="V73" s="94">
        <f t="shared" si="27"/>
        <v>450040.51398408157</v>
      </c>
      <c r="W73" s="94">
        <f t="shared" si="27"/>
        <v>450040.51398408157</v>
      </c>
      <c r="X73" s="94">
        <f t="shared" si="27"/>
        <v>450040.51398408157</v>
      </c>
      <c r="Y73" s="94">
        <f t="shared" si="27"/>
        <v>450040.51398408157</v>
      </c>
      <c r="Z73" s="94">
        <f t="shared" si="27"/>
        <v>450040.51398408157</v>
      </c>
      <c r="AA73" s="94">
        <f t="shared" si="27"/>
        <v>450040.51398408157</v>
      </c>
      <c r="AB73" s="94">
        <f t="shared" si="27"/>
        <v>450040.51398408157</v>
      </c>
      <c r="AC73" s="94">
        <f t="shared" si="27"/>
        <v>450040.51398408157</v>
      </c>
      <c r="AD73" s="94">
        <f t="shared" si="27"/>
        <v>450040.51398408157</v>
      </c>
      <c r="AE73" s="94">
        <f t="shared" si="27"/>
        <v>450040.51398408157</v>
      </c>
      <c r="AF73" s="94">
        <f t="shared" si="27"/>
        <v>450040.51398408157</v>
      </c>
      <c r="AG73" s="94">
        <f t="shared" si="27"/>
        <v>450040.51398408157</v>
      </c>
      <c r="AH73" s="94">
        <f t="shared" si="27"/>
        <v>450040.51398408157</v>
      </c>
      <c r="AI73" s="94">
        <f>AI68+AI69-AI72</f>
        <v>-130449959.48601592</v>
      </c>
    </row>
    <row r="74" spans="3:35">
      <c r="C74" s="30" t="s">
        <v>425</v>
      </c>
      <c r="D74" s="541">
        <f t="shared" si="22"/>
        <v>116000000</v>
      </c>
      <c r="E74" s="541">
        <f t="shared" si="20"/>
        <v>76753818.359815463</v>
      </c>
      <c r="F74" s="85">
        <f>F49</f>
        <v>0</v>
      </c>
      <c r="G74" s="85">
        <f t="shared" ref="G74:AI74" si="28">G49</f>
        <v>4000000</v>
      </c>
      <c r="H74" s="85">
        <f t="shared" si="28"/>
        <v>4000000</v>
      </c>
      <c r="I74" s="85">
        <f t="shared" si="28"/>
        <v>4000000</v>
      </c>
      <c r="J74" s="85">
        <f t="shared" si="28"/>
        <v>4000000</v>
      </c>
      <c r="K74" s="85">
        <f t="shared" si="28"/>
        <v>4000000</v>
      </c>
      <c r="L74" s="85">
        <f t="shared" si="28"/>
        <v>4000000</v>
      </c>
      <c r="M74" s="85">
        <f t="shared" si="28"/>
        <v>4000000</v>
      </c>
      <c r="N74" s="85">
        <f t="shared" si="28"/>
        <v>4000000</v>
      </c>
      <c r="O74" s="85">
        <f t="shared" si="28"/>
        <v>4000000</v>
      </c>
      <c r="P74" s="85">
        <f t="shared" si="28"/>
        <v>4000000</v>
      </c>
      <c r="Q74" s="85">
        <f t="shared" si="28"/>
        <v>4000000</v>
      </c>
      <c r="R74" s="85">
        <f t="shared" si="28"/>
        <v>4000000</v>
      </c>
      <c r="S74" s="85">
        <f t="shared" si="28"/>
        <v>4000000</v>
      </c>
      <c r="T74" s="85">
        <f t="shared" si="28"/>
        <v>4000000</v>
      </c>
      <c r="U74" s="85">
        <f t="shared" si="28"/>
        <v>4000000</v>
      </c>
      <c r="V74" s="85">
        <f t="shared" si="28"/>
        <v>4000000</v>
      </c>
      <c r="W74" s="85">
        <f t="shared" si="28"/>
        <v>4000000</v>
      </c>
      <c r="X74" s="85">
        <f t="shared" si="28"/>
        <v>4000000</v>
      </c>
      <c r="Y74" s="85">
        <f t="shared" si="28"/>
        <v>4000000</v>
      </c>
      <c r="Z74" s="85">
        <f t="shared" si="28"/>
        <v>4000000</v>
      </c>
      <c r="AA74" s="85">
        <f t="shared" si="28"/>
        <v>4000000</v>
      </c>
      <c r="AB74" s="85">
        <f t="shared" si="28"/>
        <v>4000000</v>
      </c>
      <c r="AC74" s="85">
        <f t="shared" si="28"/>
        <v>4000000</v>
      </c>
      <c r="AD74" s="85">
        <f t="shared" si="28"/>
        <v>4000000</v>
      </c>
      <c r="AE74" s="85">
        <f t="shared" si="28"/>
        <v>4000000</v>
      </c>
      <c r="AF74" s="85">
        <f t="shared" si="28"/>
        <v>4000000</v>
      </c>
      <c r="AG74" s="85">
        <f t="shared" si="28"/>
        <v>4000000</v>
      </c>
      <c r="AH74" s="85">
        <f t="shared" si="28"/>
        <v>4000000</v>
      </c>
      <c r="AI74" s="85">
        <f t="shared" si="28"/>
        <v>4000000</v>
      </c>
    </row>
    <row r="75" spans="3:35">
      <c r="C75" s="30" t="s">
        <v>427</v>
      </c>
      <c r="D75" s="541">
        <f t="shared" si="22"/>
        <v>522000000</v>
      </c>
      <c r="E75" s="541">
        <f t="shared" si="20"/>
        <v>345392182.61916959</v>
      </c>
      <c r="F75" s="85">
        <f>F54</f>
        <v>0</v>
      </c>
      <c r="G75" s="85">
        <f t="shared" ref="G75:AI75" si="29">G54</f>
        <v>18000000</v>
      </c>
      <c r="H75" s="85">
        <f t="shared" si="29"/>
        <v>18000000</v>
      </c>
      <c r="I75" s="85">
        <f t="shared" si="29"/>
        <v>18000000</v>
      </c>
      <c r="J75" s="85">
        <f t="shared" si="29"/>
        <v>18000000</v>
      </c>
      <c r="K75" s="85">
        <f t="shared" si="29"/>
        <v>18000000</v>
      </c>
      <c r="L75" s="85">
        <f t="shared" si="29"/>
        <v>18000000</v>
      </c>
      <c r="M75" s="85">
        <f t="shared" si="29"/>
        <v>18000000</v>
      </c>
      <c r="N75" s="85">
        <f t="shared" si="29"/>
        <v>18000000</v>
      </c>
      <c r="O75" s="85">
        <f t="shared" si="29"/>
        <v>18000000</v>
      </c>
      <c r="P75" s="85">
        <f t="shared" si="29"/>
        <v>18000000</v>
      </c>
      <c r="Q75" s="85">
        <f t="shared" si="29"/>
        <v>18000000</v>
      </c>
      <c r="R75" s="85">
        <f t="shared" si="29"/>
        <v>18000000</v>
      </c>
      <c r="S75" s="85">
        <f t="shared" si="29"/>
        <v>18000000</v>
      </c>
      <c r="T75" s="85">
        <f t="shared" si="29"/>
        <v>18000000</v>
      </c>
      <c r="U75" s="85">
        <f t="shared" si="29"/>
        <v>18000000</v>
      </c>
      <c r="V75" s="85">
        <f t="shared" si="29"/>
        <v>18000000</v>
      </c>
      <c r="W75" s="85">
        <f t="shared" si="29"/>
        <v>18000000</v>
      </c>
      <c r="X75" s="85">
        <f t="shared" si="29"/>
        <v>18000000</v>
      </c>
      <c r="Y75" s="85">
        <f t="shared" si="29"/>
        <v>18000000</v>
      </c>
      <c r="Z75" s="85">
        <f t="shared" si="29"/>
        <v>18000000</v>
      </c>
      <c r="AA75" s="85">
        <f t="shared" si="29"/>
        <v>18000000</v>
      </c>
      <c r="AB75" s="85">
        <f t="shared" si="29"/>
        <v>18000000</v>
      </c>
      <c r="AC75" s="85">
        <f t="shared" si="29"/>
        <v>18000000</v>
      </c>
      <c r="AD75" s="85">
        <f t="shared" si="29"/>
        <v>18000000</v>
      </c>
      <c r="AE75" s="85">
        <f t="shared" si="29"/>
        <v>18000000</v>
      </c>
      <c r="AF75" s="85">
        <f t="shared" si="29"/>
        <v>18000000</v>
      </c>
      <c r="AG75" s="85">
        <f t="shared" si="29"/>
        <v>18000000</v>
      </c>
      <c r="AH75" s="85">
        <f t="shared" si="29"/>
        <v>18000000</v>
      </c>
      <c r="AI75" s="85">
        <f t="shared" si="29"/>
        <v>18000000</v>
      </c>
    </row>
    <row r="76" spans="3:35">
      <c r="C76" s="30" t="s">
        <v>431</v>
      </c>
      <c r="D76" s="541">
        <f t="shared" si="22"/>
        <v>0</v>
      </c>
      <c r="E76" s="541">
        <f t="shared" si="20"/>
        <v>0</v>
      </c>
      <c r="F76" s="85">
        <f>F59</f>
        <v>0</v>
      </c>
      <c r="G76" s="85">
        <f t="shared" ref="G76:AI76" si="30">G59</f>
        <v>0</v>
      </c>
      <c r="H76" s="85">
        <f t="shared" si="30"/>
        <v>0</v>
      </c>
      <c r="I76" s="85">
        <f t="shared" si="30"/>
        <v>0</v>
      </c>
      <c r="J76" s="85">
        <f t="shared" si="30"/>
        <v>0</v>
      </c>
      <c r="K76" s="85">
        <f t="shared" si="30"/>
        <v>0</v>
      </c>
      <c r="L76" s="85">
        <f t="shared" si="30"/>
        <v>0</v>
      </c>
      <c r="M76" s="85">
        <f t="shared" si="30"/>
        <v>0</v>
      </c>
      <c r="N76" s="85">
        <f t="shared" si="30"/>
        <v>0</v>
      </c>
      <c r="O76" s="85">
        <f t="shared" si="30"/>
        <v>0</v>
      </c>
      <c r="P76" s="85">
        <f t="shared" si="30"/>
        <v>0</v>
      </c>
      <c r="Q76" s="85">
        <f t="shared" si="30"/>
        <v>0</v>
      </c>
      <c r="R76" s="85">
        <f t="shared" si="30"/>
        <v>0</v>
      </c>
      <c r="S76" s="85">
        <f t="shared" si="30"/>
        <v>0</v>
      </c>
      <c r="T76" s="85">
        <f t="shared" si="30"/>
        <v>0</v>
      </c>
      <c r="U76" s="85">
        <f t="shared" si="30"/>
        <v>0</v>
      </c>
      <c r="V76" s="85">
        <f t="shared" si="30"/>
        <v>0</v>
      </c>
      <c r="W76" s="85">
        <f t="shared" si="30"/>
        <v>0</v>
      </c>
      <c r="X76" s="85">
        <f t="shared" si="30"/>
        <v>0</v>
      </c>
      <c r="Y76" s="85">
        <f t="shared" si="30"/>
        <v>0</v>
      </c>
      <c r="Z76" s="85">
        <f t="shared" si="30"/>
        <v>0</v>
      </c>
      <c r="AA76" s="85">
        <f t="shared" si="30"/>
        <v>0</v>
      </c>
      <c r="AB76" s="85">
        <f t="shared" si="30"/>
        <v>0</v>
      </c>
      <c r="AC76" s="85">
        <f t="shared" si="30"/>
        <v>0</v>
      </c>
      <c r="AD76" s="85">
        <f t="shared" si="30"/>
        <v>0</v>
      </c>
      <c r="AE76" s="85">
        <f t="shared" si="30"/>
        <v>0</v>
      </c>
      <c r="AF76" s="85">
        <f t="shared" si="30"/>
        <v>0</v>
      </c>
      <c r="AG76" s="85">
        <f t="shared" si="30"/>
        <v>0</v>
      </c>
      <c r="AH76" s="85">
        <f t="shared" si="30"/>
        <v>0</v>
      </c>
      <c r="AI76" s="85">
        <f t="shared" si="30"/>
        <v>0</v>
      </c>
    </row>
    <row r="77" spans="3:35">
      <c r="C77" s="35" t="s">
        <v>436</v>
      </c>
      <c r="D77" s="542">
        <f t="shared" si="22"/>
        <v>638000000</v>
      </c>
      <c r="E77" s="542">
        <f t="shared" si="20"/>
        <v>422146000.97898501</v>
      </c>
      <c r="F77" s="94">
        <f>SUM(F74:F76)</f>
        <v>0</v>
      </c>
      <c r="G77" s="94">
        <f t="shared" ref="G77:AI77" si="31">SUM(G74:G76)</f>
        <v>22000000</v>
      </c>
      <c r="H77" s="94">
        <f t="shared" si="31"/>
        <v>22000000</v>
      </c>
      <c r="I77" s="94">
        <f t="shared" si="31"/>
        <v>22000000</v>
      </c>
      <c r="J77" s="94">
        <f t="shared" si="31"/>
        <v>22000000</v>
      </c>
      <c r="K77" s="94">
        <f t="shared" si="31"/>
        <v>22000000</v>
      </c>
      <c r="L77" s="94">
        <f t="shared" si="31"/>
        <v>22000000</v>
      </c>
      <c r="M77" s="94">
        <f t="shared" si="31"/>
        <v>22000000</v>
      </c>
      <c r="N77" s="94">
        <f t="shared" si="31"/>
        <v>22000000</v>
      </c>
      <c r="O77" s="94">
        <f t="shared" si="31"/>
        <v>22000000</v>
      </c>
      <c r="P77" s="94">
        <f t="shared" si="31"/>
        <v>22000000</v>
      </c>
      <c r="Q77" s="94">
        <f t="shared" si="31"/>
        <v>22000000</v>
      </c>
      <c r="R77" s="94">
        <f t="shared" si="31"/>
        <v>22000000</v>
      </c>
      <c r="S77" s="94">
        <f t="shared" si="31"/>
        <v>22000000</v>
      </c>
      <c r="T77" s="94">
        <f t="shared" si="31"/>
        <v>22000000</v>
      </c>
      <c r="U77" s="94">
        <f t="shared" si="31"/>
        <v>22000000</v>
      </c>
      <c r="V77" s="94">
        <f t="shared" si="31"/>
        <v>22000000</v>
      </c>
      <c r="W77" s="94">
        <f t="shared" si="31"/>
        <v>22000000</v>
      </c>
      <c r="X77" s="94">
        <f t="shared" si="31"/>
        <v>22000000</v>
      </c>
      <c r="Y77" s="94">
        <f t="shared" si="31"/>
        <v>22000000</v>
      </c>
      <c r="Z77" s="94">
        <f t="shared" si="31"/>
        <v>22000000</v>
      </c>
      <c r="AA77" s="94">
        <f t="shared" si="31"/>
        <v>22000000</v>
      </c>
      <c r="AB77" s="94">
        <f t="shared" si="31"/>
        <v>22000000</v>
      </c>
      <c r="AC77" s="94">
        <f t="shared" si="31"/>
        <v>22000000</v>
      </c>
      <c r="AD77" s="94">
        <f t="shared" si="31"/>
        <v>22000000</v>
      </c>
      <c r="AE77" s="94">
        <f t="shared" si="31"/>
        <v>22000000</v>
      </c>
      <c r="AF77" s="94">
        <f t="shared" si="31"/>
        <v>22000000</v>
      </c>
      <c r="AG77" s="94">
        <f t="shared" si="31"/>
        <v>22000000</v>
      </c>
      <c r="AH77" s="94">
        <f t="shared" si="31"/>
        <v>22000000</v>
      </c>
      <c r="AI77" s="94">
        <f t="shared" si="31"/>
        <v>22000000</v>
      </c>
    </row>
    <row r="78" spans="3:35">
      <c r="C78" s="35" t="s">
        <v>437</v>
      </c>
      <c r="D78" s="542">
        <f t="shared" si="22"/>
        <v>394148825.09446156</v>
      </c>
      <c r="E78" s="542">
        <f t="shared" si="20"/>
        <v>107357357.83801311</v>
      </c>
      <c r="F78" s="94">
        <f>F77-F73</f>
        <v>-361700000</v>
      </c>
      <c r="G78" s="94">
        <f t="shared" ref="G78:AI78" si="32">G77-G73</f>
        <v>21549959.48601592</v>
      </c>
      <c r="H78" s="94">
        <f t="shared" si="32"/>
        <v>21549959.48601592</v>
      </c>
      <c r="I78" s="94">
        <f t="shared" si="32"/>
        <v>21549959.48601592</v>
      </c>
      <c r="J78" s="94">
        <f t="shared" si="32"/>
        <v>21549959.48601592</v>
      </c>
      <c r="K78" s="94">
        <f t="shared" si="32"/>
        <v>21549959.48601592</v>
      </c>
      <c r="L78" s="94">
        <f t="shared" si="32"/>
        <v>21549959.48601592</v>
      </c>
      <c r="M78" s="94">
        <f t="shared" si="32"/>
        <v>21549959.48601592</v>
      </c>
      <c r="N78" s="94">
        <f t="shared" si="32"/>
        <v>21549959.48601592</v>
      </c>
      <c r="O78" s="94">
        <f t="shared" si="32"/>
        <v>21549959.48601592</v>
      </c>
      <c r="P78" s="94">
        <f t="shared" si="32"/>
        <v>21549959.48601592</v>
      </c>
      <c r="Q78" s="94">
        <f t="shared" si="32"/>
        <v>21549959.48601592</v>
      </c>
      <c r="R78" s="94">
        <f t="shared" si="32"/>
        <v>21549959.48601592</v>
      </c>
      <c r="S78" s="94">
        <f t="shared" si="32"/>
        <v>21549959.48601592</v>
      </c>
      <c r="T78" s="94">
        <f t="shared" si="32"/>
        <v>21549959.48601592</v>
      </c>
      <c r="U78" s="94">
        <f t="shared" si="32"/>
        <v>21549959.48601592</v>
      </c>
      <c r="V78" s="94">
        <f t="shared" si="32"/>
        <v>21549959.48601592</v>
      </c>
      <c r="W78" s="94">
        <f t="shared" si="32"/>
        <v>21549959.48601592</v>
      </c>
      <c r="X78" s="94">
        <f t="shared" si="32"/>
        <v>21549959.48601592</v>
      </c>
      <c r="Y78" s="94">
        <f t="shared" si="32"/>
        <v>21549959.48601592</v>
      </c>
      <c r="Z78" s="94">
        <f t="shared" si="32"/>
        <v>21549959.48601592</v>
      </c>
      <c r="AA78" s="94">
        <f t="shared" si="32"/>
        <v>21549959.48601592</v>
      </c>
      <c r="AB78" s="94">
        <f t="shared" si="32"/>
        <v>21549959.48601592</v>
      </c>
      <c r="AC78" s="94">
        <f t="shared" si="32"/>
        <v>21549959.48601592</v>
      </c>
      <c r="AD78" s="94">
        <f t="shared" si="32"/>
        <v>21549959.48601592</v>
      </c>
      <c r="AE78" s="94">
        <f t="shared" si="32"/>
        <v>21549959.48601592</v>
      </c>
      <c r="AF78" s="94">
        <f t="shared" si="32"/>
        <v>21549959.48601592</v>
      </c>
      <c r="AG78" s="94">
        <f t="shared" si="32"/>
        <v>21549959.48601592</v>
      </c>
      <c r="AH78" s="94">
        <f t="shared" si="32"/>
        <v>21549959.48601592</v>
      </c>
      <c r="AI78" s="94">
        <f t="shared" si="32"/>
        <v>152449959.48601592</v>
      </c>
    </row>
    <row r="80" spans="3:35">
      <c r="C80" s="303" t="s">
        <v>438</v>
      </c>
      <c r="D80" s="37" t="s">
        <v>439</v>
      </c>
    </row>
    <row r="81" spans="3:4">
      <c r="C81" s="30" t="s">
        <v>440</v>
      </c>
      <c r="D81" s="11">
        <f>E78</f>
        <v>107357357.83801311</v>
      </c>
    </row>
    <row r="82" spans="3:4" ht="14.25" customHeight="1">
      <c r="C82" s="30" t="s">
        <v>441</v>
      </c>
      <c r="D82" s="554">
        <f>IRR(F78:AI78)</f>
        <v>4.9206369033607089E-2</v>
      </c>
    </row>
    <row r="83" spans="3:4">
      <c r="C83" s="30" t="s">
        <v>442</v>
      </c>
      <c r="D83" s="555">
        <f>E77/E73</f>
        <v>1.3410458419554074</v>
      </c>
    </row>
  </sheetData>
  <sheetProtection algorithmName="SHA-512" hashValue="dH5uzTYAVG8iPPbasFRzvaRiJHYcxeqjAbwYikRFoRiR9Lu3+A0fq9t4mrd0LJUFfGQCmRkqOxSVPiKseY9LMw==" saltValue="579rT06C83YEzylOZ1/Fsw==" spinCount="100000" sheet="1" objects="1" scenarios="1"/>
  <conditionalFormatting sqref="F9:AI9">
    <cfRule type="expression" dxfId="237" priority="8">
      <formula>NOT(ISBLANK(F$36))</formula>
    </cfRule>
  </conditionalFormatting>
  <conditionalFormatting sqref="F10:AI11">
    <cfRule type="expression" dxfId="236" priority="3">
      <formula>NOT(ISBLANK(F$18))</formula>
    </cfRule>
    <cfRule type="expression" dxfId="235" priority="4">
      <formula>NOT(ISBLANK(F$18))</formula>
    </cfRule>
  </conditionalFormatting>
  <conditionalFormatting sqref="F18:AI18">
    <cfRule type="expression" dxfId="234" priority="30">
      <formula>NOT(ISBLANK(F$18))</formula>
    </cfRule>
  </conditionalFormatting>
  <conditionalFormatting sqref="F19:AI19">
    <cfRule type="expression" dxfId="233" priority="12">
      <formula>NOT(ISBLANK(F$18))</formula>
    </cfRule>
  </conditionalFormatting>
  <conditionalFormatting sqref="F19:AI30">
    <cfRule type="expression" dxfId="232" priority="29">
      <formula>NOT(ISBLANK(F$18))</formula>
    </cfRule>
  </conditionalFormatting>
  <conditionalFormatting sqref="F21:AI23">
    <cfRule type="expression" dxfId="231" priority="28">
      <formula>NOT(ISBLANK(F$18))</formula>
    </cfRule>
  </conditionalFormatting>
  <conditionalFormatting sqref="F25:AI25">
    <cfRule type="expression" dxfId="230" priority="11">
      <formula>NOT(ISBLANK(F$18))</formula>
    </cfRule>
  </conditionalFormatting>
  <conditionalFormatting sqref="F27:AI29">
    <cfRule type="expression" dxfId="229" priority="27">
      <formula>NOT(ISBLANK(F$18))</formula>
    </cfRule>
  </conditionalFormatting>
  <conditionalFormatting sqref="F36:AI36">
    <cfRule type="expression" dxfId="228" priority="31">
      <formula>NOT(ISBLANK(F$36))</formula>
    </cfRule>
  </conditionalFormatting>
  <conditionalFormatting sqref="F37:AI42">
    <cfRule type="expression" dxfId="227" priority="1">
      <formula>NOT(ISBLANK(F$36))</formula>
    </cfRule>
  </conditionalFormatting>
  <conditionalFormatting sqref="F48:AI48">
    <cfRule type="expression" dxfId="226" priority="25">
      <formula>NOT(ISBLANK(F$48))</formula>
    </cfRule>
  </conditionalFormatting>
  <conditionalFormatting sqref="F49:AI64">
    <cfRule type="expression" dxfId="225" priority="24">
      <formula>NOT(ISBLANK(F$48))</formula>
    </cfRule>
  </conditionalFormatting>
  <conditionalFormatting sqref="F50:AI53">
    <cfRule type="expression" dxfId="224" priority="23">
      <formula>NOT(ISBLANK(F$48))</formula>
    </cfRule>
  </conditionalFormatting>
  <conditionalFormatting sqref="F55:AI58">
    <cfRule type="expression" dxfId="223" priority="22">
      <formula>NOT(ISBLANK(F$48))</formula>
    </cfRule>
  </conditionalFormatting>
  <conditionalFormatting sqref="F60:AI63">
    <cfRule type="expression" dxfId="222" priority="21">
      <formula>NOT(ISBLANK(F$48))</formula>
    </cfRule>
  </conditionalFormatting>
  <conditionalFormatting sqref="F67:AI67">
    <cfRule type="expression" dxfId="221" priority="20">
      <formula>NOT(ISBLANK(F$67))</formula>
    </cfRule>
  </conditionalFormatting>
  <conditionalFormatting sqref="F68:AI78">
    <cfRule type="expression" dxfId="220" priority="19">
      <formula>NOT(ISBLANK(F$67))</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DD2D4-EA00-429F-AFCB-26B63C1F120F}">
  <sheetPr codeName="Munka3">
    <tabColor rgb="FFCCECFF"/>
  </sheetPr>
  <dimension ref="A1:AI192"/>
  <sheetViews>
    <sheetView topLeftCell="A96" zoomScale="25" zoomScaleNormal="25" workbookViewId="0">
      <selection activeCell="F208" sqref="F208"/>
    </sheetView>
  </sheetViews>
  <sheetFormatPr defaultColWidth="9.19921875" defaultRowHeight="15" customHeight="1"/>
  <cols>
    <col min="1" max="1" width="11.5" style="343" customWidth="1"/>
    <col min="2" max="2" width="9.19921875" style="343" customWidth="1"/>
    <col min="3" max="3" width="40.69921875" style="343" customWidth="1"/>
    <col min="4" max="5" width="16.5" style="343" customWidth="1"/>
    <col min="6" max="6" width="35.5" style="343" customWidth="1"/>
    <col min="7" max="7" width="40.69921875" style="343" customWidth="1"/>
    <col min="8" max="8" width="26.5" style="343" customWidth="1"/>
    <col min="9" max="10" width="34.5" style="343" customWidth="1"/>
    <col min="11" max="11" width="20.5" style="343" customWidth="1"/>
    <col min="12" max="34" width="13.19921875" style="343" customWidth="1"/>
    <col min="35" max="35" width="16.5" style="343" customWidth="1"/>
    <col min="36" max="16384" width="9.19921875" style="343"/>
  </cols>
  <sheetData>
    <row r="1" spans="1:35" ht="13.8">
      <c r="F1" s="344"/>
      <c r="G1" s="344"/>
      <c r="H1" s="344"/>
      <c r="I1" s="344"/>
      <c r="J1" s="344"/>
    </row>
    <row r="2" spans="1:35" s="346" customFormat="1" ht="13.8">
      <c r="A2" s="345" t="s">
        <v>443</v>
      </c>
    </row>
    <row r="3" spans="1:35" ht="13.8">
      <c r="F3" s="344"/>
      <c r="G3" s="344"/>
      <c r="H3" s="344"/>
      <c r="I3" s="344"/>
      <c r="J3" s="344"/>
    </row>
    <row r="4" spans="1:35" ht="30" customHeight="1">
      <c r="C4" s="347" t="s">
        <v>344</v>
      </c>
      <c r="D4" s="347" t="s">
        <v>325</v>
      </c>
      <c r="E4" s="348" t="s">
        <v>326</v>
      </c>
      <c r="F4" s="349">
        <v>2025</v>
      </c>
      <c r="G4" s="349">
        <v>2026</v>
      </c>
      <c r="H4" s="349">
        <v>2027</v>
      </c>
      <c r="I4" s="349">
        <v>2028</v>
      </c>
      <c r="J4" s="349">
        <v>2029</v>
      </c>
      <c r="K4" s="349">
        <v>2030</v>
      </c>
      <c r="L4" s="349">
        <v>2031</v>
      </c>
      <c r="M4" s="349">
        <v>2032</v>
      </c>
      <c r="N4" s="349">
        <v>2033</v>
      </c>
      <c r="O4" s="349">
        <v>2034</v>
      </c>
      <c r="P4" s="349">
        <v>2035</v>
      </c>
      <c r="Q4" s="349">
        <v>2036</v>
      </c>
      <c r="R4" s="349">
        <v>2037</v>
      </c>
      <c r="S4" s="349">
        <v>2038</v>
      </c>
      <c r="T4" s="349">
        <v>2039</v>
      </c>
      <c r="U4" s="349">
        <v>2040</v>
      </c>
      <c r="V4" s="349">
        <v>2041</v>
      </c>
      <c r="W4" s="349">
        <v>2042</v>
      </c>
      <c r="X4" s="349">
        <v>2043</v>
      </c>
      <c r="Y4" s="349">
        <v>2044</v>
      </c>
      <c r="Z4" s="349">
        <v>2045</v>
      </c>
      <c r="AA4" s="349">
        <v>2046</v>
      </c>
      <c r="AB4" s="349">
        <v>2047</v>
      </c>
      <c r="AC4" s="349">
        <v>2048</v>
      </c>
      <c r="AD4" s="349">
        <v>2049</v>
      </c>
      <c r="AE4" s="349">
        <v>2050</v>
      </c>
      <c r="AF4" s="349">
        <v>2051</v>
      </c>
      <c r="AG4" s="349">
        <v>2052</v>
      </c>
      <c r="AH4" s="349">
        <v>2053</v>
      </c>
      <c r="AI4" s="349">
        <v>2054</v>
      </c>
    </row>
    <row r="5" spans="1:35" ht="13.8">
      <c r="B5" s="350"/>
      <c r="C5" s="351" t="s">
        <v>345</v>
      </c>
      <c r="D5" s="332">
        <v>483504769</v>
      </c>
      <c r="E5" s="352">
        <v>483504769</v>
      </c>
      <c r="F5" s="279">
        <v>483504769</v>
      </c>
      <c r="G5" s="279">
        <v>0</v>
      </c>
      <c r="H5" s="279">
        <v>0</v>
      </c>
      <c r="I5" s="279">
        <v>0</v>
      </c>
      <c r="J5" s="279">
        <v>0</v>
      </c>
      <c r="K5" s="279">
        <v>0</v>
      </c>
      <c r="L5" s="279">
        <v>0</v>
      </c>
      <c r="M5" s="279">
        <v>0</v>
      </c>
      <c r="N5" s="279">
        <v>0</v>
      </c>
      <c r="O5" s="279">
        <v>0</v>
      </c>
      <c r="P5" s="279">
        <v>0</v>
      </c>
      <c r="Q5" s="279">
        <v>0</v>
      </c>
      <c r="R5" s="279">
        <v>0</v>
      </c>
      <c r="S5" s="279">
        <v>0</v>
      </c>
      <c r="T5" s="279">
        <v>0</v>
      </c>
      <c r="U5" s="279">
        <v>0</v>
      </c>
      <c r="V5" s="279">
        <v>0</v>
      </c>
      <c r="W5" s="279">
        <v>0</v>
      </c>
      <c r="X5" s="279">
        <v>0</v>
      </c>
      <c r="Y5" s="279">
        <v>0</v>
      </c>
      <c r="Z5" s="279">
        <v>0</v>
      </c>
      <c r="AA5" s="279">
        <v>0</v>
      </c>
      <c r="AB5" s="279">
        <v>0</v>
      </c>
      <c r="AC5" s="279">
        <v>0</v>
      </c>
      <c r="AD5" s="279">
        <v>0</v>
      </c>
      <c r="AE5" s="279">
        <v>0</v>
      </c>
      <c r="AF5" s="279">
        <v>0</v>
      </c>
      <c r="AG5" s="279">
        <v>0</v>
      </c>
      <c r="AH5" s="279">
        <v>0</v>
      </c>
      <c r="AI5" s="279">
        <v>0</v>
      </c>
    </row>
    <row r="6" spans="1:35" ht="13.8">
      <c r="C6" s="351" t="s">
        <v>346</v>
      </c>
      <c r="D6" s="332">
        <v>13051174.905538369</v>
      </c>
      <c r="E6" s="352">
        <v>5413011.2941260571</v>
      </c>
      <c r="F6" s="279">
        <v>0</v>
      </c>
      <c r="G6" s="279">
        <v>450040.51398408157</v>
      </c>
      <c r="H6" s="279">
        <v>450040.51398408157</v>
      </c>
      <c r="I6" s="279">
        <v>450040.51398408157</v>
      </c>
      <c r="J6" s="279">
        <v>450040.51398408157</v>
      </c>
      <c r="K6" s="279">
        <v>450040.51398408157</v>
      </c>
      <c r="L6" s="279">
        <v>450040.51398408157</v>
      </c>
      <c r="M6" s="279">
        <v>450040.51398408157</v>
      </c>
      <c r="N6" s="279">
        <v>450040.51398408157</v>
      </c>
      <c r="O6" s="279">
        <v>450040.51398408157</v>
      </c>
      <c r="P6" s="279">
        <v>450040.51398408157</v>
      </c>
      <c r="Q6" s="279">
        <v>450040.51398408157</v>
      </c>
      <c r="R6" s="279">
        <v>450040.51398408157</v>
      </c>
      <c r="S6" s="279">
        <v>450040.51398408157</v>
      </c>
      <c r="T6" s="279">
        <v>450040.51398408157</v>
      </c>
      <c r="U6" s="279">
        <v>450040.51398408157</v>
      </c>
      <c r="V6" s="279">
        <v>450040.51398408157</v>
      </c>
      <c r="W6" s="279">
        <v>450040.51398408157</v>
      </c>
      <c r="X6" s="279">
        <v>450040.51398408157</v>
      </c>
      <c r="Y6" s="279">
        <v>450040.51398408157</v>
      </c>
      <c r="Z6" s="279">
        <v>450040.51398408157</v>
      </c>
      <c r="AA6" s="279">
        <v>450040.51398408157</v>
      </c>
      <c r="AB6" s="279">
        <v>450040.51398408157</v>
      </c>
      <c r="AC6" s="279">
        <v>450040.51398408157</v>
      </c>
      <c r="AD6" s="279">
        <v>450040.51398408157</v>
      </c>
      <c r="AE6" s="279">
        <v>450040.51398408157</v>
      </c>
      <c r="AF6" s="279">
        <v>450040.51398408157</v>
      </c>
      <c r="AG6" s="279">
        <v>450040.51398408157</v>
      </c>
      <c r="AH6" s="279">
        <v>450040.51398408157</v>
      </c>
      <c r="AI6" s="279">
        <v>450040.51398408157</v>
      </c>
    </row>
    <row r="7" spans="1:35" ht="26.25" customHeight="1">
      <c r="B7" s="350"/>
      <c r="C7" s="353" t="s">
        <v>347</v>
      </c>
      <c r="D7" s="354">
        <v>13051174.905538369</v>
      </c>
      <c r="E7" s="355">
        <v>5413011.2941260571</v>
      </c>
      <c r="F7" s="279">
        <v>0</v>
      </c>
      <c r="G7" s="279">
        <v>450040.51398408157</v>
      </c>
      <c r="H7" s="279">
        <v>450040.51398408157</v>
      </c>
      <c r="I7" s="279">
        <v>450040.51398408157</v>
      </c>
      <c r="J7" s="279">
        <v>450040.51398408157</v>
      </c>
      <c r="K7" s="279">
        <v>450040.51398408157</v>
      </c>
      <c r="L7" s="279">
        <v>450040.51398408157</v>
      </c>
      <c r="M7" s="279">
        <v>450040.51398408157</v>
      </c>
      <c r="N7" s="279">
        <v>450040.51398408157</v>
      </c>
      <c r="O7" s="279">
        <v>450040.51398408157</v>
      </c>
      <c r="P7" s="279">
        <v>450040.51398408157</v>
      </c>
      <c r="Q7" s="279">
        <v>450040.51398408157</v>
      </c>
      <c r="R7" s="279">
        <v>450040.51398408157</v>
      </c>
      <c r="S7" s="279">
        <v>450040.51398408157</v>
      </c>
      <c r="T7" s="279">
        <v>450040.51398408157</v>
      </c>
      <c r="U7" s="279">
        <v>450040.51398408157</v>
      </c>
      <c r="V7" s="279">
        <v>450040.51398408157</v>
      </c>
      <c r="W7" s="279">
        <v>450040.51398408157</v>
      </c>
      <c r="X7" s="279">
        <v>450040.51398408157</v>
      </c>
      <c r="Y7" s="279">
        <v>450040.51398408157</v>
      </c>
      <c r="Z7" s="279">
        <v>450040.51398408157</v>
      </c>
      <c r="AA7" s="279">
        <v>450040.51398408157</v>
      </c>
      <c r="AB7" s="279">
        <v>450040.51398408157</v>
      </c>
      <c r="AC7" s="279">
        <v>450040.51398408157</v>
      </c>
      <c r="AD7" s="279">
        <v>450040.51398408157</v>
      </c>
      <c r="AE7" s="279">
        <v>450040.51398408157</v>
      </c>
      <c r="AF7" s="279">
        <v>450040.51398408157</v>
      </c>
      <c r="AG7" s="279">
        <v>450040.51398408157</v>
      </c>
      <c r="AH7" s="279">
        <v>450040.51398408157</v>
      </c>
      <c r="AI7" s="279">
        <v>450040.51398408157</v>
      </c>
    </row>
    <row r="8" spans="1:35" ht="14.4">
      <c r="B8" s="350"/>
      <c r="C8" s="353" t="s">
        <v>348</v>
      </c>
      <c r="D8" s="354">
        <v>0</v>
      </c>
      <c r="E8" s="355">
        <v>0</v>
      </c>
      <c r="F8" s="279">
        <v>0</v>
      </c>
      <c r="G8" s="279">
        <v>0</v>
      </c>
      <c r="H8" s="279">
        <v>0</v>
      </c>
      <c r="I8" s="279">
        <v>0</v>
      </c>
      <c r="J8" s="279">
        <v>0</v>
      </c>
      <c r="K8" s="279">
        <v>0</v>
      </c>
      <c r="L8" s="279">
        <v>0</v>
      </c>
      <c r="M8" s="279">
        <v>0</v>
      </c>
      <c r="N8" s="279">
        <v>0</v>
      </c>
      <c r="O8" s="279">
        <v>0</v>
      </c>
      <c r="P8" s="279">
        <v>0</v>
      </c>
      <c r="Q8" s="279">
        <v>0</v>
      </c>
      <c r="R8" s="279">
        <v>0</v>
      </c>
      <c r="S8" s="279">
        <v>0</v>
      </c>
      <c r="T8" s="279">
        <v>0</v>
      </c>
      <c r="U8" s="279">
        <v>0</v>
      </c>
      <c r="V8" s="279">
        <v>0</v>
      </c>
      <c r="W8" s="279">
        <v>0</v>
      </c>
      <c r="X8" s="279">
        <v>0</v>
      </c>
      <c r="Y8" s="279">
        <v>0</v>
      </c>
      <c r="Z8" s="279">
        <v>0</v>
      </c>
      <c r="AA8" s="279">
        <v>0</v>
      </c>
      <c r="AB8" s="279">
        <v>0</v>
      </c>
      <c r="AC8" s="279">
        <v>0</v>
      </c>
      <c r="AD8" s="279">
        <v>0</v>
      </c>
      <c r="AE8" s="279">
        <v>0</v>
      </c>
      <c r="AF8" s="279">
        <v>0</v>
      </c>
      <c r="AG8" s="279">
        <v>0</v>
      </c>
      <c r="AH8" s="279">
        <v>0</v>
      </c>
      <c r="AI8" s="279">
        <v>0</v>
      </c>
    </row>
    <row r="9" spans="1:35" ht="13.8">
      <c r="C9" s="356" t="s">
        <v>349</v>
      </c>
      <c r="D9" s="357">
        <v>496555943.90553844</v>
      </c>
      <c r="E9" s="358">
        <v>488917780.29412603</v>
      </c>
      <c r="F9" s="359">
        <v>483504769</v>
      </c>
      <c r="G9" s="359">
        <v>450040.51398408157</v>
      </c>
      <c r="H9" s="359">
        <v>450040.51398408157</v>
      </c>
      <c r="I9" s="359">
        <v>450040.51398408157</v>
      </c>
      <c r="J9" s="359">
        <v>450040.51398408157</v>
      </c>
      <c r="K9" s="359">
        <v>450040.51398408157</v>
      </c>
      <c r="L9" s="359">
        <v>450040.51398408157</v>
      </c>
      <c r="M9" s="359">
        <v>450040.51398408157</v>
      </c>
      <c r="N9" s="359">
        <v>450040.51398408157</v>
      </c>
      <c r="O9" s="359">
        <v>450040.51398408157</v>
      </c>
      <c r="P9" s="359">
        <v>450040.51398408157</v>
      </c>
      <c r="Q9" s="359">
        <v>450040.51398408157</v>
      </c>
      <c r="R9" s="359">
        <v>450040.51398408157</v>
      </c>
      <c r="S9" s="359">
        <v>450040.51398408157</v>
      </c>
      <c r="T9" s="359">
        <v>450040.51398408157</v>
      </c>
      <c r="U9" s="359">
        <v>450040.51398408157</v>
      </c>
      <c r="V9" s="359">
        <v>450040.51398408157</v>
      </c>
      <c r="W9" s="359">
        <v>450040.51398408157</v>
      </c>
      <c r="X9" s="359">
        <v>450040.51398408157</v>
      </c>
      <c r="Y9" s="359">
        <v>450040.51398408157</v>
      </c>
      <c r="Z9" s="359">
        <v>450040.51398408157</v>
      </c>
      <c r="AA9" s="359">
        <v>450040.51398408157</v>
      </c>
      <c r="AB9" s="359">
        <v>450040.51398408157</v>
      </c>
      <c r="AC9" s="359">
        <v>450040.51398408157</v>
      </c>
      <c r="AD9" s="359">
        <v>450040.51398408157</v>
      </c>
      <c r="AE9" s="359">
        <v>450040.51398408157</v>
      </c>
      <c r="AF9" s="359">
        <v>450040.51398408157</v>
      </c>
      <c r="AG9" s="359">
        <v>450040.51398408157</v>
      </c>
      <c r="AH9" s="359">
        <v>450040.51398408157</v>
      </c>
      <c r="AI9" s="359">
        <v>450040.51398408157</v>
      </c>
    </row>
    <row r="10" spans="1:35" ht="13.8">
      <c r="B10" s="350"/>
      <c r="C10" s="351" t="s">
        <v>350</v>
      </c>
      <c r="D10" s="332">
        <v>50749999.999999993</v>
      </c>
      <c r="E10" s="352">
        <v>21048704.439653318</v>
      </c>
      <c r="F10" s="279">
        <v>0</v>
      </c>
      <c r="G10" s="279">
        <v>1749999.9999999998</v>
      </c>
      <c r="H10" s="279">
        <v>1749999.9999999998</v>
      </c>
      <c r="I10" s="279">
        <v>1749999.9999999998</v>
      </c>
      <c r="J10" s="279">
        <v>1749999.9999999998</v>
      </c>
      <c r="K10" s="279">
        <v>1749999.9999999998</v>
      </c>
      <c r="L10" s="279">
        <v>1749999.9999999998</v>
      </c>
      <c r="M10" s="279">
        <v>1749999.9999999998</v>
      </c>
      <c r="N10" s="279">
        <v>1749999.9999999998</v>
      </c>
      <c r="O10" s="279">
        <v>1749999.9999999998</v>
      </c>
      <c r="P10" s="279">
        <v>1749999.9999999998</v>
      </c>
      <c r="Q10" s="279">
        <v>1749999.9999999998</v>
      </c>
      <c r="R10" s="279">
        <v>1749999.9999999998</v>
      </c>
      <c r="S10" s="279">
        <v>1749999.9999999998</v>
      </c>
      <c r="T10" s="279">
        <v>1749999.9999999998</v>
      </c>
      <c r="U10" s="279">
        <v>1749999.9999999998</v>
      </c>
      <c r="V10" s="279">
        <v>1749999.9999999998</v>
      </c>
      <c r="W10" s="279">
        <v>1749999.9999999998</v>
      </c>
      <c r="X10" s="279">
        <v>1749999.9999999998</v>
      </c>
      <c r="Y10" s="279">
        <v>1749999.9999999998</v>
      </c>
      <c r="Z10" s="279">
        <v>1749999.9999999998</v>
      </c>
      <c r="AA10" s="279">
        <v>1749999.9999999998</v>
      </c>
      <c r="AB10" s="279">
        <v>1749999.9999999998</v>
      </c>
      <c r="AC10" s="279">
        <v>1749999.9999999998</v>
      </c>
      <c r="AD10" s="279">
        <v>1749999.9999999998</v>
      </c>
      <c r="AE10" s="279">
        <v>1749999.9999999998</v>
      </c>
      <c r="AF10" s="279">
        <v>1749999.9999999998</v>
      </c>
      <c r="AG10" s="279">
        <v>1749999.9999999998</v>
      </c>
      <c r="AH10" s="279">
        <v>1749999.9999999998</v>
      </c>
      <c r="AI10" s="279">
        <v>1749999.9999999998</v>
      </c>
    </row>
    <row r="11" spans="1:35" ht="13.8">
      <c r="C11" s="356" t="s">
        <v>351</v>
      </c>
      <c r="D11" s="357">
        <v>50749999.999999993</v>
      </c>
      <c r="E11" s="358">
        <v>21048704.439653318</v>
      </c>
      <c r="F11" s="359">
        <v>0</v>
      </c>
      <c r="G11" s="359">
        <v>1749999.9999999998</v>
      </c>
      <c r="H11" s="359">
        <v>1749999.9999999998</v>
      </c>
      <c r="I11" s="359">
        <v>1749999.9999999998</v>
      </c>
      <c r="J11" s="359">
        <v>1749999.9999999998</v>
      </c>
      <c r="K11" s="359">
        <v>1749999.9999999998</v>
      </c>
      <c r="L11" s="359">
        <v>1749999.9999999998</v>
      </c>
      <c r="M11" s="359">
        <v>1749999.9999999998</v>
      </c>
      <c r="N11" s="359">
        <v>1749999.9999999998</v>
      </c>
      <c r="O11" s="359">
        <v>1749999.9999999998</v>
      </c>
      <c r="P11" s="359">
        <v>1749999.9999999998</v>
      </c>
      <c r="Q11" s="359">
        <v>1749999.9999999998</v>
      </c>
      <c r="R11" s="359">
        <v>1749999.9999999998</v>
      </c>
      <c r="S11" s="359">
        <v>1749999.9999999998</v>
      </c>
      <c r="T11" s="359">
        <v>1749999.9999999998</v>
      </c>
      <c r="U11" s="359">
        <v>1749999.9999999998</v>
      </c>
      <c r="V11" s="359">
        <v>1749999.9999999998</v>
      </c>
      <c r="W11" s="359">
        <v>1749999.9999999998</v>
      </c>
      <c r="X11" s="359">
        <v>1749999.9999999998</v>
      </c>
      <c r="Y11" s="359">
        <v>1749999.9999999998</v>
      </c>
      <c r="Z11" s="359">
        <v>1749999.9999999998</v>
      </c>
      <c r="AA11" s="359">
        <v>1749999.9999999998</v>
      </c>
      <c r="AB11" s="359">
        <v>1749999.9999999998</v>
      </c>
      <c r="AC11" s="359">
        <v>1749999.9999999998</v>
      </c>
      <c r="AD11" s="359">
        <v>1749999.9999999998</v>
      </c>
      <c r="AE11" s="359">
        <v>1749999.9999999998</v>
      </c>
      <c r="AF11" s="359">
        <v>1749999.9999999998</v>
      </c>
      <c r="AG11" s="359">
        <v>1749999.9999999998</v>
      </c>
      <c r="AH11" s="359">
        <v>1749999.9999999998</v>
      </c>
      <c r="AI11" s="359">
        <v>1749999.9999999998</v>
      </c>
    </row>
    <row r="12" spans="1:35" ht="13.8">
      <c r="B12" s="350"/>
      <c r="C12" s="351" t="s">
        <v>352</v>
      </c>
      <c r="D12" s="332">
        <v>130899999.99999999</v>
      </c>
      <c r="E12" s="352">
        <v>17382653.060594372</v>
      </c>
      <c r="F12" s="359">
        <v>0</v>
      </c>
      <c r="G12" s="359">
        <v>0</v>
      </c>
      <c r="H12" s="359">
        <v>0</v>
      </c>
      <c r="I12" s="359">
        <v>0</v>
      </c>
      <c r="J12" s="359">
        <v>0</v>
      </c>
      <c r="K12" s="359">
        <v>0</v>
      </c>
      <c r="L12" s="359">
        <v>0</v>
      </c>
      <c r="M12" s="359">
        <v>0</v>
      </c>
      <c r="N12" s="359">
        <v>0</v>
      </c>
      <c r="O12" s="359">
        <v>0</v>
      </c>
      <c r="P12" s="359">
        <v>0</v>
      </c>
      <c r="Q12" s="359">
        <v>0</v>
      </c>
      <c r="R12" s="359">
        <v>0</v>
      </c>
      <c r="S12" s="359">
        <v>0</v>
      </c>
      <c r="T12" s="359">
        <v>0</v>
      </c>
      <c r="U12" s="359">
        <v>0</v>
      </c>
      <c r="V12" s="359">
        <v>0</v>
      </c>
      <c r="W12" s="359">
        <v>0</v>
      </c>
      <c r="X12" s="359">
        <v>0</v>
      </c>
      <c r="Y12" s="359">
        <v>0</v>
      </c>
      <c r="Z12" s="359">
        <v>0</v>
      </c>
      <c r="AA12" s="359">
        <v>0</v>
      </c>
      <c r="AB12" s="359">
        <v>0</v>
      </c>
      <c r="AC12" s="359">
        <v>0</v>
      </c>
      <c r="AD12" s="359">
        <v>0</v>
      </c>
      <c r="AE12" s="359">
        <v>0</v>
      </c>
      <c r="AF12" s="359">
        <v>0</v>
      </c>
      <c r="AG12" s="359">
        <v>0</v>
      </c>
      <c r="AH12" s="359">
        <v>0</v>
      </c>
      <c r="AI12" s="359">
        <v>130899999.99999999</v>
      </c>
    </row>
    <row r="13" spans="1:35" ht="13.8">
      <c r="C13" s="356" t="s">
        <v>353</v>
      </c>
      <c r="D13" s="357">
        <v>0</v>
      </c>
      <c r="E13" s="358">
        <v>-450486422.79387838</v>
      </c>
      <c r="F13" s="359">
        <v>-483504769</v>
      </c>
      <c r="G13" s="359">
        <v>1299959.4860159182</v>
      </c>
      <c r="H13" s="359">
        <v>1299959.4860159182</v>
      </c>
      <c r="I13" s="359">
        <v>1299959.4860159182</v>
      </c>
      <c r="J13" s="359">
        <v>1299959.4860159182</v>
      </c>
      <c r="K13" s="359">
        <v>1299959.4860159182</v>
      </c>
      <c r="L13" s="359">
        <v>1299959.4860159182</v>
      </c>
      <c r="M13" s="359">
        <v>1299959.4860159182</v>
      </c>
      <c r="N13" s="359">
        <v>1299959.4860159182</v>
      </c>
      <c r="O13" s="359">
        <v>1299959.4860159182</v>
      </c>
      <c r="P13" s="359">
        <v>1299959.4860159182</v>
      </c>
      <c r="Q13" s="359">
        <v>1299959.4860159182</v>
      </c>
      <c r="R13" s="359">
        <v>1299959.4860159182</v>
      </c>
      <c r="S13" s="359">
        <v>1299959.4860159182</v>
      </c>
      <c r="T13" s="359">
        <v>1299959.4860159182</v>
      </c>
      <c r="U13" s="359">
        <v>1299959.4860159182</v>
      </c>
      <c r="V13" s="359">
        <v>1299959.4860159182</v>
      </c>
      <c r="W13" s="359">
        <v>1299959.4860159182</v>
      </c>
      <c r="X13" s="359">
        <v>1299959.4860159182</v>
      </c>
      <c r="Y13" s="359">
        <v>1299959.4860159182</v>
      </c>
      <c r="Z13" s="359">
        <v>1299959.4860159182</v>
      </c>
      <c r="AA13" s="359">
        <v>1299959.4860159182</v>
      </c>
      <c r="AB13" s="359">
        <v>1299959.4860159182</v>
      </c>
      <c r="AC13" s="359">
        <v>1299959.4860159182</v>
      </c>
      <c r="AD13" s="359">
        <v>1299959.4860159182</v>
      </c>
      <c r="AE13" s="359">
        <v>1299959.4860159182</v>
      </c>
      <c r="AF13" s="359">
        <v>1299959.4860159182</v>
      </c>
      <c r="AG13" s="359">
        <v>1299959.4860159182</v>
      </c>
      <c r="AH13" s="359">
        <v>1299959.4860159182</v>
      </c>
      <c r="AI13" s="359">
        <v>132199959.4860159</v>
      </c>
    </row>
    <row r="14" spans="1:35" ht="13.8">
      <c r="C14" s="351" t="s">
        <v>354</v>
      </c>
      <c r="D14" s="356">
        <v>-450486422.79387838</v>
      </c>
      <c r="E14" s="157"/>
      <c r="F14" s="157"/>
      <c r="G14" s="157"/>
      <c r="H14" s="157"/>
      <c r="I14" s="157"/>
      <c r="J14" s="157"/>
      <c r="K14" s="157"/>
      <c r="L14" s="157"/>
      <c r="M14" s="157"/>
      <c r="N14" s="157"/>
      <c r="O14" s="157"/>
      <c r="P14" s="157"/>
      <c r="Q14" s="157"/>
      <c r="R14" s="157"/>
      <c r="S14" s="157"/>
      <c r="T14" s="157"/>
      <c r="U14" s="157"/>
      <c r="V14" s="157"/>
      <c r="W14" s="157"/>
      <c r="X14" s="157"/>
      <c r="Y14" s="157"/>
      <c r="Z14" s="157"/>
      <c r="AA14" s="157"/>
      <c r="AB14" s="157"/>
      <c r="AC14" s="157"/>
      <c r="AD14" s="157"/>
      <c r="AE14" s="157"/>
      <c r="AF14" s="157"/>
      <c r="AG14" s="157"/>
      <c r="AH14" s="157"/>
      <c r="AI14" s="157"/>
    </row>
    <row r="15" spans="1:35" ht="13.8">
      <c r="C15" s="351" t="s">
        <v>355</v>
      </c>
      <c r="D15" s="360">
        <v>-3.8729353129909883E-2</v>
      </c>
      <c r="E15" s="361"/>
      <c r="F15" s="157"/>
      <c r="G15" s="157"/>
      <c r="H15" s="157"/>
      <c r="I15" s="157"/>
      <c r="J15" s="157"/>
      <c r="K15" s="157"/>
      <c r="L15" s="157"/>
      <c r="M15" s="157"/>
      <c r="N15" s="157"/>
      <c r="O15" s="157"/>
      <c r="P15" s="157"/>
      <c r="Q15" s="157"/>
      <c r="R15" s="157"/>
      <c r="S15" s="157"/>
      <c r="T15" s="157"/>
      <c r="U15" s="157"/>
      <c r="V15" s="157"/>
      <c r="W15" s="157"/>
      <c r="X15" s="157"/>
      <c r="Y15" s="157"/>
      <c r="Z15" s="157"/>
      <c r="AA15" s="157"/>
      <c r="AB15" s="157"/>
      <c r="AC15" s="157"/>
      <c r="AD15" s="157"/>
      <c r="AE15" s="157"/>
      <c r="AF15" s="157"/>
      <c r="AG15" s="157"/>
      <c r="AH15" s="157"/>
      <c r="AI15" s="157"/>
    </row>
    <row r="16" spans="1:35" ht="13.8"/>
    <row r="17" spans="3:7" ht="13.8">
      <c r="C17" s="347" t="s">
        <v>444</v>
      </c>
      <c r="D17" s="347" t="s">
        <v>445</v>
      </c>
    </row>
    <row r="18" spans="3:7" ht="13.8">
      <c r="C18" s="351" t="s">
        <v>354</v>
      </c>
      <c r="D18" s="362">
        <v>-450486422.79387832</v>
      </c>
    </row>
    <row r="19" spans="3:7" ht="13.8">
      <c r="C19" s="351" t="s">
        <v>355</v>
      </c>
      <c r="D19" s="363">
        <v>-3.8729353129909883E-2</v>
      </c>
    </row>
    <row r="20" spans="3:7" ht="13.8"/>
    <row r="21" spans="3:7" ht="13.8">
      <c r="C21" s="347" t="s">
        <v>444</v>
      </c>
      <c r="D21" s="347" t="s">
        <v>446</v>
      </c>
    </row>
    <row r="22" spans="3:7" ht="13.8">
      <c r="C22" s="351" t="s">
        <v>354</v>
      </c>
      <c r="D22" s="363">
        <v>2.2204460492503131E-16</v>
      </c>
    </row>
    <row r="23" spans="3:7" ht="13.8">
      <c r="C23" s="351" t="s">
        <v>355</v>
      </c>
      <c r="D23" s="363">
        <v>0</v>
      </c>
    </row>
    <row r="24" spans="3:7" ht="15.75" customHeight="1" thickBot="1">
      <c r="C24" s="364"/>
      <c r="D24" s="344"/>
      <c r="E24" s="365"/>
    </row>
    <row r="25" spans="3:7" ht="15.75" customHeight="1" thickBot="1">
      <c r="C25" s="366" t="s">
        <v>447</v>
      </c>
      <c r="E25" s="365"/>
      <c r="F25" s="367" t="s">
        <v>354</v>
      </c>
      <c r="G25" s="368" t="s">
        <v>355</v>
      </c>
    </row>
    <row r="26" spans="3:7" ht="15.75" customHeight="1" thickBot="1">
      <c r="D26" s="369"/>
      <c r="F26" s="370"/>
      <c r="G26" s="370"/>
    </row>
    <row r="27" spans="3:7" ht="13.8">
      <c r="C27" s="371" t="s">
        <v>448</v>
      </c>
      <c r="D27" s="372">
        <v>1.01</v>
      </c>
      <c r="E27" s="373"/>
      <c r="F27" s="371">
        <v>1.0732948753512606E-2</v>
      </c>
      <c r="G27" s="374">
        <v>9.0369645694112766E-3</v>
      </c>
    </row>
    <row r="28" spans="3:7" ht="30" customHeight="1">
      <c r="C28" s="375" t="s">
        <v>347</v>
      </c>
      <c r="D28" s="376">
        <v>1.01</v>
      </c>
      <c r="E28" s="373"/>
      <c r="F28" s="375">
        <v>1.2015925497954605E-4</v>
      </c>
      <c r="G28" s="377">
        <v>4.6815415891821033E-4</v>
      </c>
    </row>
    <row r="29" spans="3:7" ht="13.8">
      <c r="C29" s="375" t="s">
        <v>348</v>
      </c>
      <c r="D29" s="376">
        <v>1.01</v>
      </c>
      <c r="E29" s="373"/>
      <c r="F29" s="375">
        <v>2.2204460492503131E-16</v>
      </c>
      <c r="G29" s="377">
        <v>0</v>
      </c>
    </row>
    <row r="30" spans="3:7" ht="13.8">
      <c r="C30" s="375" t="s">
        <v>341</v>
      </c>
      <c r="D30" s="376">
        <v>1.01</v>
      </c>
      <c r="E30" s="373"/>
      <c r="F30" s="375">
        <v>-4.6724392511543478E-4</v>
      </c>
      <c r="G30" s="377">
        <v>-1.8199201115060015E-3</v>
      </c>
    </row>
    <row r="31" spans="3:7" ht="15.75" customHeight="1" thickBot="1">
      <c r="C31" s="378" t="s">
        <v>449</v>
      </c>
      <c r="D31" s="379">
        <v>1.01</v>
      </c>
      <c r="E31" s="373"/>
      <c r="F31" s="378">
        <v>-3.8586408338026068E-4</v>
      </c>
      <c r="G31" s="380">
        <v>-7.6986891581133365E-3</v>
      </c>
    </row>
    <row r="32" spans="3:7" ht="15.75" customHeight="1" thickBot="1">
      <c r="C32" s="344"/>
      <c r="D32" s="369"/>
      <c r="E32" s="369"/>
    </row>
    <row r="33" spans="1:35" ht="15.75" customHeight="1" thickBot="1">
      <c r="C33" s="366" t="s">
        <v>450</v>
      </c>
      <c r="F33" s="367" t="s">
        <v>354</v>
      </c>
      <c r="G33" s="368" t="s">
        <v>355</v>
      </c>
    </row>
    <row r="34" spans="1:35" ht="15.75" customHeight="1" thickBot="1">
      <c r="C34" s="344"/>
      <c r="E34" s="365"/>
    </row>
    <row r="35" spans="1:35" ht="13.8">
      <c r="C35" s="381" t="s">
        <v>448</v>
      </c>
      <c r="E35" s="373"/>
      <c r="F35" s="382">
        <v>-0.93068871349874405</v>
      </c>
      <c r="G35" s="383" t="s">
        <v>451</v>
      </c>
    </row>
    <row r="36" spans="1:35" ht="30" customHeight="1">
      <c r="C36" s="384" t="s">
        <v>347</v>
      </c>
      <c r="E36" s="373"/>
      <c r="F36" s="385" t="s">
        <v>451</v>
      </c>
      <c r="G36" s="386" t="s">
        <v>451</v>
      </c>
    </row>
    <row r="37" spans="1:35" ht="13.8">
      <c r="C37" s="384" t="s">
        <v>348</v>
      </c>
      <c r="E37" s="373"/>
      <c r="F37" s="385" t="s">
        <v>451</v>
      </c>
      <c r="G37" s="386" t="s">
        <v>451</v>
      </c>
    </row>
    <row r="38" spans="1:35" ht="13.8">
      <c r="C38" s="384" t="s">
        <v>341</v>
      </c>
      <c r="E38" s="373"/>
      <c r="F38" s="385" t="s">
        <v>451</v>
      </c>
      <c r="G38" s="386" t="s">
        <v>451</v>
      </c>
    </row>
    <row r="39" spans="1:35" ht="15.75" customHeight="1" thickBot="1">
      <c r="C39" s="387" t="s">
        <v>449</v>
      </c>
      <c r="E39" s="373"/>
      <c r="F39" s="388" t="s">
        <v>451</v>
      </c>
      <c r="G39" s="389" t="s">
        <v>451</v>
      </c>
    </row>
    <row r="40" spans="1:35" ht="13.8"/>
    <row r="41" spans="1:35" ht="13.8"/>
    <row r="42" spans="1:35" s="346" customFormat="1" ht="13.8">
      <c r="A42" s="345" t="s">
        <v>452</v>
      </c>
    </row>
    <row r="43" spans="1:35" ht="13.8"/>
    <row r="44" spans="1:35" ht="13.8">
      <c r="C44" s="348" t="s">
        <v>433</v>
      </c>
      <c r="D44" s="348" t="s">
        <v>288</v>
      </c>
      <c r="E44" s="348" t="s">
        <v>403</v>
      </c>
      <c r="F44" s="390">
        <v>2025</v>
      </c>
      <c r="G44" s="390">
        <v>2026</v>
      </c>
      <c r="H44" s="390">
        <v>2027</v>
      </c>
      <c r="I44" s="390">
        <v>2028</v>
      </c>
      <c r="J44" s="390">
        <v>2029</v>
      </c>
      <c r="K44" s="390">
        <v>2030</v>
      </c>
      <c r="L44" s="390">
        <v>2031</v>
      </c>
      <c r="M44" s="390">
        <v>2032</v>
      </c>
      <c r="N44" s="390">
        <v>2033</v>
      </c>
      <c r="O44" s="390">
        <v>2034</v>
      </c>
      <c r="P44" s="390">
        <v>2035</v>
      </c>
      <c r="Q44" s="390">
        <v>2036</v>
      </c>
      <c r="R44" s="390">
        <v>2037</v>
      </c>
      <c r="S44" s="390">
        <v>2038</v>
      </c>
      <c r="T44" s="390">
        <v>2039</v>
      </c>
      <c r="U44" s="390">
        <v>2040</v>
      </c>
      <c r="V44" s="390">
        <v>2041</v>
      </c>
      <c r="W44" s="390">
        <v>2042</v>
      </c>
      <c r="X44" s="390">
        <v>2043</v>
      </c>
      <c r="Y44" s="390">
        <v>2044</v>
      </c>
      <c r="Z44" s="390">
        <v>2045</v>
      </c>
      <c r="AA44" s="390">
        <v>2046</v>
      </c>
      <c r="AB44" s="390">
        <v>2047</v>
      </c>
      <c r="AC44" s="390">
        <v>2048</v>
      </c>
      <c r="AD44" s="390">
        <v>2049</v>
      </c>
      <c r="AE44" s="390">
        <v>2050</v>
      </c>
      <c r="AF44" s="390">
        <v>2051</v>
      </c>
      <c r="AG44" s="390">
        <v>2052</v>
      </c>
      <c r="AH44" s="390">
        <v>2053</v>
      </c>
      <c r="AI44" s="390">
        <v>2054</v>
      </c>
    </row>
    <row r="45" spans="1:35" ht="13.8">
      <c r="B45" s="350">
        <v>1</v>
      </c>
      <c r="C45" s="331" t="s">
        <v>434</v>
      </c>
      <c r="D45" s="332">
        <v>361700000</v>
      </c>
      <c r="E45" s="352">
        <v>361700000</v>
      </c>
      <c r="F45" s="279">
        <v>361700000</v>
      </c>
      <c r="G45" s="279">
        <v>0</v>
      </c>
      <c r="H45" s="279">
        <v>0</v>
      </c>
      <c r="I45" s="279">
        <v>0</v>
      </c>
      <c r="J45" s="279">
        <v>0</v>
      </c>
      <c r="K45" s="279">
        <v>0</v>
      </c>
      <c r="L45" s="279">
        <v>0</v>
      </c>
      <c r="M45" s="279">
        <v>0</v>
      </c>
      <c r="N45" s="279">
        <v>0</v>
      </c>
      <c r="O45" s="279">
        <v>0</v>
      </c>
      <c r="P45" s="279">
        <v>0</v>
      </c>
      <c r="Q45" s="279">
        <v>0</v>
      </c>
      <c r="R45" s="279">
        <v>0</v>
      </c>
      <c r="S45" s="279">
        <v>0</v>
      </c>
      <c r="T45" s="279">
        <v>0</v>
      </c>
      <c r="U45" s="279">
        <v>0</v>
      </c>
      <c r="V45" s="279">
        <v>0</v>
      </c>
      <c r="W45" s="279">
        <v>0</v>
      </c>
      <c r="X45" s="279">
        <v>0</v>
      </c>
      <c r="Y45" s="279">
        <v>0</v>
      </c>
      <c r="Z45" s="279">
        <v>0</v>
      </c>
      <c r="AA45" s="279">
        <v>0</v>
      </c>
      <c r="AB45" s="279">
        <v>0</v>
      </c>
      <c r="AC45" s="279">
        <v>0</v>
      </c>
      <c r="AD45" s="279">
        <v>0</v>
      </c>
      <c r="AE45" s="279">
        <v>0</v>
      </c>
      <c r="AF45" s="279">
        <v>0</v>
      </c>
      <c r="AG45" s="279">
        <v>0</v>
      </c>
      <c r="AH45" s="279">
        <v>0</v>
      </c>
      <c r="AI45" s="279">
        <v>0</v>
      </c>
    </row>
    <row r="46" spans="1:35" ht="13.8">
      <c r="C46" s="331" t="s">
        <v>419</v>
      </c>
      <c r="D46" s="332">
        <v>13051174.905538369</v>
      </c>
      <c r="E46" s="332">
        <v>8635581.9662230443</v>
      </c>
      <c r="F46" s="279">
        <v>0</v>
      </c>
      <c r="G46" s="279">
        <v>450040.51398408157</v>
      </c>
      <c r="H46" s="279">
        <v>450040.51398408157</v>
      </c>
      <c r="I46" s="279">
        <v>450040.51398408157</v>
      </c>
      <c r="J46" s="279">
        <v>450040.51398408157</v>
      </c>
      <c r="K46" s="279">
        <v>450040.51398408157</v>
      </c>
      <c r="L46" s="279">
        <v>450040.51398408157</v>
      </c>
      <c r="M46" s="279">
        <v>450040.51398408157</v>
      </c>
      <c r="N46" s="279">
        <v>450040.51398408157</v>
      </c>
      <c r="O46" s="279">
        <v>450040.51398408157</v>
      </c>
      <c r="P46" s="279">
        <v>450040.51398408157</v>
      </c>
      <c r="Q46" s="279">
        <v>450040.51398408157</v>
      </c>
      <c r="R46" s="279">
        <v>450040.51398408157</v>
      </c>
      <c r="S46" s="279">
        <v>450040.51398408157</v>
      </c>
      <c r="T46" s="279">
        <v>450040.51398408157</v>
      </c>
      <c r="U46" s="279">
        <v>450040.51398408157</v>
      </c>
      <c r="V46" s="279">
        <v>450040.51398408157</v>
      </c>
      <c r="W46" s="279">
        <v>450040.51398408157</v>
      </c>
      <c r="X46" s="279">
        <v>450040.51398408157</v>
      </c>
      <c r="Y46" s="279">
        <v>450040.51398408157</v>
      </c>
      <c r="Z46" s="279">
        <v>450040.51398408157</v>
      </c>
      <c r="AA46" s="279">
        <v>450040.51398408157</v>
      </c>
      <c r="AB46" s="279">
        <v>450040.51398408157</v>
      </c>
      <c r="AC46" s="279">
        <v>450040.51398408157</v>
      </c>
      <c r="AD46" s="279">
        <v>450040.51398408157</v>
      </c>
      <c r="AE46" s="279">
        <v>450040.51398408157</v>
      </c>
      <c r="AF46" s="279">
        <v>450040.51398408157</v>
      </c>
      <c r="AG46" s="279">
        <v>450040.51398408157</v>
      </c>
      <c r="AH46" s="279">
        <v>450040.51398408157</v>
      </c>
      <c r="AI46" s="279">
        <v>450040.51398408157</v>
      </c>
    </row>
    <row r="47" spans="1:35" ht="29.25" customHeight="1">
      <c r="B47" s="350">
        <v>2</v>
      </c>
      <c r="C47" s="391" t="s">
        <v>420</v>
      </c>
      <c r="D47" s="354">
        <v>13051174.905538369</v>
      </c>
      <c r="E47" s="354">
        <v>8635581.9662230443</v>
      </c>
      <c r="F47" s="392">
        <v>0</v>
      </c>
      <c r="G47" s="392">
        <v>450040.51398408157</v>
      </c>
      <c r="H47" s="392">
        <v>450040.51398408157</v>
      </c>
      <c r="I47" s="392">
        <v>450040.51398408157</v>
      </c>
      <c r="J47" s="392">
        <v>450040.51398408157</v>
      </c>
      <c r="K47" s="392">
        <v>450040.51398408157</v>
      </c>
      <c r="L47" s="392">
        <v>450040.51398408157</v>
      </c>
      <c r="M47" s="392">
        <v>450040.51398408157</v>
      </c>
      <c r="N47" s="392">
        <v>450040.51398408157</v>
      </c>
      <c r="O47" s="392">
        <v>450040.51398408157</v>
      </c>
      <c r="P47" s="392">
        <v>450040.51398408157</v>
      </c>
      <c r="Q47" s="392">
        <v>450040.51398408157</v>
      </c>
      <c r="R47" s="392">
        <v>450040.51398408157</v>
      </c>
      <c r="S47" s="392">
        <v>450040.51398408157</v>
      </c>
      <c r="T47" s="392">
        <v>450040.51398408157</v>
      </c>
      <c r="U47" s="392">
        <v>450040.51398408157</v>
      </c>
      <c r="V47" s="392">
        <v>450040.51398408157</v>
      </c>
      <c r="W47" s="392">
        <v>450040.51398408157</v>
      </c>
      <c r="X47" s="392">
        <v>450040.51398408157</v>
      </c>
      <c r="Y47" s="392">
        <v>450040.51398408157</v>
      </c>
      <c r="Z47" s="392">
        <v>450040.51398408157</v>
      </c>
      <c r="AA47" s="392">
        <v>450040.51398408157</v>
      </c>
      <c r="AB47" s="392">
        <v>450040.51398408157</v>
      </c>
      <c r="AC47" s="392">
        <v>450040.51398408157</v>
      </c>
      <c r="AD47" s="392">
        <v>450040.51398408157</v>
      </c>
      <c r="AE47" s="392">
        <v>450040.51398408157</v>
      </c>
      <c r="AF47" s="392">
        <v>450040.51398408157</v>
      </c>
      <c r="AG47" s="392">
        <v>450040.51398408157</v>
      </c>
      <c r="AH47" s="392">
        <v>450040.51398408157</v>
      </c>
      <c r="AI47" s="392">
        <v>450040.51398408157</v>
      </c>
    </row>
    <row r="48" spans="1:35" ht="14.4">
      <c r="B48" s="350">
        <v>3</v>
      </c>
      <c r="C48" s="391" t="s">
        <v>421</v>
      </c>
      <c r="D48" s="354">
        <v>0</v>
      </c>
      <c r="E48" s="354">
        <v>0</v>
      </c>
      <c r="F48" s="392">
        <v>0</v>
      </c>
      <c r="G48" s="392">
        <v>0</v>
      </c>
      <c r="H48" s="392">
        <v>0</v>
      </c>
      <c r="I48" s="392">
        <v>0</v>
      </c>
      <c r="J48" s="392">
        <v>0</v>
      </c>
      <c r="K48" s="392">
        <v>0</v>
      </c>
      <c r="L48" s="392">
        <v>0</v>
      </c>
      <c r="M48" s="392">
        <v>0</v>
      </c>
      <c r="N48" s="392">
        <v>0</v>
      </c>
      <c r="O48" s="392">
        <v>0</v>
      </c>
      <c r="P48" s="392">
        <v>0</v>
      </c>
      <c r="Q48" s="392">
        <v>0</v>
      </c>
      <c r="R48" s="392">
        <v>0</v>
      </c>
      <c r="S48" s="392">
        <v>0</v>
      </c>
      <c r="T48" s="392">
        <v>0</v>
      </c>
      <c r="U48" s="392">
        <v>0</v>
      </c>
      <c r="V48" s="392">
        <v>0</v>
      </c>
      <c r="W48" s="392">
        <v>0</v>
      </c>
      <c r="X48" s="392">
        <v>0</v>
      </c>
      <c r="Y48" s="392">
        <v>0</v>
      </c>
      <c r="Z48" s="392">
        <v>0</v>
      </c>
      <c r="AA48" s="392">
        <v>0</v>
      </c>
      <c r="AB48" s="392">
        <v>0</v>
      </c>
      <c r="AC48" s="392">
        <v>0</v>
      </c>
      <c r="AD48" s="392">
        <v>0</v>
      </c>
      <c r="AE48" s="392">
        <v>0</v>
      </c>
      <c r="AF48" s="392">
        <v>0</v>
      </c>
      <c r="AG48" s="392">
        <v>0</v>
      </c>
      <c r="AH48" s="392">
        <v>0</v>
      </c>
      <c r="AI48" s="392">
        <v>0</v>
      </c>
    </row>
    <row r="49" spans="2:35" ht="13.8">
      <c r="B49" s="350">
        <v>4</v>
      </c>
      <c r="C49" s="331" t="s">
        <v>405</v>
      </c>
      <c r="D49" s="332">
        <v>130899999.99999997</v>
      </c>
      <c r="E49" s="332">
        <v>55546938.825251088</v>
      </c>
      <c r="F49" s="279">
        <v>0</v>
      </c>
      <c r="G49" s="279">
        <v>0</v>
      </c>
      <c r="H49" s="279">
        <v>0</v>
      </c>
      <c r="I49" s="279">
        <v>0</v>
      </c>
      <c r="J49" s="279">
        <v>0</v>
      </c>
      <c r="K49" s="279">
        <v>0</v>
      </c>
      <c r="L49" s="279">
        <v>0</v>
      </c>
      <c r="M49" s="279">
        <v>0</v>
      </c>
      <c r="N49" s="279">
        <v>0</v>
      </c>
      <c r="O49" s="279">
        <v>0</v>
      </c>
      <c r="P49" s="279">
        <v>0</v>
      </c>
      <c r="Q49" s="279">
        <v>0</v>
      </c>
      <c r="R49" s="279">
        <v>0</v>
      </c>
      <c r="S49" s="279">
        <v>0</v>
      </c>
      <c r="T49" s="279">
        <v>0</v>
      </c>
      <c r="U49" s="279">
        <v>0</v>
      </c>
      <c r="V49" s="279">
        <v>0</v>
      </c>
      <c r="W49" s="279">
        <v>0</v>
      </c>
      <c r="X49" s="279">
        <v>0</v>
      </c>
      <c r="Y49" s="279">
        <v>0</v>
      </c>
      <c r="Z49" s="279">
        <v>0</v>
      </c>
      <c r="AA49" s="279">
        <v>0</v>
      </c>
      <c r="AB49" s="279">
        <v>0</v>
      </c>
      <c r="AC49" s="279">
        <v>0</v>
      </c>
      <c r="AD49" s="279">
        <v>0</v>
      </c>
      <c r="AE49" s="279">
        <v>0</v>
      </c>
      <c r="AF49" s="279">
        <v>0</v>
      </c>
      <c r="AG49" s="279">
        <v>0</v>
      </c>
      <c r="AH49" s="279">
        <v>0</v>
      </c>
      <c r="AI49" s="279">
        <v>130899999.99999997</v>
      </c>
    </row>
    <row r="50" spans="2:35" ht="13.8">
      <c r="C50" s="335" t="s">
        <v>435</v>
      </c>
      <c r="D50" s="357">
        <v>243851174.90553847</v>
      </c>
      <c r="E50" s="357">
        <v>314788643.14097196</v>
      </c>
      <c r="F50" s="359">
        <v>361700000</v>
      </c>
      <c r="G50" s="359">
        <v>450040.51398408157</v>
      </c>
      <c r="H50" s="359">
        <v>450040.51398408157</v>
      </c>
      <c r="I50" s="359">
        <v>450040.51398408157</v>
      </c>
      <c r="J50" s="359">
        <v>450040.51398408157</v>
      </c>
      <c r="K50" s="359">
        <v>450040.51398408157</v>
      </c>
      <c r="L50" s="359">
        <v>450040.51398408157</v>
      </c>
      <c r="M50" s="359">
        <v>450040.51398408157</v>
      </c>
      <c r="N50" s="359">
        <v>450040.51398408157</v>
      </c>
      <c r="O50" s="359">
        <v>450040.51398408157</v>
      </c>
      <c r="P50" s="359">
        <v>450040.51398408157</v>
      </c>
      <c r="Q50" s="359">
        <v>450040.51398408157</v>
      </c>
      <c r="R50" s="359">
        <v>450040.51398408157</v>
      </c>
      <c r="S50" s="359">
        <v>450040.51398408157</v>
      </c>
      <c r="T50" s="359">
        <v>450040.51398408157</v>
      </c>
      <c r="U50" s="359">
        <v>450040.51398408157</v>
      </c>
      <c r="V50" s="359">
        <v>450040.51398408157</v>
      </c>
      <c r="W50" s="359">
        <v>450040.51398408157</v>
      </c>
      <c r="X50" s="359">
        <v>450040.51398408157</v>
      </c>
      <c r="Y50" s="359">
        <v>450040.51398408157</v>
      </c>
      <c r="Z50" s="359">
        <v>450040.51398408157</v>
      </c>
      <c r="AA50" s="359">
        <v>450040.51398408157</v>
      </c>
      <c r="AB50" s="359">
        <v>450040.51398408157</v>
      </c>
      <c r="AC50" s="359">
        <v>450040.51398408157</v>
      </c>
      <c r="AD50" s="359">
        <v>450040.51398408157</v>
      </c>
      <c r="AE50" s="359">
        <v>450040.51398408157</v>
      </c>
      <c r="AF50" s="359">
        <v>450040.51398408157</v>
      </c>
      <c r="AG50" s="359">
        <v>450040.51398408157</v>
      </c>
      <c r="AH50" s="359">
        <v>450040.51398408157</v>
      </c>
      <c r="AI50" s="359">
        <v>-130449959.48601589</v>
      </c>
    </row>
    <row r="51" spans="2:35" ht="13.8">
      <c r="B51" s="350">
        <v>5</v>
      </c>
      <c r="C51" s="331" t="s">
        <v>425</v>
      </c>
      <c r="D51" s="332">
        <v>116000000</v>
      </c>
      <c r="E51" s="332">
        <v>76753818.359815463</v>
      </c>
      <c r="F51" s="279">
        <v>0</v>
      </c>
      <c r="G51" s="279">
        <v>4000000</v>
      </c>
      <c r="H51" s="279">
        <v>4000000</v>
      </c>
      <c r="I51" s="279">
        <v>4000000</v>
      </c>
      <c r="J51" s="279">
        <v>4000000</v>
      </c>
      <c r="K51" s="279">
        <v>4000000</v>
      </c>
      <c r="L51" s="279">
        <v>4000000</v>
      </c>
      <c r="M51" s="279">
        <v>4000000</v>
      </c>
      <c r="N51" s="279">
        <v>4000000</v>
      </c>
      <c r="O51" s="279">
        <v>4000000</v>
      </c>
      <c r="P51" s="279">
        <v>4000000</v>
      </c>
      <c r="Q51" s="279">
        <v>4000000</v>
      </c>
      <c r="R51" s="279">
        <v>4000000</v>
      </c>
      <c r="S51" s="279">
        <v>4000000</v>
      </c>
      <c r="T51" s="279">
        <v>4000000</v>
      </c>
      <c r="U51" s="279">
        <v>4000000</v>
      </c>
      <c r="V51" s="279">
        <v>4000000</v>
      </c>
      <c r="W51" s="279">
        <v>4000000</v>
      </c>
      <c r="X51" s="279">
        <v>4000000</v>
      </c>
      <c r="Y51" s="279">
        <v>4000000</v>
      </c>
      <c r="Z51" s="279">
        <v>4000000</v>
      </c>
      <c r="AA51" s="279">
        <v>4000000</v>
      </c>
      <c r="AB51" s="279">
        <v>4000000</v>
      </c>
      <c r="AC51" s="279">
        <v>4000000</v>
      </c>
      <c r="AD51" s="279">
        <v>4000000</v>
      </c>
      <c r="AE51" s="279">
        <v>4000000</v>
      </c>
      <c r="AF51" s="279">
        <v>4000000</v>
      </c>
      <c r="AG51" s="279">
        <v>4000000</v>
      </c>
      <c r="AH51" s="279">
        <v>4000000</v>
      </c>
      <c r="AI51" s="279">
        <v>4000000</v>
      </c>
    </row>
    <row r="52" spans="2:35" ht="13.8">
      <c r="B52" s="350">
        <v>6</v>
      </c>
      <c r="C52" s="331" t="s">
        <v>427</v>
      </c>
      <c r="D52" s="332">
        <v>522000000</v>
      </c>
      <c r="E52" s="332">
        <v>345392182.61916959</v>
      </c>
      <c r="F52" s="279">
        <v>0</v>
      </c>
      <c r="G52" s="279">
        <v>18000000</v>
      </c>
      <c r="H52" s="279">
        <v>18000000</v>
      </c>
      <c r="I52" s="279">
        <v>18000000</v>
      </c>
      <c r="J52" s="279">
        <v>18000000</v>
      </c>
      <c r="K52" s="279">
        <v>18000000</v>
      </c>
      <c r="L52" s="279">
        <v>18000000</v>
      </c>
      <c r="M52" s="279">
        <v>18000000</v>
      </c>
      <c r="N52" s="279">
        <v>18000000</v>
      </c>
      <c r="O52" s="279">
        <v>18000000</v>
      </c>
      <c r="P52" s="279">
        <v>18000000</v>
      </c>
      <c r="Q52" s="279">
        <v>18000000</v>
      </c>
      <c r="R52" s="279">
        <v>18000000</v>
      </c>
      <c r="S52" s="279">
        <v>18000000</v>
      </c>
      <c r="T52" s="279">
        <v>18000000</v>
      </c>
      <c r="U52" s="279">
        <v>18000000</v>
      </c>
      <c r="V52" s="279">
        <v>18000000</v>
      </c>
      <c r="W52" s="279">
        <v>18000000</v>
      </c>
      <c r="X52" s="279">
        <v>18000000</v>
      </c>
      <c r="Y52" s="279">
        <v>18000000</v>
      </c>
      <c r="Z52" s="279">
        <v>18000000</v>
      </c>
      <c r="AA52" s="279">
        <v>18000000</v>
      </c>
      <c r="AB52" s="279">
        <v>18000000</v>
      </c>
      <c r="AC52" s="279">
        <v>18000000</v>
      </c>
      <c r="AD52" s="279">
        <v>18000000</v>
      </c>
      <c r="AE52" s="279">
        <v>18000000</v>
      </c>
      <c r="AF52" s="279">
        <v>18000000</v>
      </c>
      <c r="AG52" s="279">
        <v>18000000</v>
      </c>
      <c r="AH52" s="279">
        <v>18000000</v>
      </c>
      <c r="AI52" s="279">
        <v>18000000</v>
      </c>
    </row>
    <row r="53" spans="2:35" ht="13.8">
      <c r="B53" s="350">
        <v>7</v>
      </c>
      <c r="C53" s="331" t="s">
        <v>431</v>
      </c>
      <c r="D53" s="332">
        <v>0</v>
      </c>
      <c r="E53" s="332">
        <v>0</v>
      </c>
      <c r="F53" s="279">
        <v>0</v>
      </c>
      <c r="G53" s="279">
        <v>0</v>
      </c>
      <c r="H53" s="279">
        <v>0</v>
      </c>
      <c r="I53" s="279">
        <v>0</v>
      </c>
      <c r="J53" s="279">
        <v>0</v>
      </c>
      <c r="K53" s="279">
        <v>0</v>
      </c>
      <c r="L53" s="279">
        <v>0</v>
      </c>
      <c r="M53" s="279">
        <v>0</v>
      </c>
      <c r="N53" s="279">
        <v>0</v>
      </c>
      <c r="O53" s="279">
        <v>0</v>
      </c>
      <c r="P53" s="279">
        <v>0</v>
      </c>
      <c r="Q53" s="279">
        <v>0</v>
      </c>
      <c r="R53" s="279">
        <v>0</v>
      </c>
      <c r="S53" s="279">
        <v>0</v>
      </c>
      <c r="T53" s="279">
        <v>0</v>
      </c>
      <c r="U53" s="279">
        <v>0</v>
      </c>
      <c r="V53" s="279">
        <v>0</v>
      </c>
      <c r="W53" s="279">
        <v>0</v>
      </c>
      <c r="X53" s="279">
        <v>0</v>
      </c>
      <c r="Y53" s="279">
        <v>0</v>
      </c>
      <c r="Z53" s="279">
        <v>0</v>
      </c>
      <c r="AA53" s="279">
        <v>0</v>
      </c>
      <c r="AB53" s="279">
        <v>0</v>
      </c>
      <c r="AC53" s="279">
        <v>0</v>
      </c>
      <c r="AD53" s="279">
        <v>0</v>
      </c>
      <c r="AE53" s="279">
        <v>0</v>
      </c>
      <c r="AF53" s="279">
        <v>0</v>
      </c>
      <c r="AG53" s="279">
        <v>0</v>
      </c>
      <c r="AH53" s="279">
        <v>0</v>
      </c>
      <c r="AI53" s="279">
        <v>0</v>
      </c>
    </row>
    <row r="54" spans="2:35" ht="13.8">
      <c r="C54" s="335" t="s">
        <v>436</v>
      </c>
      <c r="D54" s="357">
        <v>638000000</v>
      </c>
      <c r="E54" s="357">
        <v>422146000.97898501</v>
      </c>
      <c r="F54" s="359">
        <v>0</v>
      </c>
      <c r="G54" s="359">
        <v>22000000</v>
      </c>
      <c r="H54" s="359">
        <v>22000000</v>
      </c>
      <c r="I54" s="359">
        <v>22000000</v>
      </c>
      <c r="J54" s="359">
        <v>22000000</v>
      </c>
      <c r="K54" s="359">
        <v>22000000</v>
      </c>
      <c r="L54" s="359">
        <v>22000000</v>
      </c>
      <c r="M54" s="359">
        <v>22000000</v>
      </c>
      <c r="N54" s="359">
        <v>22000000</v>
      </c>
      <c r="O54" s="359">
        <v>22000000</v>
      </c>
      <c r="P54" s="359">
        <v>22000000</v>
      </c>
      <c r="Q54" s="359">
        <v>22000000</v>
      </c>
      <c r="R54" s="359">
        <v>22000000</v>
      </c>
      <c r="S54" s="359">
        <v>22000000</v>
      </c>
      <c r="T54" s="359">
        <v>22000000</v>
      </c>
      <c r="U54" s="359">
        <v>22000000</v>
      </c>
      <c r="V54" s="359">
        <v>22000000</v>
      </c>
      <c r="W54" s="359">
        <v>22000000</v>
      </c>
      <c r="X54" s="359">
        <v>22000000</v>
      </c>
      <c r="Y54" s="359">
        <v>22000000</v>
      </c>
      <c r="Z54" s="359">
        <v>22000000</v>
      </c>
      <c r="AA54" s="359">
        <v>22000000</v>
      </c>
      <c r="AB54" s="359">
        <v>22000000</v>
      </c>
      <c r="AC54" s="359">
        <v>22000000</v>
      </c>
      <c r="AD54" s="359">
        <v>22000000</v>
      </c>
      <c r="AE54" s="359">
        <v>22000000</v>
      </c>
      <c r="AF54" s="359">
        <v>22000000</v>
      </c>
      <c r="AG54" s="359">
        <v>22000000</v>
      </c>
      <c r="AH54" s="359">
        <v>22000000</v>
      </c>
      <c r="AI54" s="359">
        <v>22000000</v>
      </c>
    </row>
    <row r="55" spans="2:35" ht="13.8">
      <c r="C55" s="335" t="s">
        <v>437</v>
      </c>
      <c r="D55" s="357">
        <v>394148825.09446156</v>
      </c>
      <c r="E55" s="357">
        <v>107357357.83801311</v>
      </c>
      <c r="F55" s="359">
        <v>-361700000</v>
      </c>
      <c r="G55" s="359">
        <v>21549959.48601592</v>
      </c>
      <c r="H55" s="359">
        <v>21549959.48601592</v>
      </c>
      <c r="I55" s="359">
        <v>21549959.48601592</v>
      </c>
      <c r="J55" s="359">
        <v>21549959.48601592</v>
      </c>
      <c r="K55" s="359">
        <v>21549959.48601592</v>
      </c>
      <c r="L55" s="359">
        <v>21549959.48601592</v>
      </c>
      <c r="M55" s="359">
        <v>21549959.48601592</v>
      </c>
      <c r="N55" s="359">
        <v>21549959.48601592</v>
      </c>
      <c r="O55" s="359">
        <v>21549959.48601592</v>
      </c>
      <c r="P55" s="359">
        <v>21549959.48601592</v>
      </c>
      <c r="Q55" s="359">
        <v>21549959.48601592</v>
      </c>
      <c r="R55" s="359">
        <v>21549959.48601592</v>
      </c>
      <c r="S55" s="359">
        <v>21549959.48601592</v>
      </c>
      <c r="T55" s="359">
        <v>21549959.48601592</v>
      </c>
      <c r="U55" s="359">
        <v>21549959.48601592</v>
      </c>
      <c r="V55" s="359">
        <v>21549959.48601592</v>
      </c>
      <c r="W55" s="359">
        <v>21549959.48601592</v>
      </c>
      <c r="X55" s="359">
        <v>21549959.48601592</v>
      </c>
      <c r="Y55" s="359">
        <v>21549959.48601592</v>
      </c>
      <c r="Z55" s="359">
        <v>21549959.48601592</v>
      </c>
      <c r="AA55" s="359">
        <v>21549959.48601592</v>
      </c>
      <c r="AB55" s="359">
        <v>21549959.48601592</v>
      </c>
      <c r="AC55" s="359">
        <v>21549959.48601592</v>
      </c>
      <c r="AD55" s="359">
        <v>21549959.48601592</v>
      </c>
      <c r="AE55" s="359">
        <v>21549959.48601592</v>
      </c>
      <c r="AF55" s="359">
        <v>21549959.48601592</v>
      </c>
      <c r="AG55" s="359">
        <v>21549959.48601592</v>
      </c>
      <c r="AH55" s="359">
        <v>21549959.48601592</v>
      </c>
      <c r="AI55" s="359">
        <v>152449959.48601589</v>
      </c>
    </row>
    <row r="56" spans="2:35" ht="13.8">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row>
    <row r="57" spans="2:35" ht="30" customHeight="1">
      <c r="C57" s="348" t="s">
        <v>438</v>
      </c>
      <c r="D57" s="347" t="s">
        <v>439</v>
      </c>
      <c r="E57" s="157"/>
      <c r="F57" s="157"/>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row>
    <row r="58" spans="2:35" ht="13.8">
      <c r="C58" s="331" t="s">
        <v>440</v>
      </c>
      <c r="D58" s="332">
        <v>108935926.30577421</v>
      </c>
      <c r="E58" s="157"/>
      <c r="F58" s="157"/>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row>
    <row r="59" spans="2:35" ht="29.25" customHeight="1">
      <c r="C59" s="331" t="s">
        <v>441</v>
      </c>
      <c r="D59" s="393">
        <v>4.9407238882575477E-2</v>
      </c>
      <c r="E59" s="157"/>
      <c r="F59" s="157"/>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row>
    <row r="60" spans="2:35" ht="13.8">
      <c r="C60" s="331" t="s">
        <v>442</v>
      </c>
      <c r="D60" s="394">
        <v>1.347804668861412</v>
      </c>
      <c r="E60" s="157"/>
      <c r="F60" s="157"/>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row>
    <row r="61" spans="2:35" ht="13.8"/>
    <row r="62" spans="2:35" ht="13.8">
      <c r="C62" s="347" t="s">
        <v>453</v>
      </c>
      <c r="D62" s="347" t="s">
        <v>445</v>
      </c>
    </row>
    <row r="63" spans="2:35" ht="13.8">
      <c r="C63" s="331" t="s">
        <v>440</v>
      </c>
      <c r="D63" s="332">
        <v>107357357.83801311</v>
      </c>
    </row>
    <row r="64" spans="2:35" ht="29.25" customHeight="1">
      <c r="C64" s="331" t="s">
        <v>441</v>
      </c>
      <c r="D64" s="393">
        <v>4.9206369033606867E-2</v>
      </c>
    </row>
    <row r="65" spans="3:8" ht="13.8">
      <c r="C65" s="331" t="s">
        <v>442</v>
      </c>
      <c r="D65" s="394">
        <v>1.3410458419554074</v>
      </c>
    </row>
    <row r="66" spans="3:8" ht="13.8"/>
    <row r="67" spans="3:8" ht="13.8">
      <c r="C67" s="347" t="s">
        <v>453</v>
      </c>
      <c r="D67" s="347" t="s">
        <v>446</v>
      </c>
    </row>
    <row r="68" spans="3:8" ht="13.8">
      <c r="C68" s="351" t="s">
        <v>440</v>
      </c>
      <c r="D68" s="363">
        <v>0</v>
      </c>
    </row>
    <row r="69" spans="3:8" ht="26.25" customHeight="1">
      <c r="C69" s="351" t="s">
        <v>441</v>
      </c>
      <c r="D69" s="363">
        <v>0</v>
      </c>
    </row>
    <row r="70" spans="3:8" ht="13.8">
      <c r="C70" s="351" t="s">
        <v>442</v>
      </c>
      <c r="D70" s="363">
        <v>0</v>
      </c>
    </row>
    <row r="71" spans="3:8" ht="15.75" customHeight="1" thickBot="1">
      <c r="E71" s="365"/>
    </row>
    <row r="72" spans="3:8" ht="30.75" customHeight="1" thickBot="1">
      <c r="C72" s="366" t="s">
        <v>447</v>
      </c>
      <c r="E72" s="365"/>
      <c r="F72" s="367" t="s">
        <v>440</v>
      </c>
      <c r="G72" s="395" t="s">
        <v>441</v>
      </c>
      <c r="H72" s="368" t="s">
        <v>442</v>
      </c>
    </row>
    <row r="73" spans="3:8" ht="15.75" customHeight="1" thickBot="1">
      <c r="F73" s="370"/>
      <c r="G73" s="370"/>
      <c r="H73" s="370"/>
    </row>
    <row r="74" spans="3:8" ht="13.8">
      <c r="C74" s="371" t="s">
        <v>434</v>
      </c>
      <c r="D74" s="372">
        <v>1.01</v>
      </c>
      <c r="E74" s="373"/>
      <c r="F74" s="396">
        <v>-3.3691216632375398E-2</v>
      </c>
      <c r="G74" s="397">
        <v>-1.5918299263567581E-2</v>
      </c>
      <c r="H74" s="398">
        <v>-1.1359723289824153E-2</v>
      </c>
    </row>
    <row r="75" spans="3:8" ht="30" customHeight="1">
      <c r="C75" s="375" t="s">
        <v>420</v>
      </c>
      <c r="D75" s="376">
        <v>1.01</v>
      </c>
      <c r="E75" s="373"/>
      <c r="F75" s="399">
        <v>-8.0437728164506339E-4</v>
      </c>
      <c r="G75" s="400">
        <v>-3.0488943908479893E-4</v>
      </c>
      <c r="H75" s="401">
        <v>-2.7425429121807898E-4</v>
      </c>
    </row>
    <row r="76" spans="3:8" ht="13.8">
      <c r="C76" s="375" t="s">
        <v>421</v>
      </c>
      <c r="D76" s="376">
        <v>1.01</v>
      </c>
      <c r="E76" s="373"/>
      <c r="F76" s="399">
        <v>0</v>
      </c>
      <c r="G76" s="400">
        <v>0</v>
      </c>
      <c r="H76" s="401">
        <v>0</v>
      </c>
    </row>
    <row r="77" spans="3:8" ht="13.8">
      <c r="C77" s="375" t="s">
        <v>405</v>
      </c>
      <c r="D77" s="376">
        <v>1.01</v>
      </c>
      <c r="E77" s="373"/>
      <c r="F77" s="399">
        <v>5.1740225303706922E-3</v>
      </c>
      <c r="G77" s="400">
        <v>1.4397923989650785E-3</v>
      </c>
      <c r="H77" s="401">
        <v>1.767698112905336E-3</v>
      </c>
    </row>
    <row r="78" spans="3:8" ht="13.8">
      <c r="C78" s="375" t="s">
        <v>425</v>
      </c>
      <c r="D78" s="376">
        <v>1.01</v>
      </c>
      <c r="E78" s="373"/>
      <c r="F78" s="399">
        <v>7.1493766152430638E-3</v>
      </c>
      <c r="G78" s="400">
        <v>2.7093106272153555E-3</v>
      </c>
      <c r="H78" s="401">
        <v>1.8181818181897125E-3</v>
      </c>
    </row>
    <row r="79" spans="3:8" ht="13.8">
      <c r="C79" s="375" t="s">
        <v>427</v>
      </c>
      <c r="D79" s="376">
        <v>1.01</v>
      </c>
      <c r="E79" s="373"/>
      <c r="F79" s="399">
        <v>3.217219476860067E-2</v>
      </c>
      <c r="G79" s="400">
        <v>1.2183804135325493E-2</v>
      </c>
      <c r="H79" s="401">
        <v>8.1818181818544833E-3</v>
      </c>
    </row>
    <row r="80" spans="3:8" ht="15.75" customHeight="1" thickBot="1">
      <c r="C80" s="378" t="s">
        <v>431</v>
      </c>
      <c r="D80" s="379">
        <v>1.01</v>
      </c>
      <c r="E80" s="373"/>
      <c r="F80" s="402">
        <v>0</v>
      </c>
      <c r="G80" s="403">
        <v>0</v>
      </c>
      <c r="H80" s="404">
        <v>0</v>
      </c>
    </row>
    <row r="81" spans="1:8" ht="15.75" customHeight="1" thickBot="1"/>
    <row r="82" spans="1:8" ht="30.75" customHeight="1" thickBot="1">
      <c r="C82" s="366" t="s">
        <v>450</v>
      </c>
      <c r="F82" s="367" t="s">
        <v>440</v>
      </c>
      <c r="G82" s="395" t="s">
        <v>441</v>
      </c>
      <c r="H82" s="368" t="s">
        <v>442</v>
      </c>
    </row>
    <row r="83" spans="1:8" ht="15.75" customHeight="1" thickBot="1">
      <c r="E83" s="365"/>
    </row>
    <row r="84" spans="1:8" ht="13.8">
      <c r="C84" s="405" t="s">
        <v>434</v>
      </c>
      <c r="E84" s="373"/>
      <c r="F84" s="406">
        <v>0.29681326468900499</v>
      </c>
      <c r="G84" s="407">
        <v>-1.2968132646890049</v>
      </c>
      <c r="H84" s="408">
        <v>-1.2968132646890049</v>
      </c>
    </row>
    <row r="85" spans="1:8" ht="30" customHeight="1">
      <c r="C85" s="409" t="s">
        <v>420</v>
      </c>
      <c r="E85" s="373"/>
      <c r="F85" s="410" t="s">
        <v>451</v>
      </c>
      <c r="G85" s="411" t="s">
        <v>451</v>
      </c>
      <c r="H85" s="412" t="s">
        <v>451</v>
      </c>
    </row>
    <row r="86" spans="1:8" ht="13.8">
      <c r="C86" s="409" t="s">
        <v>421</v>
      </c>
      <c r="E86" s="373"/>
      <c r="F86" s="410" t="s">
        <v>451</v>
      </c>
      <c r="G86" s="411" t="s">
        <v>451</v>
      </c>
      <c r="H86" s="412" t="s">
        <v>451</v>
      </c>
    </row>
    <row r="87" spans="1:8" ht="13.8">
      <c r="C87" s="409" t="s">
        <v>405</v>
      </c>
      <c r="E87" s="373"/>
      <c r="F87" s="410" t="s">
        <v>451</v>
      </c>
      <c r="G87" s="411" t="s">
        <v>451</v>
      </c>
      <c r="H87" s="412" t="s">
        <v>451</v>
      </c>
    </row>
    <row r="88" spans="1:8" ht="13.8">
      <c r="C88" s="409" t="s">
        <v>425</v>
      </c>
      <c r="E88" s="373"/>
      <c r="F88" s="410" t="s">
        <v>451</v>
      </c>
      <c r="G88" s="411" t="s">
        <v>451</v>
      </c>
      <c r="H88" s="412" t="s">
        <v>451</v>
      </c>
    </row>
    <row r="89" spans="1:8" ht="13.8">
      <c r="C89" s="409" t="s">
        <v>427</v>
      </c>
      <c r="E89" s="373"/>
      <c r="F89" s="410">
        <v>0.31082741081139537</v>
      </c>
      <c r="G89" s="411">
        <v>0.68917258918860469</v>
      </c>
      <c r="H89" s="412" t="s">
        <v>451</v>
      </c>
    </row>
    <row r="90" spans="1:8" ht="15.75" customHeight="1" thickBot="1">
      <c r="C90" s="413" t="s">
        <v>431</v>
      </c>
      <c r="E90" s="373"/>
      <c r="F90" s="414" t="s">
        <v>451</v>
      </c>
      <c r="G90" s="415" t="s">
        <v>451</v>
      </c>
      <c r="H90" s="416" t="s">
        <v>451</v>
      </c>
    </row>
    <row r="91" spans="1:8" ht="13.8"/>
    <row r="92" spans="1:8" ht="13.8"/>
    <row r="93" spans="1:8" s="346" customFormat="1" ht="13.8">
      <c r="A93" s="345" t="s">
        <v>454</v>
      </c>
    </row>
    <row r="94" spans="1:8" ht="15.75" customHeight="1" thickBot="1"/>
    <row r="95" spans="1:8" ht="30.75" customHeight="1" thickBot="1">
      <c r="C95" s="417" t="s">
        <v>455</v>
      </c>
      <c r="D95" s="418" t="s">
        <v>456</v>
      </c>
      <c r="E95" s="419" t="s">
        <v>457</v>
      </c>
    </row>
    <row r="96" spans="1:8" ht="13.8">
      <c r="C96" s="420" t="s">
        <v>448</v>
      </c>
      <c r="D96" s="421">
        <v>1.01</v>
      </c>
      <c r="E96" s="372">
        <v>0.99</v>
      </c>
    </row>
    <row r="97" spans="3:7" ht="30" customHeight="1">
      <c r="C97" s="422" t="s">
        <v>347</v>
      </c>
      <c r="D97" s="423">
        <v>1.01</v>
      </c>
      <c r="E97" s="376">
        <v>0.99</v>
      </c>
    </row>
    <row r="98" spans="3:7" ht="13.8">
      <c r="C98" s="422" t="s">
        <v>348</v>
      </c>
      <c r="D98" s="423">
        <v>1.01</v>
      </c>
      <c r="E98" s="376">
        <v>0.99</v>
      </c>
    </row>
    <row r="99" spans="3:7" ht="13.8">
      <c r="C99" s="422" t="s">
        <v>341</v>
      </c>
      <c r="D99" s="423">
        <v>1.01</v>
      </c>
      <c r="E99" s="376">
        <v>0.99</v>
      </c>
    </row>
    <row r="100" spans="3:7" ht="15.75" customHeight="1" thickBot="1">
      <c r="C100" s="424" t="s">
        <v>449</v>
      </c>
      <c r="D100" s="425">
        <v>0.99</v>
      </c>
      <c r="E100" s="379">
        <v>1.01</v>
      </c>
    </row>
    <row r="101" spans="3:7" ht="15.75" customHeight="1" thickBot="1"/>
    <row r="102" spans="3:7" ht="30.75" customHeight="1" thickBot="1">
      <c r="C102" s="426" t="s">
        <v>458</v>
      </c>
      <c r="D102" s="427" t="s">
        <v>456</v>
      </c>
      <c r="E102" s="428" t="s">
        <v>457</v>
      </c>
    </row>
    <row r="103" spans="3:7" ht="13.8">
      <c r="C103" s="420" t="s">
        <v>434</v>
      </c>
      <c r="D103" s="421">
        <v>1.01</v>
      </c>
      <c r="E103" s="372">
        <v>0.99</v>
      </c>
    </row>
    <row r="104" spans="3:7" ht="30" customHeight="1">
      <c r="C104" s="422" t="s">
        <v>420</v>
      </c>
      <c r="D104" s="423">
        <v>1.01</v>
      </c>
      <c r="E104" s="376">
        <v>0.99</v>
      </c>
    </row>
    <row r="105" spans="3:7" ht="13.8">
      <c r="C105" s="422" t="s">
        <v>421</v>
      </c>
      <c r="D105" s="423">
        <v>1.01</v>
      </c>
      <c r="E105" s="376">
        <v>0.99</v>
      </c>
    </row>
    <row r="106" spans="3:7" ht="13.8">
      <c r="C106" s="422" t="s">
        <v>405</v>
      </c>
      <c r="D106" s="423">
        <v>1.01</v>
      </c>
      <c r="E106" s="376">
        <v>0.99</v>
      </c>
    </row>
    <row r="107" spans="3:7" ht="13.8">
      <c r="C107" s="422" t="s">
        <v>425</v>
      </c>
      <c r="D107" s="423">
        <v>1.01</v>
      </c>
      <c r="E107" s="376">
        <v>0.99</v>
      </c>
    </row>
    <row r="108" spans="3:7" ht="13.8">
      <c r="C108" s="422" t="s">
        <v>427</v>
      </c>
      <c r="D108" s="423">
        <v>0.99</v>
      </c>
      <c r="E108" s="376">
        <v>1.01</v>
      </c>
    </row>
    <row r="109" spans="3:7" ht="15.75" customHeight="1" thickBot="1">
      <c r="C109" s="424" t="s">
        <v>431</v>
      </c>
      <c r="D109" s="425">
        <v>0.99</v>
      </c>
      <c r="E109" s="379">
        <v>1.01</v>
      </c>
    </row>
    <row r="110" spans="3:7" ht="13.8"/>
    <row r="111" spans="3:7" ht="15.75" customHeight="1" thickBot="1"/>
    <row r="112" spans="3:7" ht="15.75" customHeight="1" thickBot="1">
      <c r="C112" s="417" t="s">
        <v>459</v>
      </c>
      <c r="D112" s="418" t="s">
        <v>460</v>
      </c>
      <c r="E112" s="418" t="s">
        <v>461</v>
      </c>
      <c r="F112" s="418" t="s">
        <v>462</v>
      </c>
      <c r="G112" s="419" t="s">
        <v>463</v>
      </c>
    </row>
    <row r="113" spans="3:35" ht="13.8">
      <c r="C113" s="420" t="s">
        <v>456</v>
      </c>
      <c r="D113" s="429">
        <v>101523087.76400977</v>
      </c>
      <c r="E113" s="430">
        <v>4.8016154060335214E-2</v>
      </c>
      <c r="F113" s="429">
        <v>-455338940.08302903</v>
      </c>
      <c r="G113" s="374">
        <v>-3.9327738752868213E-2</v>
      </c>
    </row>
    <row r="114" spans="3:35" ht="15.75" customHeight="1" thickBot="1">
      <c r="C114" s="424" t="s">
        <v>457</v>
      </c>
      <c r="D114" s="431">
        <v>113191627.91201627</v>
      </c>
      <c r="E114" s="432">
        <v>5.0416473329001787E-2</v>
      </c>
      <c r="F114" s="431">
        <v>-445633905.50472772</v>
      </c>
      <c r="G114" s="380">
        <v>-3.8129711713168257E-2</v>
      </c>
    </row>
    <row r="115" spans="3:35" ht="13.8"/>
    <row r="116" spans="3:35" ht="13.8"/>
    <row r="117" spans="3:35" ht="13.8">
      <c r="C117" s="311" t="s">
        <v>464</v>
      </c>
      <c r="D117" s="433"/>
      <c r="E117" s="433"/>
      <c r="F117" s="433"/>
      <c r="G117" s="433"/>
      <c r="H117" s="433"/>
      <c r="I117" s="433"/>
      <c r="J117" s="433"/>
      <c r="K117" s="433"/>
      <c r="L117" s="433"/>
      <c r="M117" s="433"/>
      <c r="N117" s="433"/>
      <c r="O117" s="433"/>
      <c r="P117" s="433"/>
      <c r="Q117" s="433"/>
      <c r="R117" s="433"/>
      <c r="S117" s="433"/>
      <c r="T117" s="433"/>
      <c r="U117" s="433"/>
      <c r="V117" s="433"/>
      <c r="W117" s="433"/>
      <c r="X117" s="433"/>
      <c r="Y117" s="433"/>
      <c r="Z117" s="433"/>
      <c r="AA117" s="433"/>
      <c r="AB117" s="433"/>
      <c r="AC117" s="433"/>
      <c r="AD117" s="433"/>
      <c r="AE117" s="433"/>
      <c r="AF117" s="433"/>
      <c r="AG117" s="433"/>
      <c r="AH117" s="433"/>
      <c r="AI117" s="433"/>
    </row>
    <row r="118" spans="3:35" ht="13.8"/>
    <row r="119" spans="3:35" ht="13.8">
      <c r="C119" s="434" t="s">
        <v>444</v>
      </c>
      <c r="D119" s="435"/>
      <c r="E119" s="435"/>
      <c r="F119" s="435"/>
      <c r="G119" s="435"/>
      <c r="H119" s="435"/>
      <c r="I119" s="435"/>
      <c r="J119" s="435"/>
      <c r="K119" s="435"/>
      <c r="L119" s="435"/>
      <c r="M119" s="435"/>
      <c r="N119" s="435"/>
      <c r="O119" s="435"/>
      <c r="P119" s="435"/>
      <c r="Q119" s="435"/>
      <c r="R119" s="435"/>
      <c r="S119" s="435"/>
      <c r="T119" s="435"/>
      <c r="U119" s="435"/>
      <c r="V119" s="435"/>
      <c r="W119" s="435"/>
      <c r="X119" s="435"/>
      <c r="Y119" s="435"/>
      <c r="Z119" s="435"/>
      <c r="AA119" s="435"/>
      <c r="AB119" s="435"/>
      <c r="AC119" s="435"/>
      <c r="AD119" s="435"/>
      <c r="AE119" s="435"/>
      <c r="AF119" s="435"/>
      <c r="AG119" s="435"/>
      <c r="AH119" s="435"/>
      <c r="AI119" s="435"/>
    </row>
    <row r="120" spans="3:35" ht="13.8"/>
    <row r="121" spans="3:35" ht="30" customHeight="1">
      <c r="C121" s="347" t="s">
        <v>344</v>
      </c>
      <c r="D121" s="347" t="s">
        <v>325</v>
      </c>
      <c r="E121" s="348" t="s">
        <v>465</v>
      </c>
      <c r="F121" s="349">
        <v>2025</v>
      </c>
      <c r="G121" s="349">
        <v>2026</v>
      </c>
      <c r="H121" s="349">
        <v>2027</v>
      </c>
      <c r="I121" s="349">
        <v>2028</v>
      </c>
      <c r="J121" s="349">
        <v>2029</v>
      </c>
      <c r="K121" s="349">
        <v>2030</v>
      </c>
      <c r="L121" s="349">
        <v>2031</v>
      </c>
      <c r="M121" s="349">
        <v>2032</v>
      </c>
      <c r="N121" s="349">
        <v>2033</v>
      </c>
      <c r="O121" s="349">
        <v>2034</v>
      </c>
      <c r="P121" s="349">
        <v>2035</v>
      </c>
      <c r="Q121" s="349">
        <v>2036</v>
      </c>
      <c r="R121" s="349">
        <v>2037</v>
      </c>
      <c r="S121" s="349">
        <v>2038</v>
      </c>
      <c r="T121" s="349">
        <v>2039</v>
      </c>
      <c r="U121" s="349">
        <v>2040</v>
      </c>
      <c r="V121" s="349">
        <v>2041</v>
      </c>
      <c r="W121" s="349">
        <v>2042</v>
      </c>
      <c r="X121" s="349">
        <v>2043</v>
      </c>
      <c r="Y121" s="349">
        <v>2044</v>
      </c>
      <c r="Z121" s="349">
        <v>2045</v>
      </c>
      <c r="AA121" s="349">
        <v>2046</v>
      </c>
      <c r="AB121" s="349">
        <v>2047</v>
      </c>
      <c r="AC121" s="349">
        <v>2048</v>
      </c>
      <c r="AD121" s="349">
        <v>2049</v>
      </c>
      <c r="AE121" s="349">
        <v>2050</v>
      </c>
      <c r="AF121" s="349">
        <v>2051</v>
      </c>
      <c r="AG121" s="349">
        <v>2052</v>
      </c>
      <c r="AH121" s="349">
        <v>2053</v>
      </c>
      <c r="AI121" s="349">
        <v>2054</v>
      </c>
    </row>
    <row r="122" spans="3:35" ht="13.8">
      <c r="C122" s="351" t="s">
        <v>345</v>
      </c>
      <c r="D122" s="332">
        <v>488339816.69</v>
      </c>
      <c r="E122" s="352">
        <v>488339816.69</v>
      </c>
      <c r="F122" s="279">
        <v>488339816.69</v>
      </c>
      <c r="G122" s="279">
        <v>0</v>
      </c>
      <c r="H122" s="279">
        <v>0</v>
      </c>
      <c r="I122" s="279">
        <v>0</v>
      </c>
      <c r="J122" s="279">
        <v>0</v>
      </c>
      <c r="K122" s="279">
        <v>0</v>
      </c>
      <c r="L122" s="279">
        <v>0</v>
      </c>
      <c r="M122" s="279">
        <v>0</v>
      </c>
      <c r="N122" s="279">
        <v>0</v>
      </c>
      <c r="O122" s="279">
        <v>0</v>
      </c>
      <c r="P122" s="279">
        <v>0</v>
      </c>
      <c r="Q122" s="279">
        <v>0</v>
      </c>
      <c r="R122" s="279">
        <v>0</v>
      </c>
      <c r="S122" s="279">
        <v>0</v>
      </c>
      <c r="T122" s="279">
        <v>0</v>
      </c>
      <c r="U122" s="279">
        <v>0</v>
      </c>
      <c r="V122" s="279">
        <v>0</v>
      </c>
      <c r="W122" s="279">
        <v>0</v>
      </c>
      <c r="X122" s="279">
        <v>0</v>
      </c>
      <c r="Y122" s="279">
        <v>0</v>
      </c>
      <c r="Z122" s="279">
        <v>0</v>
      </c>
      <c r="AA122" s="279">
        <v>0</v>
      </c>
      <c r="AB122" s="279">
        <v>0</v>
      </c>
      <c r="AC122" s="279">
        <v>0</v>
      </c>
      <c r="AD122" s="279">
        <v>0</v>
      </c>
      <c r="AE122" s="279">
        <v>0</v>
      </c>
      <c r="AF122" s="279">
        <v>0</v>
      </c>
      <c r="AG122" s="279">
        <v>0</v>
      </c>
      <c r="AH122" s="279">
        <v>0</v>
      </c>
      <c r="AI122" s="279">
        <v>0</v>
      </c>
    </row>
    <row r="123" spans="3:35" ht="13.8">
      <c r="C123" s="351" t="s">
        <v>346</v>
      </c>
      <c r="D123" s="332">
        <v>13181686.654593742</v>
      </c>
      <c r="E123" s="352">
        <v>5467141.4070673194</v>
      </c>
      <c r="F123" s="279">
        <v>0</v>
      </c>
      <c r="G123" s="279">
        <v>454540.91912392242</v>
      </c>
      <c r="H123" s="279">
        <v>454540.91912392242</v>
      </c>
      <c r="I123" s="279">
        <v>454540.91912392242</v>
      </c>
      <c r="J123" s="279">
        <v>454540.91912392242</v>
      </c>
      <c r="K123" s="279">
        <v>454540.91912392242</v>
      </c>
      <c r="L123" s="279">
        <v>454540.91912392242</v>
      </c>
      <c r="M123" s="279">
        <v>454540.91912392242</v>
      </c>
      <c r="N123" s="279">
        <v>454540.91912392242</v>
      </c>
      <c r="O123" s="279">
        <v>454540.91912392242</v>
      </c>
      <c r="P123" s="279">
        <v>454540.91912392242</v>
      </c>
      <c r="Q123" s="279">
        <v>454540.91912392242</v>
      </c>
      <c r="R123" s="279">
        <v>454540.91912392242</v>
      </c>
      <c r="S123" s="279">
        <v>454540.91912392242</v>
      </c>
      <c r="T123" s="279">
        <v>454540.91912392242</v>
      </c>
      <c r="U123" s="279">
        <v>454540.91912392242</v>
      </c>
      <c r="V123" s="279">
        <v>454540.91912392242</v>
      </c>
      <c r="W123" s="279">
        <v>454540.91912392242</v>
      </c>
      <c r="X123" s="279">
        <v>454540.91912392242</v>
      </c>
      <c r="Y123" s="279">
        <v>454540.91912392242</v>
      </c>
      <c r="Z123" s="279">
        <v>454540.91912392242</v>
      </c>
      <c r="AA123" s="279">
        <v>454540.91912392242</v>
      </c>
      <c r="AB123" s="279">
        <v>454540.91912392242</v>
      </c>
      <c r="AC123" s="279">
        <v>454540.91912392242</v>
      </c>
      <c r="AD123" s="279">
        <v>454540.91912392242</v>
      </c>
      <c r="AE123" s="279">
        <v>454540.91912392242</v>
      </c>
      <c r="AF123" s="279">
        <v>454540.91912392242</v>
      </c>
      <c r="AG123" s="279">
        <v>454540.91912392242</v>
      </c>
      <c r="AH123" s="279">
        <v>454540.91912392242</v>
      </c>
      <c r="AI123" s="279">
        <v>454540.91912392242</v>
      </c>
    </row>
    <row r="124" spans="3:35" ht="29.25" customHeight="1">
      <c r="C124" s="391" t="s">
        <v>347</v>
      </c>
      <c r="D124" s="354">
        <v>13181686.654593742</v>
      </c>
      <c r="E124" s="355">
        <v>5467141.4070673194</v>
      </c>
      <c r="F124" s="392">
        <v>0</v>
      </c>
      <c r="G124" s="392">
        <v>454540.91912392242</v>
      </c>
      <c r="H124" s="392">
        <v>454540.91912392242</v>
      </c>
      <c r="I124" s="392">
        <v>454540.91912392242</v>
      </c>
      <c r="J124" s="392">
        <v>454540.91912392242</v>
      </c>
      <c r="K124" s="392">
        <v>454540.91912392242</v>
      </c>
      <c r="L124" s="392">
        <v>454540.91912392242</v>
      </c>
      <c r="M124" s="392">
        <v>454540.91912392242</v>
      </c>
      <c r="N124" s="392">
        <v>454540.91912392242</v>
      </c>
      <c r="O124" s="392">
        <v>454540.91912392242</v>
      </c>
      <c r="P124" s="392">
        <v>454540.91912392242</v>
      </c>
      <c r="Q124" s="392">
        <v>454540.91912392242</v>
      </c>
      <c r="R124" s="392">
        <v>454540.91912392242</v>
      </c>
      <c r="S124" s="392">
        <v>454540.91912392242</v>
      </c>
      <c r="T124" s="392">
        <v>454540.91912392242</v>
      </c>
      <c r="U124" s="392">
        <v>454540.91912392242</v>
      </c>
      <c r="V124" s="392">
        <v>454540.91912392242</v>
      </c>
      <c r="W124" s="392">
        <v>454540.91912392242</v>
      </c>
      <c r="X124" s="392">
        <v>454540.91912392242</v>
      </c>
      <c r="Y124" s="392">
        <v>454540.91912392242</v>
      </c>
      <c r="Z124" s="392">
        <v>454540.91912392242</v>
      </c>
      <c r="AA124" s="392">
        <v>454540.91912392242</v>
      </c>
      <c r="AB124" s="392">
        <v>454540.91912392242</v>
      </c>
      <c r="AC124" s="392">
        <v>454540.91912392242</v>
      </c>
      <c r="AD124" s="392">
        <v>454540.91912392242</v>
      </c>
      <c r="AE124" s="392">
        <v>454540.91912392242</v>
      </c>
      <c r="AF124" s="392">
        <v>454540.91912392242</v>
      </c>
      <c r="AG124" s="392">
        <v>454540.91912392242</v>
      </c>
      <c r="AH124" s="392">
        <v>454540.91912392242</v>
      </c>
      <c r="AI124" s="392">
        <v>454540.91912392242</v>
      </c>
    </row>
    <row r="125" spans="3:35" ht="14.4">
      <c r="C125" s="391" t="s">
        <v>348</v>
      </c>
      <c r="D125" s="354">
        <v>0</v>
      </c>
      <c r="E125" s="355">
        <v>0</v>
      </c>
      <c r="F125" s="392">
        <v>0</v>
      </c>
      <c r="G125" s="392">
        <v>0</v>
      </c>
      <c r="H125" s="392">
        <v>0</v>
      </c>
      <c r="I125" s="392">
        <v>0</v>
      </c>
      <c r="J125" s="392">
        <v>0</v>
      </c>
      <c r="K125" s="392">
        <v>0</v>
      </c>
      <c r="L125" s="392">
        <v>0</v>
      </c>
      <c r="M125" s="392">
        <v>0</v>
      </c>
      <c r="N125" s="392">
        <v>0</v>
      </c>
      <c r="O125" s="392">
        <v>0</v>
      </c>
      <c r="P125" s="392">
        <v>0</v>
      </c>
      <c r="Q125" s="392">
        <v>0</v>
      </c>
      <c r="R125" s="392">
        <v>0</v>
      </c>
      <c r="S125" s="392">
        <v>0</v>
      </c>
      <c r="T125" s="392">
        <v>0</v>
      </c>
      <c r="U125" s="392">
        <v>0</v>
      </c>
      <c r="V125" s="392">
        <v>0</v>
      </c>
      <c r="W125" s="392">
        <v>0</v>
      </c>
      <c r="X125" s="392">
        <v>0</v>
      </c>
      <c r="Y125" s="392">
        <v>0</v>
      </c>
      <c r="Z125" s="392">
        <v>0</v>
      </c>
      <c r="AA125" s="392">
        <v>0</v>
      </c>
      <c r="AB125" s="392">
        <v>0</v>
      </c>
      <c r="AC125" s="392">
        <v>0</v>
      </c>
      <c r="AD125" s="392">
        <v>0</v>
      </c>
      <c r="AE125" s="392">
        <v>0</v>
      </c>
      <c r="AF125" s="392">
        <v>0</v>
      </c>
      <c r="AG125" s="392">
        <v>0</v>
      </c>
      <c r="AH125" s="392">
        <v>0</v>
      </c>
      <c r="AI125" s="392">
        <v>0</v>
      </c>
    </row>
    <row r="126" spans="3:35" ht="13.8">
      <c r="C126" s="356" t="s">
        <v>349</v>
      </c>
      <c r="D126" s="357">
        <v>501521503.34459448</v>
      </c>
      <c r="E126" s="358">
        <v>493806958.0970673</v>
      </c>
      <c r="F126" s="359">
        <v>488339816.69</v>
      </c>
      <c r="G126" s="359">
        <v>454540.91912392242</v>
      </c>
      <c r="H126" s="359">
        <v>454540.91912392242</v>
      </c>
      <c r="I126" s="359">
        <v>454540.91912392242</v>
      </c>
      <c r="J126" s="359">
        <v>454540.91912392242</v>
      </c>
      <c r="K126" s="359">
        <v>454540.91912392242</v>
      </c>
      <c r="L126" s="359">
        <v>454540.91912392242</v>
      </c>
      <c r="M126" s="359">
        <v>454540.91912392242</v>
      </c>
      <c r="N126" s="359">
        <v>454540.91912392242</v>
      </c>
      <c r="O126" s="359">
        <v>454540.91912392242</v>
      </c>
      <c r="P126" s="359">
        <v>454540.91912392242</v>
      </c>
      <c r="Q126" s="359">
        <v>454540.91912392242</v>
      </c>
      <c r="R126" s="359">
        <v>454540.91912392242</v>
      </c>
      <c r="S126" s="359">
        <v>454540.91912392242</v>
      </c>
      <c r="T126" s="359">
        <v>454540.91912392242</v>
      </c>
      <c r="U126" s="359">
        <v>454540.91912392242</v>
      </c>
      <c r="V126" s="359">
        <v>454540.91912392242</v>
      </c>
      <c r="W126" s="359">
        <v>454540.91912392242</v>
      </c>
      <c r="X126" s="359">
        <v>454540.91912392242</v>
      </c>
      <c r="Y126" s="359">
        <v>454540.91912392242</v>
      </c>
      <c r="Z126" s="359">
        <v>454540.91912392242</v>
      </c>
      <c r="AA126" s="359">
        <v>454540.91912392242</v>
      </c>
      <c r="AB126" s="359">
        <v>454540.91912392242</v>
      </c>
      <c r="AC126" s="359">
        <v>454540.91912392242</v>
      </c>
      <c r="AD126" s="359">
        <v>454540.91912392242</v>
      </c>
      <c r="AE126" s="359">
        <v>454540.91912392242</v>
      </c>
      <c r="AF126" s="359">
        <v>454540.91912392242</v>
      </c>
      <c r="AG126" s="359">
        <v>454540.91912392242</v>
      </c>
      <c r="AH126" s="359">
        <v>454540.91912392242</v>
      </c>
      <c r="AI126" s="359">
        <v>454540.91912392242</v>
      </c>
    </row>
    <row r="127" spans="3:35" ht="13.8">
      <c r="C127" s="351" t="s">
        <v>350</v>
      </c>
      <c r="D127" s="332">
        <v>51257499.999999993</v>
      </c>
      <c r="E127" s="352">
        <v>21259191.484049849</v>
      </c>
      <c r="F127" s="279">
        <v>0</v>
      </c>
      <c r="G127" s="279">
        <v>1767499.9999999998</v>
      </c>
      <c r="H127" s="279">
        <v>1767499.9999999998</v>
      </c>
      <c r="I127" s="279">
        <v>1767499.9999999998</v>
      </c>
      <c r="J127" s="279">
        <v>1767499.9999999998</v>
      </c>
      <c r="K127" s="279">
        <v>1767499.9999999998</v>
      </c>
      <c r="L127" s="279">
        <v>1767499.9999999998</v>
      </c>
      <c r="M127" s="279">
        <v>1767499.9999999998</v>
      </c>
      <c r="N127" s="279">
        <v>1767499.9999999998</v>
      </c>
      <c r="O127" s="279">
        <v>1767499.9999999998</v>
      </c>
      <c r="P127" s="279">
        <v>1767499.9999999998</v>
      </c>
      <c r="Q127" s="279">
        <v>1767499.9999999998</v>
      </c>
      <c r="R127" s="279">
        <v>1767499.9999999998</v>
      </c>
      <c r="S127" s="279">
        <v>1767499.9999999998</v>
      </c>
      <c r="T127" s="279">
        <v>1767499.9999999998</v>
      </c>
      <c r="U127" s="279">
        <v>1767499.9999999998</v>
      </c>
      <c r="V127" s="279">
        <v>1767499.9999999998</v>
      </c>
      <c r="W127" s="279">
        <v>1767499.9999999998</v>
      </c>
      <c r="X127" s="279">
        <v>1767499.9999999998</v>
      </c>
      <c r="Y127" s="279">
        <v>1767499.9999999998</v>
      </c>
      <c r="Z127" s="279">
        <v>1767499.9999999998</v>
      </c>
      <c r="AA127" s="279">
        <v>1767499.9999999998</v>
      </c>
      <c r="AB127" s="279">
        <v>1767499.9999999998</v>
      </c>
      <c r="AC127" s="279">
        <v>1767499.9999999998</v>
      </c>
      <c r="AD127" s="279">
        <v>1767499.9999999998</v>
      </c>
      <c r="AE127" s="279">
        <v>1767499.9999999998</v>
      </c>
      <c r="AF127" s="279">
        <v>1767499.9999999998</v>
      </c>
      <c r="AG127" s="279">
        <v>1767499.9999999998</v>
      </c>
      <c r="AH127" s="279">
        <v>1767499.9999999998</v>
      </c>
      <c r="AI127" s="279">
        <v>1767499.9999999998</v>
      </c>
    </row>
    <row r="128" spans="3:35" ht="13.8">
      <c r="C128" s="356" t="s">
        <v>351</v>
      </c>
      <c r="D128" s="357">
        <v>51257499.999999993</v>
      </c>
      <c r="E128" s="358">
        <v>21259191.484049849</v>
      </c>
      <c r="F128" s="359">
        <v>0</v>
      </c>
      <c r="G128" s="359">
        <v>1767499.9999999998</v>
      </c>
      <c r="H128" s="359">
        <v>1767499.9999999998</v>
      </c>
      <c r="I128" s="359">
        <v>1767499.9999999998</v>
      </c>
      <c r="J128" s="359">
        <v>1767499.9999999998</v>
      </c>
      <c r="K128" s="359">
        <v>1767499.9999999998</v>
      </c>
      <c r="L128" s="359">
        <v>1767499.9999999998</v>
      </c>
      <c r="M128" s="359">
        <v>1767499.9999999998</v>
      </c>
      <c r="N128" s="359">
        <v>1767499.9999999998</v>
      </c>
      <c r="O128" s="359">
        <v>1767499.9999999998</v>
      </c>
      <c r="P128" s="359">
        <v>1767499.9999999998</v>
      </c>
      <c r="Q128" s="359">
        <v>1767499.9999999998</v>
      </c>
      <c r="R128" s="359">
        <v>1767499.9999999998</v>
      </c>
      <c r="S128" s="359">
        <v>1767499.9999999998</v>
      </c>
      <c r="T128" s="359">
        <v>1767499.9999999998</v>
      </c>
      <c r="U128" s="359">
        <v>1767499.9999999998</v>
      </c>
      <c r="V128" s="359">
        <v>1767499.9999999998</v>
      </c>
      <c r="W128" s="359">
        <v>1767499.9999999998</v>
      </c>
      <c r="X128" s="359">
        <v>1767499.9999999998</v>
      </c>
      <c r="Y128" s="359">
        <v>1767499.9999999998</v>
      </c>
      <c r="Z128" s="359">
        <v>1767499.9999999998</v>
      </c>
      <c r="AA128" s="359">
        <v>1767499.9999999998</v>
      </c>
      <c r="AB128" s="359">
        <v>1767499.9999999998</v>
      </c>
      <c r="AC128" s="359">
        <v>1767499.9999999998</v>
      </c>
      <c r="AD128" s="359">
        <v>1767499.9999999998</v>
      </c>
      <c r="AE128" s="359">
        <v>1767499.9999999998</v>
      </c>
      <c r="AF128" s="359">
        <v>1767499.9999999998</v>
      </c>
      <c r="AG128" s="359">
        <v>1767499.9999999998</v>
      </c>
      <c r="AH128" s="359">
        <v>1767499.9999999998</v>
      </c>
      <c r="AI128" s="359">
        <v>1767499.9999999998</v>
      </c>
    </row>
    <row r="129" spans="3:35" ht="13.8">
      <c r="C129" s="351" t="s">
        <v>352</v>
      </c>
      <c r="D129" s="332">
        <v>129590999.99999999</v>
      </c>
      <c r="E129" s="352">
        <v>17208826.529988427</v>
      </c>
      <c r="F129" s="279">
        <v>0</v>
      </c>
      <c r="G129" s="279">
        <v>0</v>
      </c>
      <c r="H129" s="279">
        <v>0</v>
      </c>
      <c r="I129" s="279">
        <v>0</v>
      </c>
      <c r="J129" s="279">
        <v>0</v>
      </c>
      <c r="K129" s="279">
        <v>0</v>
      </c>
      <c r="L129" s="279">
        <v>0</v>
      </c>
      <c r="M129" s="279">
        <v>0</v>
      </c>
      <c r="N129" s="279">
        <v>0</v>
      </c>
      <c r="O129" s="279">
        <v>0</v>
      </c>
      <c r="P129" s="279">
        <v>0</v>
      </c>
      <c r="Q129" s="279">
        <v>0</v>
      </c>
      <c r="R129" s="279">
        <v>0</v>
      </c>
      <c r="S129" s="279">
        <v>0</v>
      </c>
      <c r="T129" s="279">
        <v>0</v>
      </c>
      <c r="U129" s="279">
        <v>0</v>
      </c>
      <c r="V129" s="279">
        <v>0</v>
      </c>
      <c r="W129" s="279">
        <v>0</v>
      </c>
      <c r="X129" s="279">
        <v>0</v>
      </c>
      <c r="Y129" s="279">
        <v>0</v>
      </c>
      <c r="Z129" s="279">
        <v>0</v>
      </c>
      <c r="AA129" s="279">
        <v>0</v>
      </c>
      <c r="AB129" s="279">
        <v>0</v>
      </c>
      <c r="AC129" s="279">
        <v>0</v>
      </c>
      <c r="AD129" s="279">
        <v>0</v>
      </c>
      <c r="AE129" s="279">
        <v>0</v>
      </c>
      <c r="AF129" s="279">
        <v>0</v>
      </c>
      <c r="AG129" s="279">
        <v>0</v>
      </c>
      <c r="AH129" s="279">
        <v>0</v>
      </c>
      <c r="AI129" s="279">
        <v>129590999.99999999</v>
      </c>
    </row>
    <row r="130" spans="3:35" ht="13.8">
      <c r="C130" s="356" t="s">
        <v>353</v>
      </c>
      <c r="D130" s="357">
        <v>-320673003.34459448</v>
      </c>
      <c r="E130" s="358">
        <v>-455338940.08302903</v>
      </c>
      <c r="F130" s="359">
        <v>-488339816.69</v>
      </c>
      <c r="G130" s="359">
        <v>1312959.0808760773</v>
      </c>
      <c r="H130" s="359">
        <v>1312959.0808760773</v>
      </c>
      <c r="I130" s="359">
        <v>1312959.0808760773</v>
      </c>
      <c r="J130" s="359">
        <v>1312959.0808760773</v>
      </c>
      <c r="K130" s="359">
        <v>1312959.0808760773</v>
      </c>
      <c r="L130" s="359">
        <v>1312959.0808760773</v>
      </c>
      <c r="M130" s="359">
        <v>1312959.0808760773</v>
      </c>
      <c r="N130" s="359">
        <v>1312959.0808760773</v>
      </c>
      <c r="O130" s="359">
        <v>1312959.0808760773</v>
      </c>
      <c r="P130" s="359">
        <v>1312959.0808760773</v>
      </c>
      <c r="Q130" s="359">
        <v>1312959.0808760773</v>
      </c>
      <c r="R130" s="359">
        <v>1312959.0808760773</v>
      </c>
      <c r="S130" s="359">
        <v>1312959.0808760773</v>
      </c>
      <c r="T130" s="359">
        <v>1312959.0808760773</v>
      </c>
      <c r="U130" s="359">
        <v>1312959.0808760773</v>
      </c>
      <c r="V130" s="359">
        <v>1312959.0808760773</v>
      </c>
      <c r="W130" s="359">
        <v>1312959.0808760773</v>
      </c>
      <c r="X130" s="359">
        <v>1312959.0808760773</v>
      </c>
      <c r="Y130" s="359">
        <v>1312959.0808760773</v>
      </c>
      <c r="Z130" s="359">
        <v>1312959.0808760773</v>
      </c>
      <c r="AA130" s="359">
        <v>1312959.0808760773</v>
      </c>
      <c r="AB130" s="359">
        <v>1312959.0808760773</v>
      </c>
      <c r="AC130" s="359">
        <v>1312959.0808760773</v>
      </c>
      <c r="AD130" s="359">
        <v>1312959.0808760773</v>
      </c>
      <c r="AE130" s="359">
        <v>1312959.0808760773</v>
      </c>
      <c r="AF130" s="359">
        <v>1312959.0808760773</v>
      </c>
      <c r="AG130" s="359">
        <v>1312959.0808760773</v>
      </c>
      <c r="AH130" s="359">
        <v>1312959.0808760773</v>
      </c>
      <c r="AI130" s="359">
        <v>130903959.08087607</v>
      </c>
    </row>
    <row r="131" spans="3:35" ht="13.8">
      <c r="C131" s="351" t="s">
        <v>354</v>
      </c>
      <c r="D131" s="356">
        <v>-455338940.08302903</v>
      </c>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c r="AB131" s="157"/>
      <c r="AC131" s="157"/>
      <c r="AD131" s="157"/>
      <c r="AE131" s="157"/>
      <c r="AF131" s="157"/>
      <c r="AG131" s="157"/>
      <c r="AH131" s="157"/>
      <c r="AI131" s="157"/>
    </row>
    <row r="132" spans="3:35" ht="13.8">
      <c r="C132" s="351" t="s">
        <v>355</v>
      </c>
      <c r="D132" s="360">
        <v>-3.9327738752868213E-2</v>
      </c>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c r="AB132" s="157"/>
      <c r="AC132" s="157"/>
      <c r="AD132" s="157"/>
      <c r="AE132" s="157"/>
      <c r="AF132" s="157"/>
      <c r="AG132" s="157"/>
      <c r="AH132" s="157"/>
      <c r="AI132" s="157"/>
    </row>
    <row r="133" spans="3:35" ht="13.8"/>
    <row r="134" spans="3:35" ht="13.8"/>
    <row r="135" spans="3:35" ht="13.8">
      <c r="C135" s="434" t="s">
        <v>453</v>
      </c>
      <c r="D135" s="435"/>
      <c r="E135" s="435"/>
      <c r="F135" s="435"/>
      <c r="G135" s="435"/>
      <c r="H135" s="435"/>
      <c r="I135" s="435"/>
      <c r="J135" s="435"/>
      <c r="K135" s="435"/>
      <c r="L135" s="435"/>
      <c r="M135" s="435"/>
      <c r="N135" s="435"/>
      <c r="O135" s="435"/>
      <c r="P135" s="435"/>
      <c r="Q135" s="435"/>
      <c r="R135" s="435"/>
      <c r="S135" s="435"/>
      <c r="T135" s="435"/>
      <c r="U135" s="435"/>
      <c r="V135" s="435"/>
      <c r="W135" s="435"/>
      <c r="X135" s="435"/>
      <c r="Y135" s="435"/>
      <c r="Z135" s="435"/>
      <c r="AA135" s="435"/>
      <c r="AB135" s="435"/>
      <c r="AC135" s="435"/>
      <c r="AD135" s="435"/>
      <c r="AE135" s="435"/>
      <c r="AF135" s="435"/>
      <c r="AG135" s="435"/>
      <c r="AH135" s="435"/>
      <c r="AI135" s="435"/>
    </row>
    <row r="136" spans="3:35" ht="13.8"/>
    <row r="137" spans="3:35" ht="13.8">
      <c r="C137" s="348" t="s">
        <v>433</v>
      </c>
      <c r="D137" s="348" t="s">
        <v>288</v>
      </c>
      <c r="E137" s="348" t="s">
        <v>403</v>
      </c>
      <c r="F137" s="390">
        <v>2025</v>
      </c>
      <c r="G137" s="390">
        <v>2026</v>
      </c>
      <c r="H137" s="390">
        <v>2027</v>
      </c>
      <c r="I137" s="390">
        <v>2028</v>
      </c>
      <c r="J137" s="390">
        <v>2029</v>
      </c>
      <c r="K137" s="390">
        <v>2030</v>
      </c>
      <c r="L137" s="390">
        <v>2031</v>
      </c>
      <c r="M137" s="390">
        <v>2032</v>
      </c>
      <c r="N137" s="390">
        <v>2033</v>
      </c>
      <c r="O137" s="390">
        <v>2034</v>
      </c>
      <c r="P137" s="390">
        <v>2035</v>
      </c>
      <c r="Q137" s="390">
        <v>2036</v>
      </c>
      <c r="R137" s="390">
        <v>2037</v>
      </c>
      <c r="S137" s="390">
        <v>2038</v>
      </c>
      <c r="T137" s="390">
        <v>2039</v>
      </c>
      <c r="U137" s="390">
        <v>2040</v>
      </c>
      <c r="V137" s="390">
        <v>2041</v>
      </c>
      <c r="W137" s="390">
        <v>2042</v>
      </c>
      <c r="X137" s="390">
        <v>2043</v>
      </c>
      <c r="Y137" s="390">
        <v>2044</v>
      </c>
      <c r="Z137" s="390">
        <v>2045</v>
      </c>
      <c r="AA137" s="390">
        <v>2046</v>
      </c>
      <c r="AB137" s="390">
        <v>2047</v>
      </c>
      <c r="AC137" s="390">
        <v>2048</v>
      </c>
      <c r="AD137" s="390">
        <v>2049</v>
      </c>
      <c r="AE137" s="390">
        <v>2050</v>
      </c>
      <c r="AF137" s="390">
        <v>2051</v>
      </c>
      <c r="AG137" s="390">
        <v>2052</v>
      </c>
      <c r="AH137" s="390">
        <v>2053</v>
      </c>
      <c r="AI137" s="390">
        <v>2054</v>
      </c>
    </row>
    <row r="138" spans="3:35" ht="13.8">
      <c r="C138" s="331" t="s">
        <v>434</v>
      </c>
      <c r="D138" s="332">
        <v>365317000</v>
      </c>
      <c r="E138" s="352">
        <v>365317000</v>
      </c>
      <c r="F138" s="279">
        <v>365317000</v>
      </c>
      <c r="G138" s="279">
        <v>0</v>
      </c>
      <c r="H138" s="279">
        <v>0</v>
      </c>
      <c r="I138" s="279">
        <v>0</v>
      </c>
      <c r="J138" s="279">
        <v>0</v>
      </c>
      <c r="K138" s="279">
        <v>0</v>
      </c>
      <c r="L138" s="279">
        <v>0</v>
      </c>
      <c r="M138" s="279">
        <v>0</v>
      </c>
      <c r="N138" s="279">
        <v>0</v>
      </c>
      <c r="O138" s="279">
        <v>0</v>
      </c>
      <c r="P138" s="279">
        <v>0</v>
      </c>
      <c r="Q138" s="279">
        <v>0</v>
      </c>
      <c r="R138" s="279">
        <v>0</v>
      </c>
      <c r="S138" s="279">
        <v>0</v>
      </c>
      <c r="T138" s="279">
        <v>0</v>
      </c>
      <c r="U138" s="279">
        <v>0</v>
      </c>
      <c r="V138" s="279">
        <v>0</v>
      </c>
      <c r="W138" s="279">
        <v>0</v>
      </c>
      <c r="X138" s="279">
        <v>0</v>
      </c>
      <c r="Y138" s="279">
        <v>0</v>
      </c>
      <c r="Z138" s="279">
        <v>0</v>
      </c>
      <c r="AA138" s="279">
        <v>0</v>
      </c>
      <c r="AB138" s="279">
        <v>0</v>
      </c>
      <c r="AC138" s="279">
        <v>0</v>
      </c>
      <c r="AD138" s="279">
        <v>0</v>
      </c>
      <c r="AE138" s="279">
        <v>0</v>
      </c>
      <c r="AF138" s="279">
        <v>0</v>
      </c>
      <c r="AG138" s="279">
        <v>0</v>
      </c>
      <c r="AH138" s="279">
        <v>0</v>
      </c>
      <c r="AI138" s="279">
        <v>0</v>
      </c>
    </row>
    <row r="139" spans="3:35" ht="13.8">
      <c r="C139" s="331" t="s">
        <v>419</v>
      </c>
      <c r="D139" s="332">
        <v>13181686.654593742</v>
      </c>
      <c r="E139" s="332">
        <v>8721937.7858852781</v>
      </c>
      <c r="F139" s="279">
        <v>0</v>
      </c>
      <c r="G139" s="279">
        <v>454540.91912392242</v>
      </c>
      <c r="H139" s="279">
        <v>454540.91912392242</v>
      </c>
      <c r="I139" s="279">
        <v>454540.91912392242</v>
      </c>
      <c r="J139" s="279">
        <v>454540.91912392242</v>
      </c>
      <c r="K139" s="279">
        <v>454540.91912392242</v>
      </c>
      <c r="L139" s="279">
        <v>454540.91912392242</v>
      </c>
      <c r="M139" s="279">
        <v>454540.91912392242</v>
      </c>
      <c r="N139" s="279">
        <v>454540.91912392242</v>
      </c>
      <c r="O139" s="279">
        <v>454540.91912392242</v>
      </c>
      <c r="P139" s="279">
        <v>454540.91912392242</v>
      </c>
      <c r="Q139" s="279">
        <v>454540.91912392242</v>
      </c>
      <c r="R139" s="279">
        <v>454540.91912392242</v>
      </c>
      <c r="S139" s="279">
        <v>454540.91912392242</v>
      </c>
      <c r="T139" s="279">
        <v>454540.91912392242</v>
      </c>
      <c r="U139" s="279">
        <v>454540.91912392242</v>
      </c>
      <c r="V139" s="279">
        <v>454540.91912392242</v>
      </c>
      <c r="W139" s="279">
        <v>454540.91912392242</v>
      </c>
      <c r="X139" s="279">
        <v>454540.91912392242</v>
      </c>
      <c r="Y139" s="279">
        <v>454540.91912392242</v>
      </c>
      <c r="Z139" s="279">
        <v>454540.91912392242</v>
      </c>
      <c r="AA139" s="279">
        <v>454540.91912392242</v>
      </c>
      <c r="AB139" s="279">
        <v>454540.91912392242</v>
      </c>
      <c r="AC139" s="279">
        <v>454540.91912392242</v>
      </c>
      <c r="AD139" s="279">
        <v>454540.91912392242</v>
      </c>
      <c r="AE139" s="279">
        <v>454540.91912392242</v>
      </c>
      <c r="AF139" s="279">
        <v>454540.91912392242</v>
      </c>
      <c r="AG139" s="279">
        <v>454540.91912392242</v>
      </c>
      <c r="AH139" s="279">
        <v>454540.91912392242</v>
      </c>
      <c r="AI139" s="279">
        <v>454540.91912392242</v>
      </c>
    </row>
    <row r="140" spans="3:35" ht="29.25" customHeight="1">
      <c r="C140" s="391" t="s">
        <v>420</v>
      </c>
      <c r="D140" s="354">
        <v>13181686.654593742</v>
      </c>
      <c r="E140" s="354">
        <v>8721937.7858852781</v>
      </c>
      <c r="F140" s="392">
        <v>0</v>
      </c>
      <c r="G140" s="392">
        <v>454540.91912392242</v>
      </c>
      <c r="H140" s="392">
        <v>454540.91912392242</v>
      </c>
      <c r="I140" s="392">
        <v>454540.91912392242</v>
      </c>
      <c r="J140" s="392">
        <v>454540.91912392242</v>
      </c>
      <c r="K140" s="392">
        <v>454540.91912392242</v>
      </c>
      <c r="L140" s="392">
        <v>454540.91912392242</v>
      </c>
      <c r="M140" s="392">
        <v>454540.91912392242</v>
      </c>
      <c r="N140" s="392">
        <v>454540.91912392242</v>
      </c>
      <c r="O140" s="392">
        <v>454540.91912392242</v>
      </c>
      <c r="P140" s="392">
        <v>454540.91912392242</v>
      </c>
      <c r="Q140" s="392">
        <v>454540.91912392242</v>
      </c>
      <c r="R140" s="392">
        <v>454540.91912392242</v>
      </c>
      <c r="S140" s="392">
        <v>454540.91912392242</v>
      </c>
      <c r="T140" s="392">
        <v>454540.91912392242</v>
      </c>
      <c r="U140" s="392">
        <v>454540.91912392242</v>
      </c>
      <c r="V140" s="392">
        <v>454540.91912392242</v>
      </c>
      <c r="W140" s="392">
        <v>454540.91912392242</v>
      </c>
      <c r="X140" s="392">
        <v>454540.91912392242</v>
      </c>
      <c r="Y140" s="392">
        <v>454540.91912392242</v>
      </c>
      <c r="Z140" s="392">
        <v>454540.91912392242</v>
      </c>
      <c r="AA140" s="392">
        <v>454540.91912392242</v>
      </c>
      <c r="AB140" s="392">
        <v>454540.91912392242</v>
      </c>
      <c r="AC140" s="392">
        <v>454540.91912392242</v>
      </c>
      <c r="AD140" s="392">
        <v>454540.91912392242</v>
      </c>
      <c r="AE140" s="392">
        <v>454540.91912392242</v>
      </c>
      <c r="AF140" s="392">
        <v>454540.91912392242</v>
      </c>
      <c r="AG140" s="392">
        <v>454540.91912392242</v>
      </c>
      <c r="AH140" s="392">
        <v>454540.91912392242</v>
      </c>
      <c r="AI140" s="392">
        <v>454540.91912392242</v>
      </c>
    </row>
    <row r="141" spans="3:35" ht="14.4">
      <c r="C141" s="391" t="s">
        <v>421</v>
      </c>
      <c r="D141" s="354">
        <v>0</v>
      </c>
      <c r="E141" s="354">
        <v>0</v>
      </c>
      <c r="F141" s="392">
        <v>0</v>
      </c>
      <c r="G141" s="392">
        <v>0</v>
      </c>
      <c r="H141" s="392">
        <v>0</v>
      </c>
      <c r="I141" s="392">
        <v>0</v>
      </c>
      <c r="J141" s="392">
        <v>0</v>
      </c>
      <c r="K141" s="392">
        <v>0</v>
      </c>
      <c r="L141" s="392">
        <v>0</v>
      </c>
      <c r="M141" s="392">
        <v>0</v>
      </c>
      <c r="N141" s="392">
        <v>0</v>
      </c>
      <c r="O141" s="392">
        <v>0</v>
      </c>
      <c r="P141" s="392">
        <v>0</v>
      </c>
      <c r="Q141" s="392">
        <v>0</v>
      </c>
      <c r="R141" s="392">
        <v>0</v>
      </c>
      <c r="S141" s="392">
        <v>0</v>
      </c>
      <c r="T141" s="392">
        <v>0</v>
      </c>
      <c r="U141" s="392">
        <v>0</v>
      </c>
      <c r="V141" s="392">
        <v>0</v>
      </c>
      <c r="W141" s="392">
        <v>0</v>
      </c>
      <c r="X141" s="392">
        <v>0</v>
      </c>
      <c r="Y141" s="392">
        <v>0</v>
      </c>
      <c r="Z141" s="392">
        <v>0</v>
      </c>
      <c r="AA141" s="392">
        <v>0</v>
      </c>
      <c r="AB141" s="392">
        <v>0</v>
      </c>
      <c r="AC141" s="392">
        <v>0</v>
      </c>
      <c r="AD141" s="392">
        <v>0</v>
      </c>
      <c r="AE141" s="392">
        <v>0</v>
      </c>
      <c r="AF141" s="392">
        <v>0</v>
      </c>
      <c r="AG141" s="392">
        <v>0</v>
      </c>
      <c r="AH141" s="392">
        <v>0</v>
      </c>
      <c r="AI141" s="392">
        <v>0</v>
      </c>
    </row>
    <row r="142" spans="3:35" ht="13.8">
      <c r="C142" s="331" t="s">
        <v>405</v>
      </c>
      <c r="D142" s="332">
        <v>132208999.99999997</v>
      </c>
      <c r="E142" s="332">
        <v>56102408.213503599</v>
      </c>
      <c r="F142" s="279">
        <v>0</v>
      </c>
      <c r="G142" s="279">
        <v>0</v>
      </c>
      <c r="H142" s="279">
        <v>0</v>
      </c>
      <c r="I142" s="279">
        <v>0</v>
      </c>
      <c r="J142" s="279">
        <v>0</v>
      </c>
      <c r="K142" s="279">
        <v>0</v>
      </c>
      <c r="L142" s="279">
        <v>0</v>
      </c>
      <c r="M142" s="279">
        <v>0</v>
      </c>
      <c r="N142" s="279">
        <v>0</v>
      </c>
      <c r="O142" s="279">
        <v>0</v>
      </c>
      <c r="P142" s="279">
        <v>0</v>
      </c>
      <c r="Q142" s="279">
        <v>0</v>
      </c>
      <c r="R142" s="279">
        <v>0</v>
      </c>
      <c r="S142" s="279">
        <v>0</v>
      </c>
      <c r="T142" s="279">
        <v>0</v>
      </c>
      <c r="U142" s="279">
        <v>0</v>
      </c>
      <c r="V142" s="279">
        <v>0</v>
      </c>
      <c r="W142" s="279">
        <v>0</v>
      </c>
      <c r="X142" s="279">
        <v>0</v>
      </c>
      <c r="Y142" s="279">
        <v>0</v>
      </c>
      <c r="Z142" s="279">
        <v>0</v>
      </c>
      <c r="AA142" s="279">
        <v>0</v>
      </c>
      <c r="AB142" s="279">
        <v>0</v>
      </c>
      <c r="AC142" s="279">
        <v>0</v>
      </c>
      <c r="AD142" s="279">
        <v>0</v>
      </c>
      <c r="AE142" s="279">
        <v>0</v>
      </c>
      <c r="AF142" s="279">
        <v>0</v>
      </c>
      <c r="AG142" s="279">
        <v>0</v>
      </c>
      <c r="AH142" s="279">
        <v>0</v>
      </c>
      <c r="AI142" s="279">
        <v>132208999.99999997</v>
      </c>
    </row>
    <row r="143" spans="3:35" ht="13.8">
      <c r="C143" s="335" t="s">
        <v>435</v>
      </c>
      <c r="D143" s="357">
        <v>246289686.65459448</v>
      </c>
      <c r="E143" s="357">
        <v>317936529.57238168</v>
      </c>
      <c r="F143" s="359">
        <v>365317000</v>
      </c>
      <c r="G143" s="359">
        <v>454540.91912392242</v>
      </c>
      <c r="H143" s="359">
        <v>454540.91912392242</v>
      </c>
      <c r="I143" s="359">
        <v>454540.91912392242</v>
      </c>
      <c r="J143" s="359">
        <v>454540.91912392242</v>
      </c>
      <c r="K143" s="359">
        <v>454540.91912392242</v>
      </c>
      <c r="L143" s="359">
        <v>454540.91912392242</v>
      </c>
      <c r="M143" s="359">
        <v>454540.91912392242</v>
      </c>
      <c r="N143" s="359">
        <v>454540.91912392242</v>
      </c>
      <c r="O143" s="359">
        <v>454540.91912392242</v>
      </c>
      <c r="P143" s="359">
        <v>454540.91912392242</v>
      </c>
      <c r="Q143" s="359">
        <v>454540.91912392242</v>
      </c>
      <c r="R143" s="359">
        <v>454540.91912392242</v>
      </c>
      <c r="S143" s="359">
        <v>454540.91912392242</v>
      </c>
      <c r="T143" s="359">
        <v>454540.91912392242</v>
      </c>
      <c r="U143" s="359">
        <v>454540.91912392242</v>
      </c>
      <c r="V143" s="359">
        <v>454540.91912392242</v>
      </c>
      <c r="W143" s="359">
        <v>454540.91912392242</v>
      </c>
      <c r="X143" s="359">
        <v>454540.91912392242</v>
      </c>
      <c r="Y143" s="359">
        <v>454540.91912392242</v>
      </c>
      <c r="Z143" s="359">
        <v>454540.91912392242</v>
      </c>
      <c r="AA143" s="359">
        <v>454540.91912392242</v>
      </c>
      <c r="AB143" s="359">
        <v>454540.91912392242</v>
      </c>
      <c r="AC143" s="359">
        <v>454540.91912392242</v>
      </c>
      <c r="AD143" s="359">
        <v>454540.91912392242</v>
      </c>
      <c r="AE143" s="359">
        <v>454540.91912392242</v>
      </c>
      <c r="AF143" s="359">
        <v>454540.91912392242</v>
      </c>
      <c r="AG143" s="359">
        <v>454540.91912392242</v>
      </c>
      <c r="AH143" s="359">
        <v>454540.91912392242</v>
      </c>
      <c r="AI143" s="359">
        <v>-131754459.08087605</v>
      </c>
    </row>
    <row r="144" spans="3:35" ht="13.8">
      <c r="C144" s="331" t="s">
        <v>425</v>
      </c>
      <c r="D144" s="332">
        <v>117160000</v>
      </c>
      <c r="E144" s="332">
        <v>77521356.543413609</v>
      </c>
      <c r="F144" s="279">
        <v>0</v>
      </c>
      <c r="G144" s="279">
        <v>4040000</v>
      </c>
      <c r="H144" s="279">
        <v>4040000</v>
      </c>
      <c r="I144" s="279">
        <v>4040000</v>
      </c>
      <c r="J144" s="279">
        <v>4040000</v>
      </c>
      <c r="K144" s="279">
        <v>4040000</v>
      </c>
      <c r="L144" s="279">
        <v>4040000</v>
      </c>
      <c r="M144" s="279">
        <v>4040000</v>
      </c>
      <c r="N144" s="279">
        <v>4040000</v>
      </c>
      <c r="O144" s="279">
        <v>4040000</v>
      </c>
      <c r="P144" s="279">
        <v>4040000</v>
      </c>
      <c r="Q144" s="279">
        <v>4040000</v>
      </c>
      <c r="R144" s="279">
        <v>4040000</v>
      </c>
      <c r="S144" s="279">
        <v>4040000</v>
      </c>
      <c r="T144" s="279">
        <v>4040000</v>
      </c>
      <c r="U144" s="279">
        <v>4040000</v>
      </c>
      <c r="V144" s="279">
        <v>4040000</v>
      </c>
      <c r="W144" s="279">
        <v>4040000</v>
      </c>
      <c r="X144" s="279">
        <v>4040000</v>
      </c>
      <c r="Y144" s="279">
        <v>4040000</v>
      </c>
      <c r="Z144" s="279">
        <v>4040000</v>
      </c>
      <c r="AA144" s="279">
        <v>4040000</v>
      </c>
      <c r="AB144" s="279">
        <v>4040000</v>
      </c>
      <c r="AC144" s="279">
        <v>4040000</v>
      </c>
      <c r="AD144" s="279">
        <v>4040000</v>
      </c>
      <c r="AE144" s="279">
        <v>4040000</v>
      </c>
      <c r="AF144" s="279">
        <v>4040000</v>
      </c>
      <c r="AG144" s="279">
        <v>4040000</v>
      </c>
      <c r="AH144" s="279">
        <v>4040000</v>
      </c>
      <c r="AI144" s="279">
        <v>4040000</v>
      </c>
    </row>
    <row r="145" spans="3:35" ht="13.8">
      <c r="C145" s="331" t="s">
        <v>427</v>
      </c>
      <c r="D145" s="332">
        <v>516780000</v>
      </c>
      <c r="E145" s="332">
        <v>341938260.79297775</v>
      </c>
      <c r="F145" s="279">
        <v>0</v>
      </c>
      <c r="G145" s="279">
        <v>17820000</v>
      </c>
      <c r="H145" s="279">
        <v>17820000</v>
      </c>
      <c r="I145" s="279">
        <v>17820000</v>
      </c>
      <c r="J145" s="279">
        <v>17820000</v>
      </c>
      <c r="K145" s="279">
        <v>17820000</v>
      </c>
      <c r="L145" s="279">
        <v>17820000</v>
      </c>
      <c r="M145" s="279">
        <v>17820000</v>
      </c>
      <c r="N145" s="279">
        <v>17820000</v>
      </c>
      <c r="O145" s="279">
        <v>17820000</v>
      </c>
      <c r="P145" s="279">
        <v>17820000</v>
      </c>
      <c r="Q145" s="279">
        <v>17820000</v>
      </c>
      <c r="R145" s="279">
        <v>17820000</v>
      </c>
      <c r="S145" s="279">
        <v>17820000</v>
      </c>
      <c r="T145" s="279">
        <v>17820000</v>
      </c>
      <c r="U145" s="279">
        <v>17820000</v>
      </c>
      <c r="V145" s="279">
        <v>17820000</v>
      </c>
      <c r="W145" s="279">
        <v>17820000</v>
      </c>
      <c r="X145" s="279">
        <v>17820000</v>
      </c>
      <c r="Y145" s="279">
        <v>17820000</v>
      </c>
      <c r="Z145" s="279">
        <v>17820000</v>
      </c>
      <c r="AA145" s="279">
        <v>17820000</v>
      </c>
      <c r="AB145" s="279">
        <v>17820000</v>
      </c>
      <c r="AC145" s="279">
        <v>17820000</v>
      </c>
      <c r="AD145" s="279">
        <v>17820000</v>
      </c>
      <c r="AE145" s="279">
        <v>17820000</v>
      </c>
      <c r="AF145" s="279">
        <v>17820000</v>
      </c>
      <c r="AG145" s="279">
        <v>17820000</v>
      </c>
      <c r="AH145" s="279">
        <v>17820000</v>
      </c>
      <c r="AI145" s="279">
        <v>17820000</v>
      </c>
    </row>
    <row r="146" spans="3:35" ht="13.8">
      <c r="C146" s="331" t="s">
        <v>431</v>
      </c>
      <c r="D146" s="332">
        <v>0</v>
      </c>
      <c r="E146" s="332">
        <v>0</v>
      </c>
      <c r="F146" s="279">
        <v>0</v>
      </c>
      <c r="G146" s="279">
        <v>0</v>
      </c>
      <c r="H146" s="279">
        <v>0</v>
      </c>
      <c r="I146" s="279">
        <v>0</v>
      </c>
      <c r="J146" s="279">
        <v>0</v>
      </c>
      <c r="K146" s="279">
        <v>0</v>
      </c>
      <c r="L146" s="279">
        <v>0</v>
      </c>
      <c r="M146" s="279">
        <v>0</v>
      </c>
      <c r="N146" s="279">
        <v>0</v>
      </c>
      <c r="O146" s="279">
        <v>0</v>
      </c>
      <c r="P146" s="279">
        <v>0</v>
      </c>
      <c r="Q146" s="279">
        <v>0</v>
      </c>
      <c r="R146" s="279">
        <v>0</v>
      </c>
      <c r="S146" s="279">
        <v>0</v>
      </c>
      <c r="T146" s="279">
        <v>0</v>
      </c>
      <c r="U146" s="279">
        <v>0</v>
      </c>
      <c r="V146" s="279">
        <v>0</v>
      </c>
      <c r="W146" s="279">
        <v>0</v>
      </c>
      <c r="X146" s="279">
        <v>0</v>
      </c>
      <c r="Y146" s="279">
        <v>0</v>
      </c>
      <c r="Z146" s="279">
        <v>0</v>
      </c>
      <c r="AA146" s="279">
        <v>0</v>
      </c>
      <c r="AB146" s="279">
        <v>0</v>
      </c>
      <c r="AC146" s="279">
        <v>0</v>
      </c>
      <c r="AD146" s="279">
        <v>0</v>
      </c>
      <c r="AE146" s="279">
        <v>0</v>
      </c>
      <c r="AF146" s="279">
        <v>0</v>
      </c>
      <c r="AG146" s="279">
        <v>0</v>
      </c>
      <c r="AH146" s="279">
        <v>0</v>
      </c>
      <c r="AI146" s="279">
        <v>0</v>
      </c>
    </row>
    <row r="147" spans="3:35" ht="13.8">
      <c r="C147" s="335" t="s">
        <v>436</v>
      </c>
      <c r="D147" s="357">
        <v>633940000</v>
      </c>
      <c r="E147" s="357">
        <v>419459617.33639139</v>
      </c>
      <c r="F147" s="359">
        <v>0</v>
      </c>
      <c r="G147" s="359">
        <v>21860000</v>
      </c>
      <c r="H147" s="359">
        <v>21860000</v>
      </c>
      <c r="I147" s="359">
        <v>21860000</v>
      </c>
      <c r="J147" s="359">
        <v>21860000</v>
      </c>
      <c r="K147" s="359">
        <v>21860000</v>
      </c>
      <c r="L147" s="359">
        <v>21860000</v>
      </c>
      <c r="M147" s="359">
        <v>21860000</v>
      </c>
      <c r="N147" s="359">
        <v>21860000</v>
      </c>
      <c r="O147" s="359">
        <v>21860000</v>
      </c>
      <c r="P147" s="359">
        <v>21860000</v>
      </c>
      <c r="Q147" s="359">
        <v>21860000</v>
      </c>
      <c r="R147" s="359">
        <v>21860000</v>
      </c>
      <c r="S147" s="359">
        <v>21860000</v>
      </c>
      <c r="T147" s="359">
        <v>21860000</v>
      </c>
      <c r="U147" s="359">
        <v>21860000</v>
      </c>
      <c r="V147" s="359">
        <v>21860000</v>
      </c>
      <c r="W147" s="359">
        <v>21860000</v>
      </c>
      <c r="X147" s="359">
        <v>21860000</v>
      </c>
      <c r="Y147" s="359">
        <v>21860000</v>
      </c>
      <c r="Z147" s="359">
        <v>21860000</v>
      </c>
      <c r="AA147" s="359">
        <v>21860000</v>
      </c>
      <c r="AB147" s="359">
        <v>21860000</v>
      </c>
      <c r="AC147" s="359">
        <v>21860000</v>
      </c>
      <c r="AD147" s="359">
        <v>21860000</v>
      </c>
      <c r="AE147" s="359">
        <v>21860000</v>
      </c>
      <c r="AF147" s="359">
        <v>21860000</v>
      </c>
      <c r="AG147" s="359">
        <v>21860000</v>
      </c>
      <c r="AH147" s="359">
        <v>21860000</v>
      </c>
      <c r="AI147" s="359">
        <v>21860000</v>
      </c>
    </row>
    <row r="148" spans="3:35" ht="13.8">
      <c r="C148" s="335" t="s">
        <v>437</v>
      </c>
      <c r="D148" s="357">
        <v>387650313.34540617</v>
      </c>
      <c r="E148" s="357">
        <v>101523087.76400977</v>
      </c>
      <c r="F148" s="359">
        <v>-365317000</v>
      </c>
      <c r="G148" s="359">
        <v>21405459.080876078</v>
      </c>
      <c r="H148" s="359">
        <v>21405459.080876078</v>
      </c>
      <c r="I148" s="359">
        <v>21405459.080876078</v>
      </c>
      <c r="J148" s="359">
        <v>21405459.080876078</v>
      </c>
      <c r="K148" s="359">
        <v>21405459.080876078</v>
      </c>
      <c r="L148" s="359">
        <v>21405459.080876078</v>
      </c>
      <c r="M148" s="359">
        <v>21405459.080876078</v>
      </c>
      <c r="N148" s="359">
        <v>21405459.080876078</v>
      </c>
      <c r="O148" s="359">
        <v>21405459.080876078</v>
      </c>
      <c r="P148" s="359">
        <v>21405459.080876078</v>
      </c>
      <c r="Q148" s="359">
        <v>21405459.080876078</v>
      </c>
      <c r="R148" s="359">
        <v>21405459.080876078</v>
      </c>
      <c r="S148" s="359">
        <v>21405459.080876078</v>
      </c>
      <c r="T148" s="359">
        <v>21405459.080876078</v>
      </c>
      <c r="U148" s="359">
        <v>21405459.080876078</v>
      </c>
      <c r="V148" s="359">
        <v>21405459.080876078</v>
      </c>
      <c r="W148" s="359">
        <v>21405459.080876078</v>
      </c>
      <c r="X148" s="359">
        <v>21405459.080876078</v>
      </c>
      <c r="Y148" s="359">
        <v>21405459.080876078</v>
      </c>
      <c r="Z148" s="359">
        <v>21405459.080876078</v>
      </c>
      <c r="AA148" s="359">
        <v>21405459.080876078</v>
      </c>
      <c r="AB148" s="359">
        <v>21405459.080876078</v>
      </c>
      <c r="AC148" s="359">
        <v>21405459.080876078</v>
      </c>
      <c r="AD148" s="359">
        <v>21405459.080876078</v>
      </c>
      <c r="AE148" s="359">
        <v>21405459.080876078</v>
      </c>
      <c r="AF148" s="359">
        <v>21405459.080876078</v>
      </c>
      <c r="AG148" s="359">
        <v>21405459.080876078</v>
      </c>
      <c r="AH148" s="359">
        <v>21405459.080876078</v>
      </c>
      <c r="AI148" s="359">
        <v>153614459.08087605</v>
      </c>
    </row>
    <row r="149" spans="3:35" ht="13.8">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c r="AB149" s="157"/>
      <c r="AC149" s="157"/>
      <c r="AD149" s="157"/>
      <c r="AE149" s="157"/>
      <c r="AF149" s="157"/>
      <c r="AG149" s="157"/>
      <c r="AH149" s="157"/>
      <c r="AI149" s="157"/>
    </row>
    <row r="150" spans="3:35" ht="30" customHeight="1">
      <c r="C150" s="348" t="s">
        <v>438</v>
      </c>
      <c r="D150" s="347" t="s">
        <v>439</v>
      </c>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c r="AB150" s="157"/>
      <c r="AC150" s="157"/>
      <c r="AD150" s="157"/>
      <c r="AE150" s="157"/>
      <c r="AF150" s="157"/>
      <c r="AG150" s="157"/>
      <c r="AH150" s="157"/>
      <c r="AI150" s="157"/>
    </row>
    <row r="151" spans="3:35" ht="13.8">
      <c r="C151" s="331" t="s">
        <v>440</v>
      </c>
      <c r="D151" s="332">
        <v>101523087.76400977</v>
      </c>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7"/>
      <c r="AF151" s="157"/>
      <c r="AG151" s="157"/>
      <c r="AH151" s="157"/>
      <c r="AI151" s="157"/>
    </row>
    <row r="152" spans="3:35" ht="29.25" customHeight="1">
      <c r="C152" s="331" t="s">
        <v>441</v>
      </c>
      <c r="D152" s="393">
        <v>4.8016154060335214E-2</v>
      </c>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c r="AB152" s="157"/>
      <c r="AC152" s="157"/>
      <c r="AD152" s="157"/>
      <c r="AE152" s="157"/>
      <c r="AF152" s="157"/>
      <c r="AG152" s="157"/>
      <c r="AH152" s="157"/>
      <c r="AI152" s="157"/>
    </row>
    <row r="153" spans="3:35" ht="13.8">
      <c r="C153" s="331" t="s">
        <v>442</v>
      </c>
      <c r="D153" s="394">
        <v>1.3193187266041944</v>
      </c>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c r="AB153" s="157"/>
      <c r="AC153" s="157"/>
      <c r="AD153" s="157"/>
      <c r="AE153" s="157"/>
      <c r="AF153" s="157"/>
      <c r="AG153" s="157"/>
      <c r="AH153" s="157"/>
      <c r="AI153" s="157"/>
    </row>
    <row r="154" spans="3:35" ht="13.8"/>
    <row r="155" spans="3:35" ht="13.8"/>
    <row r="156" spans="3:35" ht="13.8">
      <c r="C156" s="311" t="s">
        <v>457</v>
      </c>
      <c r="D156" s="433"/>
      <c r="E156" s="433"/>
      <c r="F156" s="433"/>
      <c r="G156" s="433"/>
      <c r="H156" s="433"/>
      <c r="I156" s="433"/>
      <c r="J156" s="433"/>
      <c r="K156" s="433"/>
      <c r="L156" s="433"/>
      <c r="M156" s="433"/>
      <c r="N156" s="433"/>
      <c r="O156" s="433"/>
      <c r="P156" s="433"/>
      <c r="Q156" s="433"/>
      <c r="R156" s="433"/>
      <c r="S156" s="433"/>
      <c r="T156" s="433"/>
      <c r="U156" s="433"/>
      <c r="V156" s="433"/>
      <c r="W156" s="433"/>
      <c r="X156" s="433"/>
      <c r="Y156" s="433"/>
      <c r="Z156" s="433"/>
      <c r="AA156" s="433"/>
      <c r="AB156" s="433"/>
      <c r="AC156" s="433"/>
      <c r="AD156" s="433"/>
      <c r="AE156" s="433"/>
      <c r="AF156" s="433"/>
    </row>
    <row r="157" spans="3:35" ht="13.8"/>
    <row r="158" spans="3:35" ht="13.8">
      <c r="C158" s="434" t="s">
        <v>444</v>
      </c>
      <c r="D158" s="435"/>
      <c r="E158" s="435"/>
      <c r="F158" s="435"/>
      <c r="G158" s="435"/>
      <c r="H158" s="435"/>
      <c r="I158" s="435"/>
      <c r="J158" s="435"/>
      <c r="K158" s="435"/>
      <c r="L158" s="435"/>
      <c r="M158" s="435"/>
      <c r="N158" s="435"/>
      <c r="O158" s="435"/>
      <c r="P158" s="435"/>
      <c r="Q158" s="435"/>
      <c r="R158" s="435"/>
      <c r="S158" s="435"/>
      <c r="T158" s="435"/>
      <c r="U158" s="435"/>
      <c r="V158" s="435"/>
      <c r="W158" s="435"/>
      <c r="X158" s="435"/>
      <c r="Y158" s="435"/>
      <c r="Z158" s="435"/>
      <c r="AA158" s="435"/>
      <c r="AB158" s="435"/>
      <c r="AC158" s="435"/>
      <c r="AD158" s="435"/>
      <c r="AE158" s="435"/>
      <c r="AF158" s="435"/>
      <c r="AG158" s="435"/>
      <c r="AH158" s="435"/>
      <c r="AI158" s="435"/>
    </row>
    <row r="159" spans="3:35" ht="13.8"/>
    <row r="160" spans="3:35" ht="30" customHeight="1">
      <c r="C160" s="347" t="s">
        <v>344</v>
      </c>
      <c r="D160" s="347" t="s">
        <v>325</v>
      </c>
      <c r="E160" s="348" t="s">
        <v>465</v>
      </c>
      <c r="F160" s="349">
        <v>2025</v>
      </c>
      <c r="G160" s="349">
        <v>2026</v>
      </c>
      <c r="H160" s="349">
        <v>2027</v>
      </c>
      <c r="I160" s="349">
        <v>2028</v>
      </c>
      <c r="J160" s="349">
        <v>2029</v>
      </c>
      <c r="K160" s="349">
        <v>2030</v>
      </c>
      <c r="L160" s="349">
        <v>2031</v>
      </c>
      <c r="M160" s="349">
        <v>2032</v>
      </c>
      <c r="N160" s="349">
        <v>2033</v>
      </c>
      <c r="O160" s="349">
        <v>2034</v>
      </c>
      <c r="P160" s="349">
        <v>2035</v>
      </c>
      <c r="Q160" s="349">
        <v>2036</v>
      </c>
      <c r="R160" s="349">
        <v>2037</v>
      </c>
      <c r="S160" s="349">
        <v>2038</v>
      </c>
      <c r="T160" s="349">
        <v>2039</v>
      </c>
      <c r="U160" s="349">
        <v>2040</v>
      </c>
      <c r="V160" s="349">
        <v>2041</v>
      </c>
      <c r="W160" s="349">
        <v>2042</v>
      </c>
      <c r="X160" s="349">
        <v>2043</v>
      </c>
      <c r="Y160" s="349">
        <v>2044</v>
      </c>
      <c r="Z160" s="349">
        <v>2045</v>
      </c>
      <c r="AA160" s="349">
        <v>2046</v>
      </c>
      <c r="AB160" s="349">
        <v>2047</v>
      </c>
      <c r="AC160" s="349">
        <v>2048</v>
      </c>
      <c r="AD160" s="349">
        <v>2049</v>
      </c>
      <c r="AE160" s="349">
        <v>2050</v>
      </c>
      <c r="AF160" s="349">
        <v>2051</v>
      </c>
      <c r="AG160" s="349">
        <v>2052</v>
      </c>
      <c r="AH160" s="349">
        <v>2053</v>
      </c>
      <c r="AI160" s="349">
        <v>2054</v>
      </c>
    </row>
    <row r="161" spans="3:35" ht="13.8">
      <c r="C161" s="351" t="s">
        <v>345</v>
      </c>
      <c r="D161" s="332">
        <v>478669721.31</v>
      </c>
      <c r="E161" s="352">
        <v>478669721.31</v>
      </c>
      <c r="F161" s="279">
        <v>478669721.31</v>
      </c>
      <c r="G161" s="279">
        <v>0</v>
      </c>
      <c r="H161" s="279">
        <v>0</v>
      </c>
      <c r="I161" s="279">
        <v>0</v>
      </c>
      <c r="J161" s="279">
        <v>0</v>
      </c>
      <c r="K161" s="279">
        <v>0</v>
      </c>
      <c r="L161" s="279">
        <v>0</v>
      </c>
      <c r="M161" s="279">
        <v>0</v>
      </c>
      <c r="N161" s="279">
        <v>0</v>
      </c>
      <c r="O161" s="279">
        <v>0</v>
      </c>
      <c r="P161" s="279">
        <v>0</v>
      </c>
      <c r="Q161" s="279">
        <v>0</v>
      </c>
      <c r="R161" s="279">
        <v>0</v>
      </c>
      <c r="S161" s="279">
        <v>0</v>
      </c>
      <c r="T161" s="279">
        <v>0</v>
      </c>
      <c r="U161" s="279">
        <v>0</v>
      </c>
      <c r="V161" s="279">
        <v>0</v>
      </c>
      <c r="W161" s="279">
        <v>0</v>
      </c>
      <c r="X161" s="279">
        <v>0</v>
      </c>
      <c r="Y161" s="279">
        <v>0</v>
      </c>
      <c r="Z161" s="279">
        <v>0</v>
      </c>
      <c r="AA161" s="279">
        <v>0</v>
      </c>
      <c r="AB161" s="279">
        <v>0</v>
      </c>
      <c r="AC161" s="279">
        <v>0</v>
      </c>
      <c r="AD161" s="279">
        <v>0</v>
      </c>
      <c r="AE161" s="279">
        <v>0</v>
      </c>
      <c r="AF161" s="279">
        <v>0</v>
      </c>
      <c r="AG161" s="279">
        <v>0</v>
      </c>
      <c r="AH161" s="279">
        <v>0</v>
      </c>
      <c r="AI161" s="279">
        <v>0</v>
      </c>
    </row>
    <row r="162" spans="3:35" ht="13.8">
      <c r="C162" s="351" t="s">
        <v>346</v>
      </c>
      <c r="D162" s="332">
        <v>12920663.156482989</v>
      </c>
      <c r="E162" s="352">
        <v>5358881.1811847975</v>
      </c>
      <c r="F162" s="279">
        <v>0</v>
      </c>
      <c r="G162" s="279">
        <v>445540.10884424072</v>
      </c>
      <c r="H162" s="279">
        <v>445540.10884424072</v>
      </c>
      <c r="I162" s="279">
        <v>445540.10884424072</v>
      </c>
      <c r="J162" s="279">
        <v>445540.10884424072</v>
      </c>
      <c r="K162" s="279">
        <v>445540.10884424072</v>
      </c>
      <c r="L162" s="279">
        <v>445540.10884424072</v>
      </c>
      <c r="M162" s="279">
        <v>445540.10884424072</v>
      </c>
      <c r="N162" s="279">
        <v>445540.10884424072</v>
      </c>
      <c r="O162" s="279">
        <v>445540.10884424072</v>
      </c>
      <c r="P162" s="279">
        <v>445540.10884424072</v>
      </c>
      <c r="Q162" s="279">
        <v>445540.10884424072</v>
      </c>
      <c r="R162" s="279">
        <v>445540.10884424072</v>
      </c>
      <c r="S162" s="279">
        <v>445540.10884424072</v>
      </c>
      <c r="T162" s="279">
        <v>445540.10884424072</v>
      </c>
      <c r="U162" s="279">
        <v>445540.10884424072</v>
      </c>
      <c r="V162" s="279">
        <v>445540.10884424072</v>
      </c>
      <c r="W162" s="279">
        <v>445540.10884424072</v>
      </c>
      <c r="X162" s="279">
        <v>445540.10884424072</v>
      </c>
      <c r="Y162" s="279">
        <v>445540.10884424072</v>
      </c>
      <c r="Z162" s="279">
        <v>445540.10884424072</v>
      </c>
      <c r="AA162" s="279">
        <v>445540.10884424072</v>
      </c>
      <c r="AB162" s="279">
        <v>445540.10884424072</v>
      </c>
      <c r="AC162" s="279">
        <v>445540.10884424072</v>
      </c>
      <c r="AD162" s="279">
        <v>445540.10884424072</v>
      </c>
      <c r="AE162" s="279">
        <v>445540.10884424072</v>
      </c>
      <c r="AF162" s="279">
        <v>445540.10884424072</v>
      </c>
      <c r="AG162" s="279">
        <v>445540.10884424072</v>
      </c>
      <c r="AH162" s="279">
        <v>445540.10884424072</v>
      </c>
      <c r="AI162" s="279">
        <v>445540.10884424072</v>
      </c>
    </row>
    <row r="163" spans="3:35" ht="29.25" customHeight="1">
      <c r="C163" s="391" t="s">
        <v>347</v>
      </c>
      <c r="D163" s="354">
        <v>12920663.156482989</v>
      </c>
      <c r="E163" s="355">
        <v>5358881.1811847975</v>
      </c>
      <c r="F163" s="392">
        <v>0</v>
      </c>
      <c r="G163" s="392">
        <v>445540.10884424072</v>
      </c>
      <c r="H163" s="392">
        <v>445540.10884424072</v>
      </c>
      <c r="I163" s="392">
        <v>445540.10884424072</v>
      </c>
      <c r="J163" s="392">
        <v>445540.10884424072</v>
      </c>
      <c r="K163" s="392">
        <v>445540.10884424072</v>
      </c>
      <c r="L163" s="392">
        <v>445540.10884424072</v>
      </c>
      <c r="M163" s="392">
        <v>445540.10884424072</v>
      </c>
      <c r="N163" s="392">
        <v>445540.10884424072</v>
      </c>
      <c r="O163" s="392">
        <v>445540.10884424072</v>
      </c>
      <c r="P163" s="392">
        <v>445540.10884424072</v>
      </c>
      <c r="Q163" s="392">
        <v>445540.10884424072</v>
      </c>
      <c r="R163" s="392">
        <v>445540.10884424072</v>
      </c>
      <c r="S163" s="392">
        <v>445540.10884424072</v>
      </c>
      <c r="T163" s="392">
        <v>445540.10884424072</v>
      </c>
      <c r="U163" s="392">
        <v>445540.10884424072</v>
      </c>
      <c r="V163" s="392">
        <v>445540.10884424072</v>
      </c>
      <c r="W163" s="392">
        <v>445540.10884424072</v>
      </c>
      <c r="X163" s="392">
        <v>445540.10884424072</v>
      </c>
      <c r="Y163" s="392">
        <v>445540.10884424072</v>
      </c>
      <c r="Z163" s="392">
        <v>445540.10884424072</v>
      </c>
      <c r="AA163" s="392">
        <v>445540.10884424072</v>
      </c>
      <c r="AB163" s="392">
        <v>445540.10884424072</v>
      </c>
      <c r="AC163" s="392">
        <v>445540.10884424072</v>
      </c>
      <c r="AD163" s="392">
        <v>445540.10884424072</v>
      </c>
      <c r="AE163" s="392">
        <v>445540.10884424072</v>
      </c>
      <c r="AF163" s="392">
        <v>445540.10884424072</v>
      </c>
      <c r="AG163" s="392">
        <v>445540.10884424072</v>
      </c>
      <c r="AH163" s="392">
        <v>445540.10884424072</v>
      </c>
      <c r="AI163" s="392">
        <v>445540.10884424072</v>
      </c>
    </row>
    <row r="164" spans="3:35" ht="14.4">
      <c r="C164" s="391" t="s">
        <v>348</v>
      </c>
      <c r="D164" s="354">
        <v>0</v>
      </c>
      <c r="E164" s="355">
        <v>0</v>
      </c>
      <c r="F164" s="392">
        <v>0</v>
      </c>
      <c r="G164" s="392">
        <v>0</v>
      </c>
      <c r="H164" s="392">
        <v>0</v>
      </c>
      <c r="I164" s="392">
        <v>0</v>
      </c>
      <c r="J164" s="392">
        <v>0</v>
      </c>
      <c r="K164" s="392">
        <v>0</v>
      </c>
      <c r="L164" s="392">
        <v>0</v>
      </c>
      <c r="M164" s="392">
        <v>0</v>
      </c>
      <c r="N164" s="392">
        <v>0</v>
      </c>
      <c r="O164" s="392">
        <v>0</v>
      </c>
      <c r="P164" s="392">
        <v>0</v>
      </c>
      <c r="Q164" s="392">
        <v>0</v>
      </c>
      <c r="R164" s="392">
        <v>0</v>
      </c>
      <c r="S164" s="392">
        <v>0</v>
      </c>
      <c r="T164" s="392">
        <v>0</v>
      </c>
      <c r="U164" s="392">
        <v>0</v>
      </c>
      <c r="V164" s="392">
        <v>0</v>
      </c>
      <c r="W164" s="392">
        <v>0</v>
      </c>
      <c r="X164" s="392">
        <v>0</v>
      </c>
      <c r="Y164" s="392">
        <v>0</v>
      </c>
      <c r="Z164" s="392">
        <v>0</v>
      </c>
      <c r="AA164" s="392">
        <v>0</v>
      </c>
      <c r="AB164" s="392">
        <v>0</v>
      </c>
      <c r="AC164" s="392">
        <v>0</v>
      </c>
      <c r="AD164" s="392">
        <v>0</v>
      </c>
      <c r="AE164" s="392">
        <v>0</v>
      </c>
      <c r="AF164" s="392">
        <v>0</v>
      </c>
      <c r="AG164" s="392">
        <v>0</v>
      </c>
      <c r="AH164" s="392">
        <v>0</v>
      </c>
      <c r="AI164" s="392">
        <v>0</v>
      </c>
    </row>
    <row r="165" spans="3:35" ht="13.8">
      <c r="C165" s="356" t="s">
        <v>349</v>
      </c>
      <c r="D165" s="357">
        <v>491590384.4664824</v>
      </c>
      <c r="E165" s="358">
        <v>484028602.49118477</v>
      </c>
      <c r="F165" s="359">
        <v>478669721.31</v>
      </c>
      <c r="G165" s="359">
        <v>445540.10884424072</v>
      </c>
      <c r="H165" s="359">
        <v>445540.10884424072</v>
      </c>
      <c r="I165" s="359">
        <v>445540.10884424072</v>
      </c>
      <c r="J165" s="359">
        <v>445540.10884424072</v>
      </c>
      <c r="K165" s="359">
        <v>445540.10884424072</v>
      </c>
      <c r="L165" s="359">
        <v>445540.10884424072</v>
      </c>
      <c r="M165" s="359">
        <v>445540.10884424072</v>
      </c>
      <c r="N165" s="359">
        <v>445540.10884424072</v>
      </c>
      <c r="O165" s="359">
        <v>445540.10884424072</v>
      </c>
      <c r="P165" s="359">
        <v>445540.10884424072</v>
      </c>
      <c r="Q165" s="359">
        <v>445540.10884424072</v>
      </c>
      <c r="R165" s="359">
        <v>445540.10884424072</v>
      </c>
      <c r="S165" s="359">
        <v>445540.10884424072</v>
      </c>
      <c r="T165" s="359">
        <v>445540.10884424072</v>
      </c>
      <c r="U165" s="359">
        <v>445540.10884424072</v>
      </c>
      <c r="V165" s="359">
        <v>445540.10884424072</v>
      </c>
      <c r="W165" s="359">
        <v>445540.10884424072</v>
      </c>
      <c r="X165" s="359">
        <v>445540.10884424072</v>
      </c>
      <c r="Y165" s="359">
        <v>445540.10884424072</v>
      </c>
      <c r="Z165" s="359">
        <v>445540.10884424072</v>
      </c>
      <c r="AA165" s="359">
        <v>445540.10884424072</v>
      </c>
      <c r="AB165" s="359">
        <v>445540.10884424072</v>
      </c>
      <c r="AC165" s="359">
        <v>445540.10884424072</v>
      </c>
      <c r="AD165" s="359">
        <v>445540.10884424072</v>
      </c>
      <c r="AE165" s="359">
        <v>445540.10884424072</v>
      </c>
      <c r="AF165" s="359">
        <v>445540.10884424072</v>
      </c>
      <c r="AG165" s="359">
        <v>445540.10884424072</v>
      </c>
      <c r="AH165" s="359">
        <v>445540.10884424072</v>
      </c>
      <c r="AI165" s="359">
        <v>445540.10884424072</v>
      </c>
    </row>
    <row r="166" spans="3:35" ht="13.8">
      <c r="C166" s="351" t="s">
        <v>350</v>
      </c>
      <c r="D166" s="332">
        <v>50242499.999999993</v>
      </c>
      <c r="E166" s="352">
        <v>20838217.395256788</v>
      </c>
      <c r="F166" s="279">
        <v>0</v>
      </c>
      <c r="G166" s="279">
        <v>1732499.9999999998</v>
      </c>
      <c r="H166" s="279">
        <v>1732499.9999999998</v>
      </c>
      <c r="I166" s="279">
        <v>1732499.9999999998</v>
      </c>
      <c r="J166" s="279">
        <v>1732499.9999999998</v>
      </c>
      <c r="K166" s="279">
        <v>1732499.9999999998</v>
      </c>
      <c r="L166" s="279">
        <v>1732499.9999999998</v>
      </c>
      <c r="M166" s="279">
        <v>1732499.9999999998</v>
      </c>
      <c r="N166" s="279">
        <v>1732499.9999999998</v>
      </c>
      <c r="O166" s="279">
        <v>1732499.9999999998</v>
      </c>
      <c r="P166" s="279">
        <v>1732499.9999999998</v>
      </c>
      <c r="Q166" s="279">
        <v>1732499.9999999998</v>
      </c>
      <c r="R166" s="279">
        <v>1732499.9999999998</v>
      </c>
      <c r="S166" s="279">
        <v>1732499.9999999998</v>
      </c>
      <c r="T166" s="279">
        <v>1732499.9999999998</v>
      </c>
      <c r="U166" s="279">
        <v>1732499.9999999998</v>
      </c>
      <c r="V166" s="279">
        <v>1732499.9999999998</v>
      </c>
      <c r="W166" s="279">
        <v>1732499.9999999998</v>
      </c>
      <c r="X166" s="279">
        <v>1732499.9999999998</v>
      </c>
      <c r="Y166" s="279">
        <v>1732499.9999999998</v>
      </c>
      <c r="Z166" s="279">
        <v>1732499.9999999998</v>
      </c>
      <c r="AA166" s="279">
        <v>1732499.9999999998</v>
      </c>
      <c r="AB166" s="279">
        <v>1732499.9999999998</v>
      </c>
      <c r="AC166" s="279">
        <v>1732499.9999999998</v>
      </c>
      <c r="AD166" s="279">
        <v>1732499.9999999998</v>
      </c>
      <c r="AE166" s="279">
        <v>1732499.9999999998</v>
      </c>
      <c r="AF166" s="279">
        <v>1732499.9999999998</v>
      </c>
      <c r="AG166" s="279">
        <v>1732499.9999999998</v>
      </c>
      <c r="AH166" s="279">
        <v>1732499.9999999998</v>
      </c>
      <c r="AI166" s="279">
        <v>1732499.9999999998</v>
      </c>
    </row>
    <row r="167" spans="3:35" ht="13.8">
      <c r="C167" s="356" t="s">
        <v>351</v>
      </c>
      <c r="D167" s="357">
        <v>50242499.999999993</v>
      </c>
      <c r="E167" s="358">
        <v>20838217.395256788</v>
      </c>
      <c r="F167" s="359">
        <v>0</v>
      </c>
      <c r="G167" s="359">
        <v>1732499.9999999998</v>
      </c>
      <c r="H167" s="359">
        <v>1732499.9999999998</v>
      </c>
      <c r="I167" s="359">
        <v>1732499.9999999998</v>
      </c>
      <c r="J167" s="359">
        <v>1732499.9999999998</v>
      </c>
      <c r="K167" s="359">
        <v>1732499.9999999998</v>
      </c>
      <c r="L167" s="359">
        <v>1732499.9999999998</v>
      </c>
      <c r="M167" s="359">
        <v>1732499.9999999998</v>
      </c>
      <c r="N167" s="359">
        <v>1732499.9999999998</v>
      </c>
      <c r="O167" s="359">
        <v>1732499.9999999998</v>
      </c>
      <c r="P167" s="359">
        <v>1732499.9999999998</v>
      </c>
      <c r="Q167" s="359">
        <v>1732499.9999999998</v>
      </c>
      <c r="R167" s="359">
        <v>1732499.9999999998</v>
      </c>
      <c r="S167" s="359">
        <v>1732499.9999999998</v>
      </c>
      <c r="T167" s="359">
        <v>1732499.9999999998</v>
      </c>
      <c r="U167" s="359">
        <v>1732499.9999999998</v>
      </c>
      <c r="V167" s="359">
        <v>1732499.9999999998</v>
      </c>
      <c r="W167" s="359">
        <v>1732499.9999999998</v>
      </c>
      <c r="X167" s="359">
        <v>1732499.9999999998</v>
      </c>
      <c r="Y167" s="359">
        <v>1732499.9999999998</v>
      </c>
      <c r="Z167" s="359">
        <v>1732499.9999999998</v>
      </c>
      <c r="AA167" s="359">
        <v>1732499.9999999998</v>
      </c>
      <c r="AB167" s="359">
        <v>1732499.9999999998</v>
      </c>
      <c r="AC167" s="359">
        <v>1732499.9999999998</v>
      </c>
      <c r="AD167" s="359">
        <v>1732499.9999999998</v>
      </c>
      <c r="AE167" s="359">
        <v>1732499.9999999998</v>
      </c>
      <c r="AF167" s="359">
        <v>1732499.9999999998</v>
      </c>
      <c r="AG167" s="359">
        <v>1732499.9999999998</v>
      </c>
      <c r="AH167" s="359">
        <v>1732499.9999999998</v>
      </c>
      <c r="AI167" s="359">
        <v>1732499.9999999998</v>
      </c>
    </row>
    <row r="168" spans="3:35" ht="13.8">
      <c r="C168" s="351" t="s">
        <v>352</v>
      </c>
      <c r="D168" s="332">
        <v>132208999.99999999</v>
      </c>
      <c r="E168" s="352">
        <v>17556479.591200311</v>
      </c>
      <c r="F168" s="279">
        <v>0</v>
      </c>
      <c r="G168" s="279">
        <v>0</v>
      </c>
      <c r="H168" s="279">
        <v>0</v>
      </c>
      <c r="I168" s="279">
        <v>0</v>
      </c>
      <c r="J168" s="279">
        <v>0</v>
      </c>
      <c r="K168" s="279">
        <v>0</v>
      </c>
      <c r="L168" s="279">
        <v>0</v>
      </c>
      <c r="M168" s="279">
        <v>0</v>
      </c>
      <c r="N168" s="279">
        <v>0</v>
      </c>
      <c r="O168" s="279">
        <v>0</v>
      </c>
      <c r="P168" s="279">
        <v>0</v>
      </c>
      <c r="Q168" s="279">
        <v>0</v>
      </c>
      <c r="R168" s="279">
        <v>0</v>
      </c>
      <c r="S168" s="279">
        <v>0</v>
      </c>
      <c r="T168" s="279">
        <v>0</v>
      </c>
      <c r="U168" s="279">
        <v>0</v>
      </c>
      <c r="V168" s="279">
        <v>0</v>
      </c>
      <c r="W168" s="279">
        <v>0</v>
      </c>
      <c r="X168" s="279">
        <v>0</v>
      </c>
      <c r="Y168" s="279">
        <v>0</v>
      </c>
      <c r="Z168" s="279">
        <v>0</v>
      </c>
      <c r="AA168" s="279">
        <v>0</v>
      </c>
      <c r="AB168" s="279">
        <v>0</v>
      </c>
      <c r="AC168" s="279">
        <v>0</v>
      </c>
      <c r="AD168" s="279">
        <v>0</v>
      </c>
      <c r="AE168" s="279">
        <v>0</v>
      </c>
      <c r="AF168" s="279">
        <v>0</v>
      </c>
      <c r="AG168" s="279">
        <v>0</v>
      </c>
      <c r="AH168" s="279">
        <v>0</v>
      </c>
      <c r="AI168" s="279">
        <v>132208999.99999999</v>
      </c>
    </row>
    <row r="169" spans="3:35" ht="13.8">
      <c r="C169" s="356" t="s">
        <v>353</v>
      </c>
      <c r="D169" s="357">
        <v>-309138884.4664824</v>
      </c>
      <c r="E169" s="358">
        <v>-445633905.50472772</v>
      </c>
      <c r="F169" s="359">
        <v>-478669721.31</v>
      </c>
      <c r="G169" s="359">
        <v>1286959.8911557591</v>
      </c>
      <c r="H169" s="359">
        <v>1286959.8911557591</v>
      </c>
      <c r="I169" s="359">
        <v>1286959.8911557591</v>
      </c>
      <c r="J169" s="359">
        <v>1286959.8911557591</v>
      </c>
      <c r="K169" s="359">
        <v>1286959.8911557591</v>
      </c>
      <c r="L169" s="359">
        <v>1286959.8911557591</v>
      </c>
      <c r="M169" s="359">
        <v>1286959.8911557591</v>
      </c>
      <c r="N169" s="359">
        <v>1286959.8911557591</v>
      </c>
      <c r="O169" s="359">
        <v>1286959.8911557591</v>
      </c>
      <c r="P169" s="359">
        <v>1286959.8911557591</v>
      </c>
      <c r="Q169" s="359">
        <v>1286959.8911557591</v>
      </c>
      <c r="R169" s="359">
        <v>1286959.8911557591</v>
      </c>
      <c r="S169" s="359">
        <v>1286959.8911557591</v>
      </c>
      <c r="T169" s="359">
        <v>1286959.8911557591</v>
      </c>
      <c r="U169" s="359">
        <v>1286959.8911557591</v>
      </c>
      <c r="V169" s="359">
        <v>1286959.8911557591</v>
      </c>
      <c r="W169" s="359">
        <v>1286959.8911557591</v>
      </c>
      <c r="X169" s="359">
        <v>1286959.8911557591</v>
      </c>
      <c r="Y169" s="359">
        <v>1286959.8911557591</v>
      </c>
      <c r="Z169" s="359">
        <v>1286959.8911557591</v>
      </c>
      <c r="AA169" s="359">
        <v>1286959.8911557591</v>
      </c>
      <c r="AB169" s="359">
        <v>1286959.8911557591</v>
      </c>
      <c r="AC169" s="359">
        <v>1286959.8911557591</v>
      </c>
      <c r="AD169" s="359">
        <v>1286959.8911557591</v>
      </c>
      <c r="AE169" s="359">
        <v>1286959.8911557591</v>
      </c>
      <c r="AF169" s="359">
        <v>1286959.8911557591</v>
      </c>
      <c r="AG169" s="359">
        <v>1286959.8911557591</v>
      </c>
      <c r="AH169" s="359">
        <v>1286959.8911557591</v>
      </c>
      <c r="AI169" s="359">
        <v>133495959.89115575</v>
      </c>
    </row>
    <row r="170" spans="3:35" ht="13.8">
      <c r="C170" s="351" t="s">
        <v>354</v>
      </c>
      <c r="D170" s="356">
        <v>-445633905.50472772</v>
      </c>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c r="AB170" s="157"/>
      <c r="AC170" s="157"/>
      <c r="AD170" s="157"/>
      <c r="AE170" s="157"/>
      <c r="AF170" s="157"/>
      <c r="AG170" s="157"/>
      <c r="AH170" s="157"/>
      <c r="AI170" s="157"/>
    </row>
    <row r="171" spans="3:35" ht="13.8">
      <c r="C171" s="351" t="s">
        <v>355</v>
      </c>
      <c r="D171" s="360">
        <v>-3.8129711713168257E-2</v>
      </c>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7"/>
      <c r="AF171" s="157"/>
      <c r="AG171" s="157"/>
      <c r="AH171" s="157"/>
      <c r="AI171" s="157"/>
    </row>
    <row r="172" spans="3:35" ht="13.8"/>
    <row r="173" spans="3:35" ht="13.8"/>
    <row r="174" spans="3:35" ht="13.8">
      <c r="C174" s="434" t="s">
        <v>453</v>
      </c>
      <c r="D174" s="435"/>
      <c r="E174" s="435"/>
      <c r="F174" s="435"/>
      <c r="G174" s="435"/>
      <c r="H174" s="435"/>
      <c r="I174" s="435"/>
      <c r="J174" s="435"/>
      <c r="K174" s="435"/>
      <c r="L174" s="435"/>
      <c r="M174" s="435"/>
      <c r="N174" s="435"/>
      <c r="O174" s="435"/>
      <c r="P174" s="435"/>
      <c r="Q174" s="435"/>
      <c r="R174" s="435"/>
      <c r="S174" s="435"/>
      <c r="T174" s="435"/>
      <c r="U174" s="435"/>
      <c r="V174" s="435"/>
      <c r="W174" s="435"/>
      <c r="X174" s="435"/>
      <c r="Y174" s="435"/>
      <c r="Z174" s="435"/>
      <c r="AA174" s="435"/>
      <c r="AB174" s="435"/>
      <c r="AC174" s="435"/>
      <c r="AD174" s="435"/>
      <c r="AE174" s="435"/>
      <c r="AF174" s="435"/>
      <c r="AG174" s="435"/>
      <c r="AH174" s="435"/>
      <c r="AI174" s="435"/>
    </row>
    <row r="175" spans="3:35" ht="13.8"/>
    <row r="176" spans="3:35" ht="13.8">
      <c r="C176" s="348" t="s">
        <v>433</v>
      </c>
      <c r="D176" s="348" t="s">
        <v>288</v>
      </c>
      <c r="E176" s="348" t="s">
        <v>403</v>
      </c>
      <c r="F176" s="390">
        <v>2025</v>
      </c>
      <c r="G176" s="390">
        <v>2026</v>
      </c>
      <c r="H176" s="390">
        <v>2027</v>
      </c>
      <c r="I176" s="390">
        <v>2028</v>
      </c>
      <c r="J176" s="390">
        <v>2029</v>
      </c>
      <c r="K176" s="390">
        <v>2030</v>
      </c>
      <c r="L176" s="390">
        <v>2031</v>
      </c>
      <c r="M176" s="390">
        <v>2032</v>
      </c>
      <c r="N176" s="390">
        <v>2033</v>
      </c>
      <c r="O176" s="390">
        <v>2034</v>
      </c>
      <c r="P176" s="390">
        <v>2035</v>
      </c>
      <c r="Q176" s="390">
        <v>2036</v>
      </c>
      <c r="R176" s="390">
        <v>2037</v>
      </c>
      <c r="S176" s="390">
        <v>2038</v>
      </c>
      <c r="T176" s="390">
        <v>2039</v>
      </c>
      <c r="U176" s="390">
        <v>2040</v>
      </c>
      <c r="V176" s="390">
        <v>2041</v>
      </c>
      <c r="W176" s="390">
        <v>2042</v>
      </c>
      <c r="X176" s="390">
        <v>2043</v>
      </c>
      <c r="Y176" s="390">
        <v>2044</v>
      </c>
      <c r="Z176" s="390">
        <v>2045</v>
      </c>
      <c r="AA176" s="390">
        <v>2046</v>
      </c>
      <c r="AB176" s="390">
        <v>2047</v>
      </c>
      <c r="AC176" s="390">
        <v>2048</v>
      </c>
      <c r="AD176" s="390">
        <v>2049</v>
      </c>
      <c r="AE176" s="390">
        <v>2050</v>
      </c>
      <c r="AF176" s="390">
        <v>2051</v>
      </c>
      <c r="AG176" s="390">
        <v>2052</v>
      </c>
      <c r="AH176" s="390">
        <v>2053</v>
      </c>
      <c r="AI176" s="390">
        <v>2054</v>
      </c>
    </row>
    <row r="177" spans="3:35" ht="13.8">
      <c r="C177" s="331" t="s">
        <v>434</v>
      </c>
      <c r="D177" s="332">
        <v>358083000</v>
      </c>
      <c r="E177" s="352">
        <v>358083000</v>
      </c>
      <c r="F177" s="279">
        <v>358083000</v>
      </c>
      <c r="G177" s="279">
        <v>0</v>
      </c>
      <c r="H177" s="279">
        <v>0</v>
      </c>
      <c r="I177" s="279">
        <v>0</v>
      </c>
      <c r="J177" s="279">
        <v>0</v>
      </c>
      <c r="K177" s="279">
        <v>0</v>
      </c>
      <c r="L177" s="279">
        <v>0</v>
      </c>
      <c r="M177" s="279">
        <v>0</v>
      </c>
      <c r="N177" s="279">
        <v>0</v>
      </c>
      <c r="O177" s="279">
        <v>0</v>
      </c>
      <c r="P177" s="279">
        <v>0</v>
      </c>
      <c r="Q177" s="279">
        <v>0</v>
      </c>
      <c r="R177" s="279">
        <v>0</v>
      </c>
      <c r="S177" s="279">
        <v>0</v>
      </c>
      <c r="T177" s="279">
        <v>0</v>
      </c>
      <c r="U177" s="279">
        <v>0</v>
      </c>
      <c r="V177" s="279">
        <v>0</v>
      </c>
      <c r="W177" s="279">
        <v>0</v>
      </c>
      <c r="X177" s="279">
        <v>0</v>
      </c>
      <c r="Y177" s="279">
        <v>0</v>
      </c>
      <c r="Z177" s="279">
        <v>0</v>
      </c>
      <c r="AA177" s="279">
        <v>0</v>
      </c>
      <c r="AB177" s="279">
        <v>0</v>
      </c>
      <c r="AC177" s="279">
        <v>0</v>
      </c>
      <c r="AD177" s="279">
        <v>0</v>
      </c>
      <c r="AE177" s="279">
        <v>0</v>
      </c>
      <c r="AF177" s="279">
        <v>0</v>
      </c>
      <c r="AG177" s="279">
        <v>0</v>
      </c>
      <c r="AH177" s="279">
        <v>0</v>
      </c>
      <c r="AI177" s="279">
        <v>0</v>
      </c>
    </row>
    <row r="178" spans="3:35" ht="13.8">
      <c r="C178" s="331" t="s">
        <v>419</v>
      </c>
      <c r="D178" s="332">
        <v>12920663.156482989</v>
      </c>
      <c r="E178" s="332">
        <v>8549226.1465608124</v>
      </c>
      <c r="F178" s="279">
        <v>0</v>
      </c>
      <c r="G178" s="279">
        <v>445540.10884424072</v>
      </c>
      <c r="H178" s="279">
        <v>445540.10884424072</v>
      </c>
      <c r="I178" s="279">
        <v>445540.10884424072</v>
      </c>
      <c r="J178" s="279">
        <v>445540.10884424072</v>
      </c>
      <c r="K178" s="279">
        <v>445540.10884424072</v>
      </c>
      <c r="L178" s="279">
        <v>445540.10884424072</v>
      </c>
      <c r="M178" s="279">
        <v>445540.10884424072</v>
      </c>
      <c r="N178" s="279">
        <v>445540.10884424072</v>
      </c>
      <c r="O178" s="279">
        <v>445540.10884424072</v>
      </c>
      <c r="P178" s="279">
        <v>445540.10884424072</v>
      </c>
      <c r="Q178" s="279">
        <v>445540.10884424072</v>
      </c>
      <c r="R178" s="279">
        <v>445540.10884424072</v>
      </c>
      <c r="S178" s="279">
        <v>445540.10884424072</v>
      </c>
      <c r="T178" s="279">
        <v>445540.10884424072</v>
      </c>
      <c r="U178" s="279">
        <v>445540.10884424072</v>
      </c>
      <c r="V178" s="279">
        <v>445540.10884424072</v>
      </c>
      <c r="W178" s="279">
        <v>445540.10884424072</v>
      </c>
      <c r="X178" s="279">
        <v>445540.10884424072</v>
      </c>
      <c r="Y178" s="279">
        <v>445540.10884424072</v>
      </c>
      <c r="Z178" s="279">
        <v>445540.10884424072</v>
      </c>
      <c r="AA178" s="279">
        <v>445540.10884424072</v>
      </c>
      <c r="AB178" s="279">
        <v>445540.10884424072</v>
      </c>
      <c r="AC178" s="279">
        <v>445540.10884424072</v>
      </c>
      <c r="AD178" s="279">
        <v>445540.10884424072</v>
      </c>
      <c r="AE178" s="279">
        <v>445540.10884424072</v>
      </c>
      <c r="AF178" s="279">
        <v>445540.10884424072</v>
      </c>
      <c r="AG178" s="279">
        <v>445540.10884424072</v>
      </c>
      <c r="AH178" s="279">
        <v>445540.10884424072</v>
      </c>
      <c r="AI178" s="279">
        <v>445540.10884424072</v>
      </c>
    </row>
    <row r="179" spans="3:35" ht="29.25" customHeight="1">
      <c r="C179" s="391" t="s">
        <v>420</v>
      </c>
      <c r="D179" s="354">
        <v>12920663.156482989</v>
      </c>
      <c r="E179" s="354">
        <v>8549226.1465608124</v>
      </c>
      <c r="F179" s="392">
        <v>0</v>
      </c>
      <c r="G179" s="392">
        <v>445540.10884424072</v>
      </c>
      <c r="H179" s="392">
        <v>445540.10884424072</v>
      </c>
      <c r="I179" s="392">
        <v>445540.10884424072</v>
      </c>
      <c r="J179" s="392">
        <v>445540.10884424072</v>
      </c>
      <c r="K179" s="392">
        <v>445540.10884424072</v>
      </c>
      <c r="L179" s="392">
        <v>445540.10884424072</v>
      </c>
      <c r="M179" s="392">
        <v>445540.10884424072</v>
      </c>
      <c r="N179" s="392">
        <v>445540.10884424072</v>
      </c>
      <c r="O179" s="392">
        <v>445540.10884424072</v>
      </c>
      <c r="P179" s="392">
        <v>445540.10884424072</v>
      </c>
      <c r="Q179" s="392">
        <v>445540.10884424072</v>
      </c>
      <c r="R179" s="392">
        <v>445540.10884424072</v>
      </c>
      <c r="S179" s="392">
        <v>445540.10884424072</v>
      </c>
      <c r="T179" s="392">
        <v>445540.10884424072</v>
      </c>
      <c r="U179" s="392">
        <v>445540.10884424072</v>
      </c>
      <c r="V179" s="392">
        <v>445540.10884424072</v>
      </c>
      <c r="W179" s="392">
        <v>445540.10884424072</v>
      </c>
      <c r="X179" s="392">
        <v>445540.10884424072</v>
      </c>
      <c r="Y179" s="392">
        <v>445540.10884424072</v>
      </c>
      <c r="Z179" s="392">
        <v>445540.10884424072</v>
      </c>
      <c r="AA179" s="392">
        <v>445540.10884424072</v>
      </c>
      <c r="AB179" s="392">
        <v>445540.10884424072</v>
      </c>
      <c r="AC179" s="392">
        <v>445540.10884424072</v>
      </c>
      <c r="AD179" s="392">
        <v>445540.10884424072</v>
      </c>
      <c r="AE179" s="392">
        <v>445540.10884424072</v>
      </c>
      <c r="AF179" s="392">
        <v>445540.10884424072</v>
      </c>
      <c r="AG179" s="392">
        <v>445540.10884424072</v>
      </c>
      <c r="AH179" s="392">
        <v>445540.10884424072</v>
      </c>
      <c r="AI179" s="392">
        <v>445540.10884424072</v>
      </c>
    </row>
    <row r="180" spans="3:35" ht="14.4">
      <c r="C180" s="391" t="s">
        <v>421</v>
      </c>
      <c r="D180" s="354">
        <v>0</v>
      </c>
      <c r="E180" s="354">
        <v>0</v>
      </c>
      <c r="F180" s="392">
        <v>0</v>
      </c>
      <c r="G180" s="392">
        <v>0</v>
      </c>
      <c r="H180" s="392">
        <v>0</v>
      </c>
      <c r="I180" s="392">
        <v>0</v>
      </c>
      <c r="J180" s="392">
        <v>0</v>
      </c>
      <c r="K180" s="392">
        <v>0</v>
      </c>
      <c r="L180" s="392">
        <v>0</v>
      </c>
      <c r="M180" s="392">
        <v>0</v>
      </c>
      <c r="N180" s="392">
        <v>0</v>
      </c>
      <c r="O180" s="392">
        <v>0</v>
      </c>
      <c r="P180" s="392">
        <v>0</v>
      </c>
      <c r="Q180" s="392">
        <v>0</v>
      </c>
      <c r="R180" s="392">
        <v>0</v>
      </c>
      <c r="S180" s="392">
        <v>0</v>
      </c>
      <c r="T180" s="392">
        <v>0</v>
      </c>
      <c r="U180" s="392">
        <v>0</v>
      </c>
      <c r="V180" s="392">
        <v>0</v>
      </c>
      <c r="W180" s="392">
        <v>0</v>
      </c>
      <c r="X180" s="392">
        <v>0</v>
      </c>
      <c r="Y180" s="392">
        <v>0</v>
      </c>
      <c r="Z180" s="392">
        <v>0</v>
      </c>
      <c r="AA180" s="392">
        <v>0</v>
      </c>
      <c r="AB180" s="392">
        <v>0</v>
      </c>
      <c r="AC180" s="392">
        <v>0</v>
      </c>
      <c r="AD180" s="392">
        <v>0</v>
      </c>
      <c r="AE180" s="392">
        <v>0</v>
      </c>
      <c r="AF180" s="392">
        <v>0</v>
      </c>
      <c r="AG180" s="392">
        <v>0</v>
      </c>
      <c r="AH180" s="392">
        <v>0</v>
      </c>
      <c r="AI180" s="392">
        <v>0</v>
      </c>
    </row>
    <row r="181" spans="3:35" ht="13.8">
      <c r="C181" s="331" t="s">
        <v>405</v>
      </c>
      <c r="D181" s="332">
        <v>129590999.99999997</v>
      </c>
      <c r="E181" s="332">
        <v>54991469.436998576</v>
      </c>
      <c r="F181" s="279">
        <v>0</v>
      </c>
      <c r="G181" s="279">
        <v>0</v>
      </c>
      <c r="H181" s="279">
        <v>0</v>
      </c>
      <c r="I181" s="279">
        <v>0</v>
      </c>
      <c r="J181" s="279">
        <v>0</v>
      </c>
      <c r="K181" s="279">
        <v>0</v>
      </c>
      <c r="L181" s="279">
        <v>0</v>
      </c>
      <c r="M181" s="279">
        <v>0</v>
      </c>
      <c r="N181" s="279">
        <v>0</v>
      </c>
      <c r="O181" s="279">
        <v>0</v>
      </c>
      <c r="P181" s="279">
        <v>0</v>
      </c>
      <c r="Q181" s="279">
        <v>0</v>
      </c>
      <c r="R181" s="279">
        <v>0</v>
      </c>
      <c r="S181" s="279">
        <v>0</v>
      </c>
      <c r="T181" s="279">
        <v>0</v>
      </c>
      <c r="U181" s="279">
        <v>0</v>
      </c>
      <c r="V181" s="279">
        <v>0</v>
      </c>
      <c r="W181" s="279">
        <v>0</v>
      </c>
      <c r="X181" s="279">
        <v>0</v>
      </c>
      <c r="Y181" s="279">
        <v>0</v>
      </c>
      <c r="Z181" s="279">
        <v>0</v>
      </c>
      <c r="AA181" s="279">
        <v>0</v>
      </c>
      <c r="AB181" s="279">
        <v>0</v>
      </c>
      <c r="AC181" s="279">
        <v>0</v>
      </c>
      <c r="AD181" s="279">
        <v>0</v>
      </c>
      <c r="AE181" s="279">
        <v>0</v>
      </c>
      <c r="AF181" s="279">
        <v>0</v>
      </c>
      <c r="AG181" s="279">
        <v>0</v>
      </c>
      <c r="AH181" s="279">
        <v>0</v>
      </c>
      <c r="AI181" s="279">
        <v>129590999.99999997</v>
      </c>
    </row>
    <row r="182" spans="3:35" ht="13.8">
      <c r="C182" s="335" t="s">
        <v>435</v>
      </c>
      <c r="D182" s="357">
        <v>241412663.15648246</v>
      </c>
      <c r="E182" s="357">
        <v>311640756.70956224</v>
      </c>
      <c r="F182" s="359">
        <v>358083000</v>
      </c>
      <c r="G182" s="359">
        <v>445540.10884424072</v>
      </c>
      <c r="H182" s="359">
        <v>445540.10884424072</v>
      </c>
      <c r="I182" s="359">
        <v>445540.10884424072</v>
      </c>
      <c r="J182" s="359">
        <v>445540.10884424072</v>
      </c>
      <c r="K182" s="359">
        <v>445540.10884424072</v>
      </c>
      <c r="L182" s="359">
        <v>445540.10884424072</v>
      </c>
      <c r="M182" s="359">
        <v>445540.10884424072</v>
      </c>
      <c r="N182" s="359">
        <v>445540.10884424072</v>
      </c>
      <c r="O182" s="359">
        <v>445540.10884424072</v>
      </c>
      <c r="P182" s="359">
        <v>445540.10884424072</v>
      </c>
      <c r="Q182" s="359">
        <v>445540.10884424072</v>
      </c>
      <c r="R182" s="359">
        <v>445540.10884424072</v>
      </c>
      <c r="S182" s="359">
        <v>445540.10884424072</v>
      </c>
      <c r="T182" s="359">
        <v>445540.10884424072</v>
      </c>
      <c r="U182" s="359">
        <v>445540.10884424072</v>
      </c>
      <c r="V182" s="359">
        <v>445540.10884424072</v>
      </c>
      <c r="W182" s="359">
        <v>445540.10884424072</v>
      </c>
      <c r="X182" s="359">
        <v>445540.10884424072</v>
      </c>
      <c r="Y182" s="359">
        <v>445540.10884424072</v>
      </c>
      <c r="Z182" s="359">
        <v>445540.10884424072</v>
      </c>
      <c r="AA182" s="359">
        <v>445540.10884424072</v>
      </c>
      <c r="AB182" s="359">
        <v>445540.10884424072</v>
      </c>
      <c r="AC182" s="359">
        <v>445540.10884424072</v>
      </c>
      <c r="AD182" s="359">
        <v>445540.10884424072</v>
      </c>
      <c r="AE182" s="359">
        <v>445540.10884424072</v>
      </c>
      <c r="AF182" s="359">
        <v>445540.10884424072</v>
      </c>
      <c r="AG182" s="359">
        <v>445540.10884424072</v>
      </c>
      <c r="AH182" s="359">
        <v>445540.10884424072</v>
      </c>
      <c r="AI182" s="359">
        <v>-129145459.89115573</v>
      </c>
    </row>
    <row r="183" spans="3:35" ht="13.8">
      <c r="C183" s="331" t="s">
        <v>425</v>
      </c>
      <c r="D183" s="332">
        <v>114840000</v>
      </c>
      <c r="E183" s="332">
        <v>75986280.176217303</v>
      </c>
      <c r="F183" s="279">
        <v>0</v>
      </c>
      <c r="G183" s="279">
        <v>3960000</v>
      </c>
      <c r="H183" s="279">
        <v>3960000</v>
      </c>
      <c r="I183" s="279">
        <v>3960000</v>
      </c>
      <c r="J183" s="279">
        <v>3960000</v>
      </c>
      <c r="K183" s="279">
        <v>3960000</v>
      </c>
      <c r="L183" s="279">
        <v>3960000</v>
      </c>
      <c r="M183" s="279">
        <v>3960000</v>
      </c>
      <c r="N183" s="279">
        <v>3960000</v>
      </c>
      <c r="O183" s="279">
        <v>3960000</v>
      </c>
      <c r="P183" s="279">
        <v>3960000</v>
      </c>
      <c r="Q183" s="279">
        <v>3960000</v>
      </c>
      <c r="R183" s="279">
        <v>3960000</v>
      </c>
      <c r="S183" s="279">
        <v>3960000</v>
      </c>
      <c r="T183" s="279">
        <v>3960000</v>
      </c>
      <c r="U183" s="279">
        <v>3960000</v>
      </c>
      <c r="V183" s="279">
        <v>3960000</v>
      </c>
      <c r="W183" s="279">
        <v>3960000</v>
      </c>
      <c r="X183" s="279">
        <v>3960000</v>
      </c>
      <c r="Y183" s="279">
        <v>3960000</v>
      </c>
      <c r="Z183" s="279">
        <v>3960000</v>
      </c>
      <c r="AA183" s="279">
        <v>3960000</v>
      </c>
      <c r="AB183" s="279">
        <v>3960000</v>
      </c>
      <c r="AC183" s="279">
        <v>3960000</v>
      </c>
      <c r="AD183" s="279">
        <v>3960000</v>
      </c>
      <c r="AE183" s="279">
        <v>3960000</v>
      </c>
      <c r="AF183" s="279">
        <v>3960000</v>
      </c>
      <c r="AG183" s="279">
        <v>3960000</v>
      </c>
      <c r="AH183" s="279">
        <v>3960000</v>
      </c>
      <c r="AI183" s="279">
        <v>3960000</v>
      </c>
    </row>
    <row r="184" spans="3:35" ht="13.8">
      <c r="C184" s="331" t="s">
        <v>427</v>
      </c>
      <c r="D184" s="332">
        <v>527220000</v>
      </c>
      <c r="E184" s="332">
        <v>348846104.4453612</v>
      </c>
      <c r="F184" s="279">
        <v>0</v>
      </c>
      <c r="G184" s="279">
        <v>18180000</v>
      </c>
      <c r="H184" s="279">
        <v>18180000</v>
      </c>
      <c r="I184" s="279">
        <v>18180000</v>
      </c>
      <c r="J184" s="279">
        <v>18180000</v>
      </c>
      <c r="K184" s="279">
        <v>18180000</v>
      </c>
      <c r="L184" s="279">
        <v>18180000</v>
      </c>
      <c r="M184" s="279">
        <v>18180000</v>
      </c>
      <c r="N184" s="279">
        <v>18180000</v>
      </c>
      <c r="O184" s="279">
        <v>18180000</v>
      </c>
      <c r="P184" s="279">
        <v>18180000</v>
      </c>
      <c r="Q184" s="279">
        <v>18180000</v>
      </c>
      <c r="R184" s="279">
        <v>18180000</v>
      </c>
      <c r="S184" s="279">
        <v>18180000</v>
      </c>
      <c r="T184" s="279">
        <v>18180000</v>
      </c>
      <c r="U184" s="279">
        <v>18180000</v>
      </c>
      <c r="V184" s="279">
        <v>18180000</v>
      </c>
      <c r="W184" s="279">
        <v>18180000</v>
      </c>
      <c r="X184" s="279">
        <v>18180000</v>
      </c>
      <c r="Y184" s="279">
        <v>18180000</v>
      </c>
      <c r="Z184" s="279">
        <v>18180000</v>
      </c>
      <c r="AA184" s="279">
        <v>18180000</v>
      </c>
      <c r="AB184" s="279">
        <v>18180000</v>
      </c>
      <c r="AC184" s="279">
        <v>18180000</v>
      </c>
      <c r="AD184" s="279">
        <v>18180000</v>
      </c>
      <c r="AE184" s="279">
        <v>18180000</v>
      </c>
      <c r="AF184" s="279">
        <v>18180000</v>
      </c>
      <c r="AG184" s="279">
        <v>18180000</v>
      </c>
      <c r="AH184" s="279">
        <v>18180000</v>
      </c>
      <c r="AI184" s="279">
        <v>18180000</v>
      </c>
    </row>
    <row r="185" spans="3:35" ht="13.8">
      <c r="C185" s="331" t="s">
        <v>431</v>
      </c>
      <c r="D185" s="332">
        <v>0</v>
      </c>
      <c r="E185" s="332">
        <v>0</v>
      </c>
      <c r="F185" s="279">
        <v>0</v>
      </c>
      <c r="G185" s="279">
        <v>0</v>
      </c>
      <c r="H185" s="279">
        <v>0</v>
      </c>
      <c r="I185" s="279">
        <v>0</v>
      </c>
      <c r="J185" s="279">
        <v>0</v>
      </c>
      <c r="K185" s="279">
        <v>0</v>
      </c>
      <c r="L185" s="279">
        <v>0</v>
      </c>
      <c r="M185" s="279">
        <v>0</v>
      </c>
      <c r="N185" s="279">
        <v>0</v>
      </c>
      <c r="O185" s="279">
        <v>0</v>
      </c>
      <c r="P185" s="279">
        <v>0</v>
      </c>
      <c r="Q185" s="279">
        <v>0</v>
      </c>
      <c r="R185" s="279">
        <v>0</v>
      </c>
      <c r="S185" s="279">
        <v>0</v>
      </c>
      <c r="T185" s="279">
        <v>0</v>
      </c>
      <c r="U185" s="279">
        <v>0</v>
      </c>
      <c r="V185" s="279">
        <v>0</v>
      </c>
      <c r="W185" s="279">
        <v>0</v>
      </c>
      <c r="X185" s="279">
        <v>0</v>
      </c>
      <c r="Y185" s="279">
        <v>0</v>
      </c>
      <c r="Z185" s="279">
        <v>0</v>
      </c>
      <c r="AA185" s="279">
        <v>0</v>
      </c>
      <c r="AB185" s="279">
        <v>0</v>
      </c>
      <c r="AC185" s="279">
        <v>0</v>
      </c>
      <c r="AD185" s="279">
        <v>0</v>
      </c>
      <c r="AE185" s="279">
        <v>0</v>
      </c>
      <c r="AF185" s="279">
        <v>0</v>
      </c>
      <c r="AG185" s="279">
        <v>0</v>
      </c>
      <c r="AH185" s="279">
        <v>0</v>
      </c>
      <c r="AI185" s="279">
        <v>0</v>
      </c>
    </row>
    <row r="186" spans="3:35" ht="13.8">
      <c r="C186" s="335" t="s">
        <v>436</v>
      </c>
      <c r="D186" s="357">
        <v>642060000</v>
      </c>
      <c r="E186" s="357">
        <v>424832384.62157845</v>
      </c>
      <c r="F186" s="359">
        <v>0</v>
      </c>
      <c r="G186" s="359">
        <v>22140000</v>
      </c>
      <c r="H186" s="359">
        <v>22140000</v>
      </c>
      <c r="I186" s="359">
        <v>22140000</v>
      </c>
      <c r="J186" s="359">
        <v>22140000</v>
      </c>
      <c r="K186" s="359">
        <v>22140000</v>
      </c>
      <c r="L186" s="359">
        <v>22140000</v>
      </c>
      <c r="M186" s="359">
        <v>22140000</v>
      </c>
      <c r="N186" s="359">
        <v>22140000</v>
      </c>
      <c r="O186" s="359">
        <v>22140000</v>
      </c>
      <c r="P186" s="359">
        <v>22140000</v>
      </c>
      <c r="Q186" s="359">
        <v>22140000</v>
      </c>
      <c r="R186" s="359">
        <v>22140000</v>
      </c>
      <c r="S186" s="359">
        <v>22140000</v>
      </c>
      <c r="T186" s="359">
        <v>22140000</v>
      </c>
      <c r="U186" s="359">
        <v>22140000</v>
      </c>
      <c r="V186" s="359">
        <v>22140000</v>
      </c>
      <c r="W186" s="359">
        <v>22140000</v>
      </c>
      <c r="X186" s="359">
        <v>22140000</v>
      </c>
      <c r="Y186" s="359">
        <v>22140000</v>
      </c>
      <c r="Z186" s="359">
        <v>22140000</v>
      </c>
      <c r="AA186" s="359">
        <v>22140000</v>
      </c>
      <c r="AB186" s="359">
        <v>22140000</v>
      </c>
      <c r="AC186" s="359">
        <v>22140000</v>
      </c>
      <c r="AD186" s="359">
        <v>22140000</v>
      </c>
      <c r="AE186" s="359">
        <v>22140000</v>
      </c>
      <c r="AF186" s="359">
        <v>22140000</v>
      </c>
      <c r="AG186" s="359">
        <v>22140000</v>
      </c>
      <c r="AH186" s="359">
        <v>22140000</v>
      </c>
      <c r="AI186" s="359">
        <v>22140000</v>
      </c>
    </row>
    <row r="187" spans="3:35" ht="13.8">
      <c r="C187" s="335" t="s">
        <v>437</v>
      </c>
      <c r="D187" s="357">
        <v>400647336.84351701</v>
      </c>
      <c r="E187" s="357">
        <v>113191627.91201627</v>
      </c>
      <c r="F187" s="359">
        <v>-358083000</v>
      </c>
      <c r="G187" s="359">
        <v>21694459.891155761</v>
      </c>
      <c r="H187" s="359">
        <v>21694459.891155761</v>
      </c>
      <c r="I187" s="359">
        <v>21694459.891155761</v>
      </c>
      <c r="J187" s="359">
        <v>21694459.891155761</v>
      </c>
      <c r="K187" s="359">
        <v>21694459.891155761</v>
      </c>
      <c r="L187" s="359">
        <v>21694459.891155761</v>
      </c>
      <c r="M187" s="359">
        <v>21694459.891155761</v>
      </c>
      <c r="N187" s="359">
        <v>21694459.891155761</v>
      </c>
      <c r="O187" s="359">
        <v>21694459.891155761</v>
      </c>
      <c r="P187" s="359">
        <v>21694459.891155761</v>
      </c>
      <c r="Q187" s="359">
        <v>21694459.891155761</v>
      </c>
      <c r="R187" s="359">
        <v>21694459.891155761</v>
      </c>
      <c r="S187" s="359">
        <v>21694459.891155761</v>
      </c>
      <c r="T187" s="359">
        <v>21694459.891155761</v>
      </c>
      <c r="U187" s="359">
        <v>21694459.891155761</v>
      </c>
      <c r="V187" s="359">
        <v>21694459.891155761</v>
      </c>
      <c r="W187" s="359">
        <v>21694459.891155761</v>
      </c>
      <c r="X187" s="359">
        <v>21694459.891155761</v>
      </c>
      <c r="Y187" s="359">
        <v>21694459.891155761</v>
      </c>
      <c r="Z187" s="359">
        <v>21694459.891155761</v>
      </c>
      <c r="AA187" s="359">
        <v>21694459.891155761</v>
      </c>
      <c r="AB187" s="359">
        <v>21694459.891155761</v>
      </c>
      <c r="AC187" s="359">
        <v>21694459.891155761</v>
      </c>
      <c r="AD187" s="359">
        <v>21694459.891155761</v>
      </c>
      <c r="AE187" s="359">
        <v>21694459.891155761</v>
      </c>
      <c r="AF187" s="359">
        <v>21694459.891155761</v>
      </c>
      <c r="AG187" s="359">
        <v>21694459.891155761</v>
      </c>
      <c r="AH187" s="359">
        <v>21694459.891155761</v>
      </c>
      <c r="AI187" s="359">
        <v>151285459.89115572</v>
      </c>
    </row>
    <row r="188" spans="3:35" ht="13.8">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c r="AB188" s="157"/>
      <c r="AC188" s="157"/>
      <c r="AD188" s="157"/>
      <c r="AE188" s="157"/>
      <c r="AF188" s="157"/>
      <c r="AG188" s="157"/>
      <c r="AH188" s="157"/>
      <c r="AI188" s="157"/>
    </row>
    <row r="189" spans="3:35" ht="30" customHeight="1">
      <c r="C189" s="348" t="s">
        <v>438</v>
      </c>
      <c r="D189" s="347" t="s">
        <v>439</v>
      </c>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c r="AB189" s="157"/>
      <c r="AC189" s="157"/>
      <c r="AD189" s="157"/>
      <c r="AE189" s="157"/>
      <c r="AF189" s="157"/>
      <c r="AG189" s="157"/>
      <c r="AH189" s="157"/>
      <c r="AI189" s="157"/>
    </row>
    <row r="190" spans="3:35" ht="13.8">
      <c r="C190" s="331" t="s">
        <v>440</v>
      </c>
      <c r="D190" s="332">
        <v>113191627.91201627</v>
      </c>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157"/>
      <c r="AH190" s="157"/>
      <c r="AI190" s="157"/>
    </row>
    <row r="191" spans="3:35" ht="29.25" customHeight="1">
      <c r="C191" s="331" t="s">
        <v>441</v>
      </c>
      <c r="D191" s="393">
        <v>5.0416473329001787E-2</v>
      </c>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c r="AB191" s="157"/>
      <c r="AC191" s="157"/>
      <c r="AD191" s="157"/>
      <c r="AE191" s="157"/>
      <c r="AF191" s="157"/>
      <c r="AG191" s="157"/>
      <c r="AH191" s="157"/>
      <c r="AI191" s="157"/>
    </row>
    <row r="192" spans="3:35" ht="13.8">
      <c r="C192" s="331" t="s">
        <v>442</v>
      </c>
      <c r="D192" s="394">
        <v>1.3632118889298765</v>
      </c>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c r="AB192" s="157"/>
      <c r="AC192" s="157"/>
      <c r="AD192" s="157"/>
      <c r="AE192" s="157"/>
      <c r="AF192" s="157"/>
      <c r="AG192" s="157"/>
      <c r="AH192" s="157"/>
      <c r="AI192" s="157"/>
    </row>
  </sheetData>
  <conditionalFormatting sqref="F4:AI4">
    <cfRule type="expression" dxfId="219" priority="34">
      <formula>NOT(ISBLANK(F$4))</formula>
    </cfRule>
  </conditionalFormatting>
  <conditionalFormatting sqref="F5:AI13">
    <cfRule type="expression" dxfId="218" priority="33">
      <formula>NOT(ISBLANK(F$4))</formula>
    </cfRule>
  </conditionalFormatting>
  <conditionalFormatting sqref="F44:AI44">
    <cfRule type="expression" dxfId="217" priority="32">
      <formula>NOT(ISBLANK(F$45))</formula>
    </cfRule>
  </conditionalFormatting>
  <conditionalFormatting sqref="F45:AI55">
    <cfRule type="expression" dxfId="216" priority="31">
      <formula>NOT(ISBLANK(F$45))</formula>
    </cfRule>
  </conditionalFormatting>
  <conditionalFormatting sqref="F121:AI121">
    <cfRule type="expression" dxfId="215" priority="17">
      <formula>NOT(ISBLANK(F$143))</formula>
    </cfRule>
  </conditionalFormatting>
  <conditionalFormatting sqref="F122:AI130">
    <cfRule type="expression" dxfId="214" priority="13">
      <formula>NOT(ISBLANK(F$143))</formula>
    </cfRule>
  </conditionalFormatting>
  <conditionalFormatting sqref="F137:AI137">
    <cfRule type="expression" dxfId="213" priority="30">
      <formula>NOT(ISBLANK(F$51))</formula>
    </cfRule>
  </conditionalFormatting>
  <conditionalFormatting sqref="F138:AI142">
    <cfRule type="expression" dxfId="212" priority="8">
      <formula>NOT(ISBLANK(F$51))</formula>
    </cfRule>
  </conditionalFormatting>
  <conditionalFormatting sqref="F143:AI143">
    <cfRule type="expression" dxfId="211" priority="11">
      <formula>NOT(ISBLANK(F$45))</formula>
    </cfRule>
  </conditionalFormatting>
  <conditionalFormatting sqref="F144:AI148">
    <cfRule type="expression" dxfId="210" priority="7">
      <formula>NOT(ISBLANK(F$51))</formula>
    </cfRule>
  </conditionalFormatting>
  <conditionalFormatting sqref="F160:AI160">
    <cfRule type="expression" dxfId="209" priority="15">
      <formula>NOT(ISBLANK(F$143))</formula>
    </cfRule>
  </conditionalFormatting>
  <conditionalFormatting sqref="F161:AI169">
    <cfRule type="expression" dxfId="208" priority="6">
      <formula>NOT(ISBLANK(F$143))</formula>
    </cfRule>
  </conditionalFormatting>
  <conditionalFormatting sqref="F176:AI176">
    <cfRule type="expression" dxfId="207" priority="23">
      <formula>NOT(ISBLANK(F$51))</formula>
    </cfRule>
  </conditionalFormatting>
  <conditionalFormatting sqref="F177:AI181">
    <cfRule type="expression" dxfId="206" priority="1">
      <formula>NOT(ISBLANK(F$51))</formula>
    </cfRule>
  </conditionalFormatting>
  <conditionalFormatting sqref="F182:AI182">
    <cfRule type="expression" dxfId="205" priority="4">
      <formula>NOT(ISBLANK(F$45))</formula>
    </cfRule>
  </conditionalFormatting>
  <conditionalFormatting sqref="F183:AI187">
    <cfRule type="expression" dxfId="204" priority="3">
      <formula>NOT(ISBLANK(F$51))</formula>
    </cfRule>
  </conditionalFormatting>
  <conditionalFormatting sqref="G140:AI142">
    <cfRule type="expression" dxfId="203" priority="10">
      <formula>NOT(ISBLANK(G$45))</formula>
    </cfRule>
  </conditionalFormatting>
  <conditionalFormatting sqref="G141:AI142">
    <cfRule type="expression" dxfId="202" priority="9">
      <formula>NOT(ISBLANK(G$51))</formula>
    </cfRule>
  </conditionalFormatting>
  <conditionalFormatting sqref="G144:AI146">
    <cfRule type="expression" dxfId="201" priority="12">
      <formula>NOT(ISBLANK(G$51))</formula>
    </cfRule>
  </conditionalFormatting>
  <conditionalFormatting sqref="G179:AI181">
    <cfRule type="expression" dxfId="200" priority="2">
      <formula>NOT(ISBLANK(G$45))</formula>
    </cfRule>
  </conditionalFormatting>
  <conditionalFormatting sqref="G183:AI185">
    <cfRule type="expression" dxfId="199" priority="5">
      <formula>NOT(ISBLANK(G$51))</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A5E99-A3A1-47C7-B823-CFDC9045C204}">
  <sheetPr codeName="Munka4">
    <tabColor theme="6" tint="0.79998168889431442"/>
  </sheetPr>
  <dimension ref="A3:AG147"/>
  <sheetViews>
    <sheetView zoomScale="10" zoomScaleNormal="10" workbookViewId="0">
      <selection activeCell="D21" sqref="D21"/>
    </sheetView>
  </sheetViews>
  <sheetFormatPr defaultColWidth="9.09765625" defaultRowHeight="15" customHeight="1"/>
  <cols>
    <col min="1" max="1" width="40.69921875" style="313" customWidth="1"/>
    <col min="2" max="2" width="9.19921875" style="313" customWidth="1"/>
    <col min="3" max="4" width="40.69921875" style="313" customWidth="1"/>
    <col min="5" max="5" width="16.59765625" style="313" bestFit="1" customWidth="1"/>
    <col min="6" max="6" width="33.8984375" style="313" bestFit="1" customWidth="1"/>
    <col min="7" max="10" width="40.69921875" style="313" customWidth="1"/>
    <col min="11" max="11" width="30.19921875" style="313" bestFit="1" customWidth="1"/>
    <col min="12" max="33" width="11" style="313" bestFit="1" customWidth="1"/>
    <col min="34" max="34" width="9.09765625" style="313" customWidth="1"/>
    <col min="35" max="16384" width="9.09765625" style="313"/>
  </cols>
  <sheetData>
    <row r="3" spans="1:33" s="312" customFormat="1" ht="13.8">
      <c r="A3" s="311" t="s">
        <v>246</v>
      </c>
    </row>
    <row r="4" spans="1:33" ht="13.8"/>
    <row r="5" spans="1:33" ht="13.8">
      <c r="D5" s="314" t="s">
        <v>237</v>
      </c>
      <c r="E5" s="314" t="s">
        <v>466</v>
      </c>
      <c r="F5" s="314" t="s">
        <v>467</v>
      </c>
      <c r="G5" s="314" t="s">
        <v>468</v>
      </c>
      <c r="H5" s="314" t="s">
        <v>246</v>
      </c>
    </row>
    <row r="6" spans="1:33" ht="13.8">
      <c r="C6" s="314" t="s">
        <v>270</v>
      </c>
      <c r="D6" s="314">
        <v>50</v>
      </c>
      <c r="E6" s="314">
        <v>2026</v>
      </c>
      <c r="F6" s="314">
        <v>22</v>
      </c>
      <c r="G6" s="315">
        <v>142500000</v>
      </c>
      <c r="H6" s="315">
        <v>62700000</v>
      </c>
    </row>
    <row r="7" spans="1:33" ht="13.8">
      <c r="C7" s="314" t="s">
        <v>271</v>
      </c>
      <c r="D7" s="314">
        <v>50</v>
      </c>
      <c r="E7" s="314">
        <v>2026</v>
      </c>
      <c r="F7" s="314">
        <v>22</v>
      </c>
      <c r="G7" s="315">
        <v>70000000</v>
      </c>
      <c r="H7" s="315">
        <v>30800000</v>
      </c>
    </row>
    <row r="8" spans="1:33" ht="13.8">
      <c r="C8" s="314" t="s">
        <v>272</v>
      </c>
      <c r="D8" s="314">
        <v>50</v>
      </c>
      <c r="E8" s="314">
        <v>2026</v>
      </c>
      <c r="F8" s="314">
        <v>22</v>
      </c>
      <c r="G8" s="315">
        <v>85000000</v>
      </c>
      <c r="H8" s="315">
        <v>37400000</v>
      </c>
    </row>
    <row r="9" spans="1:33" ht="13.8"/>
    <row r="10" spans="1:33" ht="13.8"/>
    <row r="11" spans="1:33" s="312" customFormat="1" ht="13.8">
      <c r="A11" s="311" t="s">
        <v>292</v>
      </c>
    </row>
    <row r="12" spans="1:33" ht="13.8"/>
    <row r="13" spans="1:33" ht="13.8">
      <c r="C13" s="316" t="s">
        <v>469</v>
      </c>
    </row>
    <row r="14" spans="1:33" ht="13.8"/>
    <row r="15" spans="1:33" ht="13.8">
      <c r="C15" s="317" t="s">
        <v>470</v>
      </c>
      <c r="D15" s="318">
        <v>2025</v>
      </c>
      <c r="E15" s="318">
        <v>2026</v>
      </c>
      <c r="F15" s="318">
        <v>2027</v>
      </c>
      <c r="G15" s="318">
        <v>2028</v>
      </c>
      <c r="H15" s="318">
        <v>2029</v>
      </c>
      <c r="I15" s="318">
        <v>2030</v>
      </c>
      <c r="J15" s="318">
        <v>2031</v>
      </c>
      <c r="K15" s="318">
        <v>2032</v>
      </c>
      <c r="L15" s="318">
        <v>2033</v>
      </c>
      <c r="M15" s="318">
        <v>2034</v>
      </c>
      <c r="N15" s="318">
        <v>2035</v>
      </c>
      <c r="O15" s="318">
        <v>2036</v>
      </c>
      <c r="P15" s="318">
        <v>2037</v>
      </c>
      <c r="Q15" s="318">
        <v>2038</v>
      </c>
      <c r="R15" s="318">
        <v>2039</v>
      </c>
      <c r="S15" s="318">
        <v>2040</v>
      </c>
      <c r="T15" s="318">
        <v>2041</v>
      </c>
      <c r="U15" s="318">
        <v>2042</v>
      </c>
      <c r="V15" s="318">
        <v>2043</v>
      </c>
      <c r="W15" s="318">
        <v>2044</v>
      </c>
      <c r="X15" s="318">
        <v>2045</v>
      </c>
      <c r="Y15" s="318">
        <v>2046</v>
      </c>
      <c r="Z15" s="318">
        <v>2047</v>
      </c>
      <c r="AA15" s="318">
        <v>2048</v>
      </c>
      <c r="AB15" s="318">
        <v>2049</v>
      </c>
      <c r="AC15" s="318">
        <v>2050</v>
      </c>
      <c r="AD15" s="318">
        <v>2051</v>
      </c>
      <c r="AE15" s="318">
        <v>2052</v>
      </c>
      <c r="AF15" s="318">
        <v>2053</v>
      </c>
      <c r="AG15" s="318">
        <v>2054</v>
      </c>
    </row>
    <row r="16" spans="1:33" ht="13.8">
      <c r="C16" s="319" t="s">
        <v>471</v>
      </c>
      <c r="D16" s="320">
        <v>2000000</v>
      </c>
      <c r="E16" s="320">
        <v>2000000</v>
      </c>
      <c r="F16" s="320">
        <v>2000000</v>
      </c>
      <c r="G16" s="320">
        <v>2000000</v>
      </c>
      <c r="H16" s="320">
        <v>2000000</v>
      </c>
      <c r="I16" s="320">
        <v>2000000</v>
      </c>
      <c r="J16" s="320">
        <v>2000000</v>
      </c>
      <c r="K16" s="320">
        <v>2000000</v>
      </c>
      <c r="L16" s="320">
        <v>2000000</v>
      </c>
      <c r="M16" s="320">
        <v>2000000</v>
      </c>
      <c r="N16" s="320">
        <v>2000000</v>
      </c>
      <c r="O16" s="320">
        <v>2000000</v>
      </c>
      <c r="P16" s="320">
        <v>2000000</v>
      </c>
      <c r="Q16" s="320">
        <v>2000000</v>
      </c>
      <c r="R16" s="320">
        <v>2000000</v>
      </c>
      <c r="S16" s="320">
        <v>2000000</v>
      </c>
      <c r="T16" s="320">
        <v>2000000</v>
      </c>
      <c r="U16" s="320">
        <v>2000000</v>
      </c>
      <c r="V16" s="320">
        <v>2000000</v>
      </c>
      <c r="W16" s="320">
        <v>2000000</v>
      </c>
      <c r="X16" s="320">
        <v>2000000</v>
      </c>
      <c r="Y16" s="320">
        <v>2000000</v>
      </c>
      <c r="Z16" s="320">
        <v>2000000</v>
      </c>
      <c r="AA16" s="320">
        <v>2000000</v>
      </c>
      <c r="AB16" s="320">
        <v>2000000</v>
      </c>
      <c r="AC16" s="320">
        <v>2000000</v>
      </c>
      <c r="AD16" s="320">
        <v>2000000</v>
      </c>
      <c r="AE16" s="320">
        <v>2000000</v>
      </c>
      <c r="AF16" s="320">
        <v>2000000</v>
      </c>
      <c r="AG16" s="320">
        <v>2000000</v>
      </c>
    </row>
    <row r="17" spans="1:33" ht="26.4" customHeight="1">
      <c r="C17" s="319" t="s">
        <v>472</v>
      </c>
      <c r="D17" s="320">
        <v>1500000</v>
      </c>
      <c r="E17" s="320">
        <v>1500000</v>
      </c>
      <c r="F17" s="320">
        <v>1500000</v>
      </c>
      <c r="G17" s="320">
        <v>1500000</v>
      </c>
      <c r="H17" s="320">
        <v>1500000</v>
      </c>
      <c r="I17" s="320">
        <v>1500000</v>
      </c>
      <c r="J17" s="320">
        <v>1500000</v>
      </c>
      <c r="K17" s="320">
        <v>1500000</v>
      </c>
      <c r="L17" s="320">
        <v>1500000</v>
      </c>
      <c r="M17" s="320">
        <v>1500000</v>
      </c>
      <c r="N17" s="320">
        <v>1500000</v>
      </c>
      <c r="O17" s="320">
        <v>1500000</v>
      </c>
      <c r="P17" s="320">
        <v>1500000</v>
      </c>
      <c r="Q17" s="320">
        <v>1500000</v>
      </c>
      <c r="R17" s="320">
        <v>1500000</v>
      </c>
      <c r="S17" s="320">
        <v>1500000</v>
      </c>
      <c r="T17" s="320">
        <v>1500000</v>
      </c>
      <c r="U17" s="320">
        <v>1500000</v>
      </c>
      <c r="V17" s="320">
        <v>1500000</v>
      </c>
      <c r="W17" s="320">
        <v>1500000</v>
      </c>
      <c r="X17" s="320">
        <v>1500000</v>
      </c>
      <c r="Y17" s="320">
        <v>1500000</v>
      </c>
      <c r="Z17" s="320">
        <v>1500000</v>
      </c>
      <c r="AA17" s="320">
        <v>1500000</v>
      </c>
      <c r="AB17" s="320">
        <v>1500000</v>
      </c>
      <c r="AC17" s="320">
        <v>1500000</v>
      </c>
      <c r="AD17" s="320">
        <v>1500000</v>
      </c>
      <c r="AE17" s="320">
        <v>1500000</v>
      </c>
      <c r="AF17" s="320">
        <v>1500000</v>
      </c>
      <c r="AG17" s="320">
        <v>1500000</v>
      </c>
    </row>
    <row r="18" spans="1:33" ht="26.4" customHeight="1">
      <c r="A18" s="157"/>
      <c r="B18" s="157"/>
      <c r="C18" s="319" t="s">
        <v>473</v>
      </c>
      <c r="D18" s="320">
        <v>0</v>
      </c>
      <c r="E18" s="320"/>
      <c r="F18" s="320">
        <v>0</v>
      </c>
      <c r="G18" s="320">
        <v>0</v>
      </c>
      <c r="H18" s="320">
        <v>0</v>
      </c>
      <c r="I18" s="320">
        <v>0</v>
      </c>
      <c r="J18" s="320">
        <v>0</v>
      </c>
      <c r="K18" s="320">
        <v>0</v>
      </c>
      <c r="L18" s="320">
        <v>0</v>
      </c>
      <c r="M18" s="320">
        <v>0</v>
      </c>
      <c r="N18" s="320">
        <v>0</v>
      </c>
      <c r="O18" s="320">
        <v>0</v>
      </c>
      <c r="P18" s="320">
        <v>0</v>
      </c>
      <c r="Q18" s="320">
        <v>0</v>
      </c>
      <c r="R18" s="320">
        <v>0</v>
      </c>
      <c r="S18" s="320">
        <v>0</v>
      </c>
      <c r="T18" s="320">
        <v>0</v>
      </c>
      <c r="U18" s="320">
        <v>0</v>
      </c>
      <c r="V18" s="320">
        <v>0</v>
      </c>
      <c r="W18" s="320">
        <v>0</v>
      </c>
      <c r="X18" s="320">
        <v>0</v>
      </c>
      <c r="Y18" s="320">
        <v>0</v>
      </c>
      <c r="Z18" s="320">
        <v>0</v>
      </c>
      <c r="AA18" s="320">
        <v>0</v>
      </c>
      <c r="AB18" s="320">
        <v>0</v>
      </c>
      <c r="AC18" s="320">
        <v>0</v>
      </c>
      <c r="AD18" s="320">
        <v>0</v>
      </c>
      <c r="AE18" s="320">
        <v>0</v>
      </c>
      <c r="AF18" s="320">
        <v>0</v>
      </c>
      <c r="AG18" s="320">
        <v>0</v>
      </c>
    </row>
    <row r="19" spans="1:33" ht="26.4" customHeight="1">
      <c r="A19" s="157"/>
      <c r="B19" s="157"/>
      <c r="C19" s="319" t="s">
        <v>474</v>
      </c>
      <c r="D19" s="320">
        <v>0</v>
      </c>
      <c r="E19" s="320">
        <v>0</v>
      </c>
      <c r="F19" s="320">
        <v>0</v>
      </c>
      <c r="G19" s="320">
        <v>0</v>
      </c>
      <c r="H19" s="320">
        <v>0</v>
      </c>
      <c r="I19" s="320">
        <v>0</v>
      </c>
      <c r="J19" s="320">
        <v>0</v>
      </c>
      <c r="K19" s="320">
        <v>0</v>
      </c>
      <c r="L19" s="320">
        <v>0</v>
      </c>
      <c r="M19" s="320">
        <v>0</v>
      </c>
      <c r="N19" s="320">
        <v>0</v>
      </c>
      <c r="O19" s="320">
        <v>0</v>
      </c>
      <c r="P19" s="320">
        <v>0</v>
      </c>
      <c r="Q19" s="320">
        <v>0</v>
      </c>
      <c r="R19" s="320">
        <v>0</v>
      </c>
      <c r="S19" s="320">
        <v>0</v>
      </c>
      <c r="T19" s="320">
        <v>0</v>
      </c>
      <c r="U19" s="320">
        <v>0</v>
      </c>
      <c r="V19" s="320">
        <v>0</v>
      </c>
      <c r="W19" s="320">
        <v>0</v>
      </c>
      <c r="X19" s="320">
        <v>0</v>
      </c>
      <c r="Y19" s="320">
        <v>0</v>
      </c>
      <c r="Z19" s="320">
        <v>0</v>
      </c>
      <c r="AA19" s="320">
        <v>0</v>
      </c>
      <c r="AB19" s="320">
        <v>0</v>
      </c>
      <c r="AC19" s="320">
        <v>0</v>
      </c>
      <c r="AD19" s="320">
        <v>0</v>
      </c>
      <c r="AE19" s="320">
        <v>0</v>
      </c>
      <c r="AF19" s="320">
        <v>0</v>
      </c>
      <c r="AG19" s="320">
        <v>0</v>
      </c>
    </row>
    <row r="20" spans="1:33" ht="13.8">
      <c r="D20" s="321"/>
      <c r="E20" s="321"/>
      <c r="F20" s="321"/>
      <c r="G20" s="321"/>
      <c r="H20" s="321"/>
      <c r="I20" s="321"/>
      <c r="J20" s="321"/>
      <c r="K20" s="321"/>
      <c r="L20" s="321"/>
      <c r="M20" s="321"/>
      <c r="N20" s="321"/>
      <c r="O20" s="321"/>
      <c r="P20" s="321"/>
      <c r="Q20" s="321"/>
      <c r="R20" s="321"/>
      <c r="S20" s="321"/>
      <c r="T20" s="321"/>
      <c r="U20" s="321"/>
      <c r="V20" s="321"/>
      <c r="W20" s="321"/>
      <c r="X20" s="321"/>
      <c r="Y20" s="321"/>
      <c r="Z20" s="321"/>
      <c r="AA20" s="321"/>
      <c r="AB20" s="321"/>
      <c r="AC20" s="321"/>
      <c r="AD20" s="321"/>
      <c r="AE20" s="321"/>
      <c r="AF20" s="321"/>
      <c r="AG20" s="321"/>
    </row>
    <row r="21" spans="1:33" ht="13.8">
      <c r="C21" s="316" t="s">
        <v>475</v>
      </c>
      <c r="D21" s="322" t="s">
        <v>476</v>
      </c>
      <c r="E21" s="321"/>
      <c r="F21" s="321"/>
      <c r="G21" s="321"/>
      <c r="H21" s="321"/>
      <c r="I21" s="321"/>
      <c r="J21" s="321"/>
      <c r="K21" s="321"/>
      <c r="L21" s="321"/>
      <c r="M21" s="321"/>
      <c r="N21" s="321"/>
      <c r="O21" s="321"/>
      <c r="P21" s="321"/>
      <c r="Q21" s="321"/>
      <c r="R21" s="321"/>
      <c r="S21" s="321"/>
      <c r="T21" s="321"/>
      <c r="U21" s="321"/>
      <c r="V21" s="321"/>
      <c r="W21" s="321"/>
      <c r="X21" s="321"/>
      <c r="Y21" s="321"/>
      <c r="Z21" s="321"/>
      <c r="AA21" s="321"/>
      <c r="AB21" s="321"/>
      <c r="AC21" s="321"/>
      <c r="AD21" s="321"/>
      <c r="AE21" s="321"/>
      <c r="AF21" s="321"/>
      <c r="AG21" s="321"/>
    </row>
    <row r="22" spans="1:33" ht="13.8">
      <c r="D22" s="321"/>
      <c r="E22" s="321"/>
      <c r="F22" s="321"/>
      <c r="G22" s="321"/>
      <c r="H22" s="321"/>
      <c r="I22" s="321"/>
      <c r="J22" s="321"/>
      <c r="K22" s="321"/>
      <c r="L22" s="321"/>
      <c r="M22" s="321"/>
      <c r="N22" s="321"/>
      <c r="O22" s="321"/>
      <c r="P22" s="321"/>
      <c r="Q22" s="321"/>
      <c r="R22" s="321"/>
      <c r="S22" s="321"/>
      <c r="T22" s="321"/>
      <c r="U22" s="321"/>
      <c r="V22" s="321"/>
      <c r="W22" s="321"/>
      <c r="X22" s="321"/>
      <c r="Y22" s="321"/>
      <c r="Z22" s="321"/>
      <c r="AA22" s="321"/>
      <c r="AB22" s="321"/>
      <c r="AC22" s="321"/>
      <c r="AD22" s="321"/>
      <c r="AE22" s="321"/>
      <c r="AF22" s="321"/>
      <c r="AG22" s="321"/>
    </row>
    <row r="23" spans="1:33" ht="13.8">
      <c r="D23" s="321"/>
      <c r="E23" s="321"/>
      <c r="F23" s="321"/>
      <c r="G23" s="321"/>
      <c r="H23" s="321"/>
      <c r="I23" s="321"/>
      <c r="J23" s="321"/>
      <c r="K23" s="321"/>
      <c r="L23" s="321"/>
      <c r="M23" s="321"/>
      <c r="N23" s="321"/>
      <c r="O23" s="321"/>
      <c r="P23" s="321"/>
      <c r="Q23" s="321"/>
      <c r="R23" s="321"/>
      <c r="S23" s="321"/>
      <c r="T23" s="321"/>
      <c r="U23" s="321"/>
      <c r="V23" s="321"/>
      <c r="W23" s="321"/>
      <c r="X23" s="321"/>
      <c r="Y23" s="321"/>
      <c r="Z23" s="321"/>
      <c r="AA23" s="321"/>
      <c r="AB23" s="321"/>
      <c r="AC23" s="321"/>
      <c r="AD23" s="321"/>
      <c r="AE23" s="321"/>
      <c r="AF23" s="321"/>
      <c r="AG23" s="321"/>
    </row>
    <row r="24" spans="1:33" ht="13.8">
      <c r="C24" s="316" t="s">
        <v>477</v>
      </c>
      <c r="D24" s="321"/>
      <c r="E24" s="321"/>
      <c r="F24" s="321"/>
      <c r="G24" s="321"/>
      <c r="H24" s="321"/>
      <c r="I24" s="321"/>
      <c r="J24" s="321"/>
      <c r="K24" s="321"/>
      <c r="L24" s="321"/>
      <c r="M24" s="321"/>
      <c r="N24" s="321"/>
      <c r="O24" s="321"/>
      <c r="P24" s="321"/>
      <c r="Q24" s="321"/>
      <c r="R24" s="321"/>
      <c r="S24" s="321"/>
      <c r="T24" s="321"/>
      <c r="U24" s="321"/>
      <c r="V24" s="321"/>
      <c r="W24" s="321"/>
      <c r="X24" s="321"/>
      <c r="Y24" s="321"/>
      <c r="Z24" s="321"/>
      <c r="AA24" s="321"/>
      <c r="AB24" s="321"/>
      <c r="AC24" s="321"/>
      <c r="AD24" s="321"/>
      <c r="AE24" s="321"/>
      <c r="AF24" s="321"/>
      <c r="AG24" s="321"/>
    </row>
    <row r="25" spans="1:33" ht="13.8">
      <c r="D25" s="321"/>
      <c r="E25" s="321"/>
      <c r="F25" s="321"/>
      <c r="G25" s="321"/>
      <c r="H25" s="321"/>
      <c r="I25" s="321"/>
      <c r="J25" s="321"/>
      <c r="K25" s="321"/>
      <c r="L25" s="321"/>
      <c r="M25" s="321"/>
      <c r="N25" s="321"/>
      <c r="O25" s="321"/>
      <c r="P25" s="321"/>
      <c r="Q25" s="321"/>
      <c r="R25" s="321"/>
      <c r="S25" s="321"/>
      <c r="T25" s="321"/>
      <c r="U25" s="321"/>
      <c r="V25" s="321"/>
      <c r="W25" s="321"/>
      <c r="X25" s="321"/>
      <c r="Y25" s="321"/>
      <c r="Z25" s="321"/>
      <c r="AA25" s="321"/>
      <c r="AB25" s="321"/>
      <c r="AC25" s="321"/>
      <c r="AD25" s="321"/>
      <c r="AE25" s="321"/>
      <c r="AF25" s="321"/>
      <c r="AG25" s="321"/>
    </row>
    <row r="26" spans="1:33" ht="13.8">
      <c r="C26" s="317" t="s">
        <v>478</v>
      </c>
      <c r="D26" s="318">
        <v>2025</v>
      </c>
      <c r="E26" s="318">
        <v>2026</v>
      </c>
      <c r="F26" s="318">
        <v>2027</v>
      </c>
      <c r="G26" s="318">
        <v>2028</v>
      </c>
      <c r="H26" s="318">
        <v>2029</v>
      </c>
      <c r="I26" s="318">
        <v>2030</v>
      </c>
      <c r="J26" s="318">
        <v>2031</v>
      </c>
      <c r="K26" s="318">
        <v>2032</v>
      </c>
      <c r="L26" s="318">
        <v>2033</v>
      </c>
      <c r="M26" s="318">
        <v>2034</v>
      </c>
      <c r="N26" s="318">
        <v>2035</v>
      </c>
      <c r="O26" s="318">
        <v>2036</v>
      </c>
      <c r="P26" s="318">
        <v>2037</v>
      </c>
      <c r="Q26" s="318">
        <v>2038</v>
      </c>
      <c r="R26" s="318">
        <v>2039</v>
      </c>
      <c r="S26" s="318">
        <v>2040</v>
      </c>
      <c r="T26" s="318">
        <v>2041</v>
      </c>
      <c r="U26" s="318">
        <v>2042</v>
      </c>
      <c r="V26" s="318">
        <v>2043</v>
      </c>
      <c r="W26" s="318">
        <v>2044</v>
      </c>
      <c r="X26" s="318">
        <v>2045</v>
      </c>
      <c r="Y26" s="318">
        <v>2046</v>
      </c>
      <c r="Z26" s="318">
        <v>2047</v>
      </c>
      <c r="AA26" s="318">
        <v>2048</v>
      </c>
      <c r="AB26" s="318">
        <v>2049</v>
      </c>
      <c r="AC26" s="318">
        <v>2050</v>
      </c>
      <c r="AD26" s="318">
        <v>2051</v>
      </c>
      <c r="AE26" s="318">
        <v>2052</v>
      </c>
      <c r="AF26" s="318">
        <v>2053</v>
      </c>
      <c r="AG26" s="318">
        <v>2054</v>
      </c>
    </row>
    <row r="27" spans="1:33" ht="13.8">
      <c r="C27" s="319" t="s">
        <v>471</v>
      </c>
      <c r="D27" s="320">
        <v>2000000</v>
      </c>
      <c r="E27" s="320">
        <v>3000000</v>
      </c>
      <c r="F27" s="320">
        <v>3000000</v>
      </c>
      <c r="G27" s="320">
        <v>3000000</v>
      </c>
      <c r="H27" s="320">
        <v>3000000</v>
      </c>
      <c r="I27" s="320">
        <v>3000000</v>
      </c>
      <c r="J27" s="320">
        <v>3000000</v>
      </c>
      <c r="K27" s="320">
        <v>3000000</v>
      </c>
      <c r="L27" s="320">
        <v>3000000</v>
      </c>
      <c r="M27" s="320">
        <v>3000000</v>
      </c>
      <c r="N27" s="320">
        <v>3000000</v>
      </c>
      <c r="O27" s="320">
        <v>3000000</v>
      </c>
      <c r="P27" s="320">
        <v>3000000</v>
      </c>
      <c r="Q27" s="320">
        <v>3000000</v>
      </c>
      <c r="R27" s="320">
        <v>3000000</v>
      </c>
      <c r="S27" s="320">
        <v>3000000</v>
      </c>
      <c r="T27" s="320">
        <v>3000000</v>
      </c>
      <c r="U27" s="320">
        <v>3000000</v>
      </c>
      <c r="V27" s="320">
        <v>3000000</v>
      </c>
      <c r="W27" s="320">
        <v>3000000</v>
      </c>
      <c r="X27" s="320">
        <v>3000000</v>
      </c>
      <c r="Y27" s="320">
        <v>3000000</v>
      </c>
      <c r="Z27" s="320">
        <v>3000000</v>
      </c>
      <c r="AA27" s="320">
        <v>3000000</v>
      </c>
      <c r="AB27" s="320">
        <v>3000000</v>
      </c>
      <c r="AC27" s="320">
        <v>3000000</v>
      </c>
      <c r="AD27" s="320">
        <v>3000000</v>
      </c>
      <c r="AE27" s="320">
        <v>3000000</v>
      </c>
      <c r="AF27" s="320">
        <v>3000000</v>
      </c>
      <c r="AG27" s="320">
        <v>3000000</v>
      </c>
    </row>
    <row r="28" spans="1:33" ht="26.4" customHeight="1">
      <c r="C28" s="319" t="s">
        <v>472</v>
      </c>
      <c r="D28" s="320">
        <v>1500000</v>
      </c>
      <c r="E28" s="320">
        <v>2250000</v>
      </c>
      <c r="F28" s="320">
        <v>2250000</v>
      </c>
      <c r="G28" s="320">
        <v>2250000</v>
      </c>
      <c r="H28" s="320">
        <v>2250000</v>
      </c>
      <c r="I28" s="320">
        <v>2250000</v>
      </c>
      <c r="J28" s="320">
        <v>2250000</v>
      </c>
      <c r="K28" s="320">
        <v>2250000</v>
      </c>
      <c r="L28" s="320">
        <v>2250000</v>
      </c>
      <c r="M28" s="320">
        <v>2250000</v>
      </c>
      <c r="N28" s="320">
        <v>2250000</v>
      </c>
      <c r="O28" s="320">
        <v>2250000</v>
      </c>
      <c r="P28" s="320">
        <v>2250000</v>
      </c>
      <c r="Q28" s="320">
        <v>2250000</v>
      </c>
      <c r="R28" s="320">
        <v>2250000</v>
      </c>
      <c r="S28" s="320">
        <v>2250000</v>
      </c>
      <c r="T28" s="320">
        <v>2250000</v>
      </c>
      <c r="U28" s="320">
        <v>2250000</v>
      </c>
      <c r="V28" s="320">
        <v>2250000</v>
      </c>
      <c r="W28" s="320">
        <v>2250000</v>
      </c>
      <c r="X28" s="320">
        <v>2250000</v>
      </c>
      <c r="Y28" s="320">
        <v>2250000</v>
      </c>
      <c r="Z28" s="320">
        <v>2250000</v>
      </c>
      <c r="AA28" s="320">
        <v>2250000</v>
      </c>
      <c r="AB28" s="320">
        <v>2250000</v>
      </c>
      <c r="AC28" s="320">
        <v>2250000</v>
      </c>
      <c r="AD28" s="320">
        <v>2250000</v>
      </c>
      <c r="AE28" s="320">
        <v>2250000</v>
      </c>
      <c r="AF28" s="320">
        <v>2250000</v>
      </c>
      <c r="AG28" s="320">
        <v>2250000</v>
      </c>
    </row>
    <row r="29" spans="1:33" ht="26.4" customHeight="1">
      <c r="C29" s="319" t="s">
        <v>473</v>
      </c>
      <c r="D29" s="320">
        <v>0</v>
      </c>
      <c r="E29" s="320">
        <v>0</v>
      </c>
      <c r="F29" s="320">
        <v>0</v>
      </c>
      <c r="G29" s="320">
        <v>0</v>
      </c>
      <c r="H29" s="320">
        <v>0</v>
      </c>
      <c r="I29" s="320">
        <v>0</v>
      </c>
      <c r="J29" s="320">
        <v>0</v>
      </c>
      <c r="K29" s="320">
        <v>0</v>
      </c>
      <c r="L29" s="320">
        <v>0</v>
      </c>
      <c r="M29" s="320">
        <v>0</v>
      </c>
      <c r="N29" s="320">
        <v>0</v>
      </c>
      <c r="O29" s="320">
        <v>0</v>
      </c>
      <c r="P29" s="320">
        <v>0</v>
      </c>
      <c r="Q29" s="320">
        <v>0</v>
      </c>
      <c r="R29" s="320">
        <v>0</v>
      </c>
      <c r="S29" s="320">
        <v>0</v>
      </c>
      <c r="T29" s="320">
        <v>0</v>
      </c>
      <c r="U29" s="320">
        <v>0</v>
      </c>
      <c r="V29" s="320">
        <v>0</v>
      </c>
      <c r="W29" s="320">
        <v>0</v>
      </c>
      <c r="X29" s="320">
        <v>0</v>
      </c>
      <c r="Y29" s="320">
        <v>0</v>
      </c>
      <c r="Z29" s="320">
        <v>0</v>
      </c>
      <c r="AA29" s="320">
        <v>0</v>
      </c>
      <c r="AB29" s="320">
        <v>0</v>
      </c>
      <c r="AC29" s="320">
        <v>0</v>
      </c>
      <c r="AD29" s="320">
        <v>0</v>
      </c>
      <c r="AE29" s="320">
        <v>0</v>
      </c>
      <c r="AF29" s="320">
        <v>0</v>
      </c>
      <c r="AG29" s="320">
        <v>0</v>
      </c>
    </row>
    <row r="30" spans="1:33" ht="26.4" customHeight="1">
      <c r="C30" s="319" t="s">
        <v>474</v>
      </c>
      <c r="D30" s="320">
        <v>0</v>
      </c>
      <c r="E30" s="320">
        <v>0</v>
      </c>
      <c r="F30" s="320">
        <v>0</v>
      </c>
      <c r="G30" s="320">
        <v>0</v>
      </c>
      <c r="H30" s="320">
        <v>0</v>
      </c>
      <c r="I30" s="320">
        <v>0</v>
      </c>
      <c r="J30" s="320">
        <v>0</v>
      </c>
      <c r="K30" s="320">
        <v>0</v>
      </c>
      <c r="L30" s="320">
        <v>0</v>
      </c>
      <c r="M30" s="320">
        <v>0</v>
      </c>
      <c r="N30" s="320">
        <v>0</v>
      </c>
      <c r="O30" s="320">
        <v>0</v>
      </c>
      <c r="P30" s="320">
        <v>0</v>
      </c>
      <c r="Q30" s="320">
        <v>0</v>
      </c>
      <c r="R30" s="320">
        <v>0</v>
      </c>
      <c r="S30" s="320">
        <v>0</v>
      </c>
      <c r="T30" s="320">
        <v>0</v>
      </c>
      <c r="U30" s="320">
        <v>0</v>
      </c>
      <c r="V30" s="320">
        <v>0</v>
      </c>
      <c r="W30" s="320">
        <v>0</v>
      </c>
      <c r="X30" s="320">
        <v>0</v>
      </c>
      <c r="Y30" s="320">
        <v>0</v>
      </c>
      <c r="Z30" s="320">
        <v>0</v>
      </c>
      <c r="AA30" s="320">
        <v>0</v>
      </c>
      <c r="AB30" s="320">
        <v>0</v>
      </c>
      <c r="AC30" s="320">
        <v>0</v>
      </c>
      <c r="AD30" s="320">
        <v>0</v>
      </c>
      <c r="AE30" s="320">
        <v>0</v>
      </c>
      <c r="AF30" s="320">
        <v>0</v>
      </c>
      <c r="AG30" s="320">
        <v>0</v>
      </c>
    </row>
    <row r="31" spans="1:33" ht="13.8">
      <c r="D31" s="321"/>
      <c r="E31" s="321"/>
      <c r="F31" s="321"/>
      <c r="G31" s="321"/>
      <c r="H31" s="321"/>
      <c r="I31" s="321"/>
      <c r="J31" s="321"/>
      <c r="K31" s="321"/>
      <c r="L31" s="321"/>
      <c r="M31" s="321"/>
      <c r="N31" s="321"/>
      <c r="O31" s="321"/>
      <c r="P31" s="321"/>
      <c r="Q31" s="321"/>
      <c r="R31" s="321"/>
      <c r="S31" s="321"/>
      <c r="T31" s="321"/>
      <c r="U31" s="321"/>
      <c r="V31" s="321"/>
      <c r="W31" s="321"/>
      <c r="X31" s="321"/>
      <c r="Y31" s="321"/>
      <c r="Z31" s="321"/>
      <c r="AA31" s="321"/>
      <c r="AB31" s="321"/>
      <c r="AC31" s="321"/>
      <c r="AD31" s="321"/>
      <c r="AE31" s="321"/>
      <c r="AF31" s="321"/>
      <c r="AG31" s="321"/>
    </row>
    <row r="32" spans="1:33" ht="13.8">
      <c r="C32" s="316" t="s">
        <v>475</v>
      </c>
      <c r="D32" s="322" t="s">
        <v>476</v>
      </c>
      <c r="E32" s="321"/>
      <c r="F32" s="321"/>
      <c r="G32" s="321"/>
      <c r="H32" s="321"/>
      <c r="I32" s="321"/>
      <c r="J32" s="321"/>
      <c r="K32" s="321"/>
      <c r="L32" s="321"/>
      <c r="M32" s="321"/>
      <c r="N32" s="321"/>
      <c r="O32" s="321"/>
      <c r="P32" s="321"/>
      <c r="Q32" s="321"/>
      <c r="R32" s="321"/>
      <c r="S32" s="321"/>
      <c r="T32" s="321"/>
      <c r="U32" s="321"/>
      <c r="V32" s="321"/>
      <c r="W32" s="321"/>
      <c r="X32" s="321"/>
      <c r="Y32" s="321"/>
      <c r="Z32" s="321"/>
      <c r="AA32" s="321"/>
      <c r="AB32" s="321"/>
      <c r="AC32" s="321"/>
      <c r="AD32" s="321"/>
      <c r="AE32" s="321"/>
      <c r="AF32" s="321"/>
      <c r="AG32" s="321"/>
    </row>
    <row r="33" spans="1:33" ht="13.8">
      <c r="D33" s="321"/>
      <c r="E33" s="321"/>
      <c r="F33" s="321"/>
      <c r="G33" s="321"/>
      <c r="H33" s="321"/>
      <c r="I33" s="321"/>
      <c r="J33" s="321"/>
      <c r="K33" s="321"/>
      <c r="L33" s="321"/>
      <c r="M33" s="321"/>
      <c r="N33" s="321"/>
      <c r="O33" s="321"/>
      <c r="P33" s="321"/>
      <c r="Q33" s="321"/>
      <c r="R33" s="321"/>
      <c r="S33" s="321"/>
      <c r="T33" s="321"/>
      <c r="U33" s="321"/>
      <c r="V33" s="321"/>
      <c r="W33" s="321"/>
      <c r="X33" s="321"/>
      <c r="Y33" s="321"/>
      <c r="Z33" s="321"/>
      <c r="AA33" s="321"/>
      <c r="AB33" s="321"/>
      <c r="AC33" s="321"/>
      <c r="AD33" s="321"/>
      <c r="AE33" s="321"/>
      <c r="AF33" s="321"/>
      <c r="AG33" s="321"/>
    </row>
    <row r="34" spans="1:33" ht="13.8">
      <c r="C34" s="316" t="s">
        <v>479</v>
      </c>
      <c r="D34" s="321"/>
      <c r="E34" s="321"/>
      <c r="F34" s="321"/>
      <c r="G34" s="321"/>
      <c r="H34" s="321"/>
      <c r="I34" s="321"/>
      <c r="J34" s="321"/>
      <c r="K34" s="321"/>
      <c r="L34" s="321"/>
      <c r="M34" s="321"/>
      <c r="N34" s="321"/>
      <c r="O34" s="321"/>
      <c r="P34" s="321"/>
      <c r="Q34" s="321"/>
      <c r="R34" s="321"/>
      <c r="S34" s="321"/>
      <c r="T34" s="321"/>
      <c r="U34" s="321"/>
      <c r="V34" s="321"/>
      <c r="W34" s="321"/>
      <c r="X34" s="321"/>
      <c r="Y34" s="321"/>
      <c r="Z34" s="321"/>
      <c r="AA34" s="321"/>
      <c r="AB34" s="321"/>
      <c r="AC34" s="321"/>
      <c r="AD34" s="321"/>
      <c r="AE34" s="321"/>
      <c r="AF34" s="321"/>
      <c r="AG34" s="321"/>
    </row>
    <row r="35" spans="1:33" ht="13.8">
      <c r="D35" s="321"/>
      <c r="E35" s="321"/>
      <c r="F35" s="321"/>
      <c r="G35" s="321"/>
      <c r="H35" s="321"/>
      <c r="I35" s="321"/>
      <c r="J35" s="321"/>
      <c r="K35" s="321"/>
      <c r="L35" s="321"/>
      <c r="M35" s="321"/>
      <c r="N35" s="321"/>
      <c r="O35" s="321"/>
      <c r="P35" s="321"/>
      <c r="Q35" s="321"/>
      <c r="R35" s="321"/>
      <c r="S35" s="321"/>
      <c r="T35" s="321"/>
      <c r="U35" s="321"/>
      <c r="V35" s="321"/>
      <c r="W35" s="321"/>
      <c r="X35" s="321"/>
      <c r="Y35" s="321"/>
      <c r="Z35" s="321"/>
      <c r="AA35" s="321"/>
      <c r="AB35" s="321"/>
      <c r="AC35" s="321"/>
      <c r="AD35" s="321"/>
      <c r="AE35" s="321"/>
      <c r="AF35" s="321"/>
      <c r="AG35" s="321"/>
    </row>
    <row r="36" spans="1:33" ht="13.8">
      <c r="C36" s="317" t="s">
        <v>478</v>
      </c>
      <c r="D36" s="318">
        <v>2025</v>
      </c>
      <c r="E36" s="318">
        <v>2026</v>
      </c>
      <c r="F36" s="318">
        <v>2027</v>
      </c>
      <c r="G36" s="318">
        <v>2028</v>
      </c>
      <c r="H36" s="318">
        <v>2029</v>
      </c>
      <c r="I36" s="318">
        <v>2030</v>
      </c>
      <c r="J36" s="318">
        <v>2031</v>
      </c>
      <c r="K36" s="318">
        <v>2032</v>
      </c>
      <c r="L36" s="318">
        <v>2033</v>
      </c>
      <c r="M36" s="318">
        <v>2034</v>
      </c>
      <c r="N36" s="318">
        <v>2035</v>
      </c>
      <c r="O36" s="318">
        <v>2036</v>
      </c>
      <c r="P36" s="318">
        <v>2037</v>
      </c>
      <c r="Q36" s="318">
        <v>2038</v>
      </c>
      <c r="R36" s="318">
        <v>2039</v>
      </c>
      <c r="S36" s="318">
        <v>2040</v>
      </c>
      <c r="T36" s="318">
        <v>2041</v>
      </c>
      <c r="U36" s="318">
        <v>2042</v>
      </c>
      <c r="V36" s="318">
        <v>2043</v>
      </c>
      <c r="W36" s="318">
        <v>2044</v>
      </c>
      <c r="X36" s="318">
        <v>2045</v>
      </c>
      <c r="Y36" s="318">
        <v>2046</v>
      </c>
      <c r="Z36" s="318">
        <v>2047</v>
      </c>
      <c r="AA36" s="318">
        <v>2048</v>
      </c>
      <c r="AB36" s="318">
        <v>2049</v>
      </c>
      <c r="AC36" s="318">
        <v>2050</v>
      </c>
      <c r="AD36" s="318">
        <v>2051</v>
      </c>
      <c r="AE36" s="318">
        <v>2052</v>
      </c>
      <c r="AF36" s="318">
        <v>2053</v>
      </c>
      <c r="AG36" s="318">
        <v>2054</v>
      </c>
    </row>
    <row r="37" spans="1:33" ht="13.8">
      <c r="C37" s="319" t="s">
        <v>471</v>
      </c>
      <c r="D37" s="320">
        <v>0</v>
      </c>
      <c r="E37" s="320">
        <v>1000000</v>
      </c>
      <c r="F37" s="320">
        <v>1000000</v>
      </c>
      <c r="G37" s="320">
        <v>1000000</v>
      </c>
      <c r="H37" s="320">
        <v>1000000</v>
      </c>
      <c r="I37" s="320">
        <v>1000000</v>
      </c>
      <c r="J37" s="320">
        <v>1000000</v>
      </c>
      <c r="K37" s="320">
        <v>1000000</v>
      </c>
      <c r="L37" s="320">
        <v>1000000</v>
      </c>
      <c r="M37" s="320">
        <v>1000000</v>
      </c>
      <c r="N37" s="320">
        <v>1000000</v>
      </c>
      <c r="O37" s="320">
        <v>1000000</v>
      </c>
      <c r="P37" s="320">
        <v>1000000</v>
      </c>
      <c r="Q37" s="320">
        <v>1000000</v>
      </c>
      <c r="R37" s="320">
        <v>1000000</v>
      </c>
      <c r="S37" s="320">
        <v>1000000</v>
      </c>
      <c r="T37" s="320">
        <v>1000000</v>
      </c>
      <c r="U37" s="320">
        <v>1000000</v>
      </c>
      <c r="V37" s="320">
        <v>1000000</v>
      </c>
      <c r="W37" s="320">
        <v>1000000</v>
      </c>
      <c r="X37" s="320">
        <v>1000000</v>
      </c>
      <c r="Y37" s="320">
        <v>1000000</v>
      </c>
      <c r="Z37" s="320">
        <v>1000000</v>
      </c>
      <c r="AA37" s="320">
        <v>1000000</v>
      </c>
      <c r="AB37" s="320">
        <v>1000000</v>
      </c>
      <c r="AC37" s="320">
        <v>1000000</v>
      </c>
      <c r="AD37" s="320">
        <v>1000000</v>
      </c>
      <c r="AE37" s="320">
        <v>1000000</v>
      </c>
      <c r="AF37" s="320">
        <v>1000000</v>
      </c>
      <c r="AG37" s="320">
        <v>1000000</v>
      </c>
    </row>
    <row r="38" spans="1:33" ht="26.4" customHeight="1">
      <c r="C38" s="319" t="s">
        <v>472</v>
      </c>
      <c r="D38" s="320">
        <v>0</v>
      </c>
      <c r="E38" s="320">
        <v>750000</v>
      </c>
      <c r="F38" s="320">
        <v>750000</v>
      </c>
      <c r="G38" s="320">
        <v>750000</v>
      </c>
      <c r="H38" s="320">
        <v>750000</v>
      </c>
      <c r="I38" s="320">
        <v>750000</v>
      </c>
      <c r="J38" s="320">
        <v>750000</v>
      </c>
      <c r="K38" s="320">
        <v>750000</v>
      </c>
      <c r="L38" s="320">
        <v>750000</v>
      </c>
      <c r="M38" s="320">
        <v>750000</v>
      </c>
      <c r="N38" s="320">
        <v>750000</v>
      </c>
      <c r="O38" s="320">
        <v>750000</v>
      </c>
      <c r="P38" s="320">
        <v>750000</v>
      </c>
      <c r="Q38" s="320">
        <v>750000</v>
      </c>
      <c r="R38" s="320">
        <v>750000</v>
      </c>
      <c r="S38" s="320">
        <v>750000</v>
      </c>
      <c r="T38" s="320">
        <v>750000</v>
      </c>
      <c r="U38" s="320">
        <v>750000</v>
      </c>
      <c r="V38" s="320">
        <v>750000</v>
      </c>
      <c r="W38" s="320">
        <v>750000</v>
      </c>
      <c r="X38" s="320">
        <v>750000</v>
      </c>
      <c r="Y38" s="320">
        <v>750000</v>
      </c>
      <c r="Z38" s="320">
        <v>750000</v>
      </c>
      <c r="AA38" s="320">
        <v>750000</v>
      </c>
      <c r="AB38" s="320">
        <v>750000</v>
      </c>
      <c r="AC38" s="320">
        <v>750000</v>
      </c>
      <c r="AD38" s="320">
        <v>750000</v>
      </c>
      <c r="AE38" s="320">
        <v>750000</v>
      </c>
      <c r="AF38" s="320">
        <v>750000</v>
      </c>
      <c r="AG38" s="320">
        <v>750000</v>
      </c>
    </row>
    <row r="39" spans="1:33" ht="26.4" customHeight="1">
      <c r="C39" s="319" t="s">
        <v>473</v>
      </c>
      <c r="D39" s="320">
        <v>0</v>
      </c>
      <c r="E39" s="320">
        <v>0</v>
      </c>
      <c r="F39" s="320">
        <v>0</v>
      </c>
      <c r="G39" s="320">
        <v>0</v>
      </c>
      <c r="H39" s="320">
        <v>0</v>
      </c>
      <c r="I39" s="320">
        <v>0</v>
      </c>
      <c r="J39" s="320">
        <v>0</v>
      </c>
      <c r="K39" s="320">
        <v>0</v>
      </c>
      <c r="L39" s="320">
        <v>0</v>
      </c>
      <c r="M39" s="320">
        <v>0</v>
      </c>
      <c r="N39" s="320">
        <v>0</v>
      </c>
      <c r="O39" s="320">
        <v>0</v>
      </c>
      <c r="P39" s="320">
        <v>0</v>
      </c>
      <c r="Q39" s="320">
        <v>0</v>
      </c>
      <c r="R39" s="320">
        <v>0</v>
      </c>
      <c r="S39" s="320">
        <v>0</v>
      </c>
      <c r="T39" s="320">
        <v>0</v>
      </c>
      <c r="U39" s="320">
        <v>0</v>
      </c>
      <c r="V39" s="320">
        <v>0</v>
      </c>
      <c r="W39" s="320">
        <v>0</v>
      </c>
      <c r="X39" s="320">
        <v>0</v>
      </c>
      <c r="Y39" s="320">
        <v>0</v>
      </c>
      <c r="Z39" s="320">
        <v>0</v>
      </c>
      <c r="AA39" s="320">
        <v>0</v>
      </c>
      <c r="AB39" s="320">
        <v>0</v>
      </c>
      <c r="AC39" s="320">
        <v>0</v>
      </c>
      <c r="AD39" s="320">
        <v>0</v>
      </c>
      <c r="AE39" s="320">
        <v>0</v>
      </c>
      <c r="AF39" s="320">
        <v>0</v>
      </c>
      <c r="AG39" s="320">
        <v>0</v>
      </c>
    </row>
    <row r="40" spans="1:33" ht="26.4" customHeight="1">
      <c r="C40" s="319" t="s">
        <v>474</v>
      </c>
      <c r="D40" s="320">
        <v>0</v>
      </c>
      <c r="E40" s="320">
        <v>0</v>
      </c>
      <c r="F40" s="320">
        <v>0</v>
      </c>
      <c r="G40" s="320">
        <v>0</v>
      </c>
      <c r="H40" s="320">
        <v>0</v>
      </c>
      <c r="I40" s="320">
        <v>0</v>
      </c>
      <c r="J40" s="320">
        <v>0</v>
      </c>
      <c r="K40" s="320">
        <v>0</v>
      </c>
      <c r="L40" s="320">
        <v>0</v>
      </c>
      <c r="M40" s="320">
        <v>0</v>
      </c>
      <c r="N40" s="320">
        <v>0</v>
      </c>
      <c r="O40" s="320">
        <v>0</v>
      </c>
      <c r="P40" s="320">
        <v>0</v>
      </c>
      <c r="Q40" s="320">
        <v>0</v>
      </c>
      <c r="R40" s="320">
        <v>0</v>
      </c>
      <c r="S40" s="320">
        <v>0</v>
      </c>
      <c r="T40" s="320">
        <v>0</v>
      </c>
      <c r="U40" s="320">
        <v>0</v>
      </c>
      <c r="V40" s="320">
        <v>0</v>
      </c>
      <c r="W40" s="320">
        <v>0</v>
      </c>
      <c r="X40" s="320">
        <v>0</v>
      </c>
      <c r="Y40" s="320">
        <v>0</v>
      </c>
      <c r="Z40" s="320">
        <v>0</v>
      </c>
      <c r="AA40" s="320">
        <v>0</v>
      </c>
      <c r="AB40" s="320">
        <v>0</v>
      </c>
      <c r="AC40" s="320">
        <v>0</v>
      </c>
      <c r="AD40" s="320">
        <v>0</v>
      </c>
      <c r="AE40" s="320">
        <v>0</v>
      </c>
      <c r="AF40" s="320">
        <v>0</v>
      </c>
      <c r="AG40" s="320">
        <v>0</v>
      </c>
    </row>
    <row r="41" spans="1:33" ht="13.8"/>
    <row r="42" spans="1:33" ht="13.8"/>
    <row r="43" spans="1:33" s="312" customFormat="1" ht="13.8">
      <c r="A43" s="311" t="s">
        <v>301</v>
      </c>
    </row>
    <row r="44" spans="1:33" ht="13.8"/>
    <row r="45" spans="1:33" ht="13.8">
      <c r="C45" s="316" t="s">
        <v>469</v>
      </c>
    </row>
    <row r="46" spans="1:33" ht="13.8"/>
    <row r="47" spans="1:33" ht="26.4" customHeight="1">
      <c r="C47" s="323" t="s">
        <v>480</v>
      </c>
      <c r="D47" s="318">
        <v>2025</v>
      </c>
      <c r="E47" s="318">
        <v>2026</v>
      </c>
      <c r="F47" s="318">
        <v>2027</v>
      </c>
      <c r="G47" s="318">
        <v>2028</v>
      </c>
      <c r="H47" s="318">
        <v>2029</v>
      </c>
      <c r="I47" s="318">
        <v>2030</v>
      </c>
      <c r="J47" s="318">
        <v>2031</v>
      </c>
      <c r="K47" s="318">
        <v>2032</v>
      </c>
      <c r="L47" s="318">
        <v>2033</v>
      </c>
      <c r="M47" s="318">
        <v>2034</v>
      </c>
      <c r="N47" s="318">
        <v>2035</v>
      </c>
      <c r="O47" s="318">
        <v>2036</v>
      </c>
      <c r="P47" s="318">
        <v>2037</v>
      </c>
      <c r="Q47" s="318">
        <v>2038</v>
      </c>
      <c r="R47" s="318">
        <v>2039</v>
      </c>
      <c r="S47" s="318">
        <v>2040</v>
      </c>
      <c r="T47" s="318">
        <v>2041</v>
      </c>
      <c r="U47" s="318">
        <v>2042</v>
      </c>
      <c r="V47" s="318">
        <v>2043</v>
      </c>
      <c r="W47" s="318">
        <v>2044</v>
      </c>
      <c r="X47" s="318">
        <v>2045</v>
      </c>
      <c r="Y47" s="318">
        <v>2046</v>
      </c>
      <c r="Z47" s="318">
        <v>2047</v>
      </c>
      <c r="AA47" s="318">
        <v>2048</v>
      </c>
      <c r="AB47" s="318">
        <v>2049</v>
      </c>
      <c r="AC47" s="318">
        <v>2050</v>
      </c>
      <c r="AD47" s="318">
        <v>2051</v>
      </c>
      <c r="AE47" s="318">
        <v>2052</v>
      </c>
      <c r="AF47" s="318">
        <v>2053</v>
      </c>
      <c r="AG47" s="318">
        <v>2054</v>
      </c>
    </row>
    <row r="48" spans="1:33" ht="13.8">
      <c r="C48" s="324" t="s">
        <v>481</v>
      </c>
      <c r="D48" s="325">
        <v>653110.49533863948</v>
      </c>
      <c r="E48" s="325">
        <v>653110.49533863948</v>
      </c>
      <c r="F48" s="325">
        <v>653110.49533863948</v>
      </c>
      <c r="G48" s="325">
        <v>653110.49533863948</v>
      </c>
      <c r="H48" s="325">
        <v>653110.49533863948</v>
      </c>
      <c r="I48" s="325">
        <v>653110.49533863948</v>
      </c>
      <c r="J48" s="325">
        <v>653110.49533863948</v>
      </c>
      <c r="K48" s="325">
        <v>653110.49533863948</v>
      </c>
      <c r="L48" s="325">
        <v>653110.49533863948</v>
      </c>
      <c r="M48" s="325">
        <v>653110.49533863948</v>
      </c>
      <c r="N48" s="325">
        <v>653110.49533863948</v>
      </c>
      <c r="O48" s="325">
        <v>653110.49533863948</v>
      </c>
      <c r="P48" s="325">
        <v>653110.49533863948</v>
      </c>
      <c r="Q48" s="325">
        <v>653110.49533863948</v>
      </c>
      <c r="R48" s="325">
        <v>653110.49533863948</v>
      </c>
      <c r="S48" s="325">
        <v>653110.49533863948</v>
      </c>
      <c r="T48" s="325">
        <v>653110.49533863948</v>
      </c>
      <c r="U48" s="325">
        <v>653110.49533863948</v>
      </c>
      <c r="V48" s="325">
        <v>653110.49533863948</v>
      </c>
      <c r="W48" s="325">
        <v>653110.49533863948</v>
      </c>
      <c r="X48" s="325">
        <v>653110.49533863948</v>
      </c>
      <c r="Y48" s="325">
        <v>653110.49533863948</v>
      </c>
      <c r="Z48" s="325">
        <v>653110.49533863948</v>
      </c>
      <c r="AA48" s="325">
        <v>653110.49533863948</v>
      </c>
      <c r="AB48" s="325">
        <v>653110.49533863948</v>
      </c>
      <c r="AC48" s="325">
        <v>653110.49533863948</v>
      </c>
      <c r="AD48" s="325">
        <v>653110.49533863948</v>
      </c>
      <c r="AE48" s="325">
        <v>653110.49533863948</v>
      </c>
      <c r="AF48" s="325">
        <v>653110.49533863948</v>
      </c>
      <c r="AG48" s="325">
        <v>653110.49533863948</v>
      </c>
    </row>
    <row r="49" spans="3:33" ht="13.8">
      <c r="C49" s="324" t="s">
        <v>482</v>
      </c>
      <c r="D49" s="325">
        <v>300000</v>
      </c>
      <c r="E49" s="325">
        <v>300000</v>
      </c>
      <c r="F49" s="325">
        <v>300000</v>
      </c>
      <c r="G49" s="325">
        <v>300000</v>
      </c>
      <c r="H49" s="325">
        <v>300000</v>
      </c>
      <c r="I49" s="325">
        <v>300000</v>
      </c>
      <c r="J49" s="325">
        <v>300000</v>
      </c>
      <c r="K49" s="325">
        <v>300000</v>
      </c>
      <c r="L49" s="325">
        <v>300000</v>
      </c>
      <c r="M49" s="325">
        <v>300000</v>
      </c>
      <c r="N49" s="325">
        <v>300000</v>
      </c>
      <c r="O49" s="325">
        <v>300000</v>
      </c>
      <c r="P49" s="325">
        <v>300000</v>
      </c>
      <c r="Q49" s="325">
        <v>300000</v>
      </c>
      <c r="R49" s="325">
        <v>300000</v>
      </c>
      <c r="S49" s="325">
        <v>300000</v>
      </c>
      <c r="T49" s="325">
        <v>300000</v>
      </c>
      <c r="U49" s="325">
        <v>300000</v>
      </c>
      <c r="V49" s="325">
        <v>300000</v>
      </c>
      <c r="W49" s="325">
        <v>300000</v>
      </c>
      <c r="X49" s="325">
        <v>300000</v>
      </c>
      <c r="Y49" s="325">
        <v>300000</v>
      </c>
      <c r="Z49" s="325">
        <v>300000</v>
      </c>
      <c r="AA49" s="325">
        <v>300000</v>
      </c>
      <c r="AB49" s="325">
        <v>300000</v>
      </c>
      <c r="AC49" s="325">
        <v>300000</v>
      </c>
      <c r="AD49" s="325">
        <v>300000</v>
      </c>
      <c r="AE49" s="325">
        <v>300000</v>
      </c>
      <c r="AF49" s="325">
        <v>300000</v>
      </c>
      <c r="AG49" s="325">
        <v>300000</v>
      </c>
    </row>
    <row r="50" spans="3:33" ht="13.8">
      <c r="D50" s="321"/>
      <c r="E50" s="321"/>
      <c r="F50" s="321"/>
      <c r="G50" s="321"/>
      <c r="H50" s="321"/>
      <c r="I50" s="321"/>
      <c r="J50" s="321"/>
      <c r="K50" s="321"/>
      <c r="L50" s="321"/>
      <c r="M50" s="321"/>
      <c r="N50" s="321"/>
      <c r="O50" s="321"/>
      <c r="P50" s="321"/>
      <c r="Q50" s="321"/>
      <c r="R50" s="321"/>
      <c r="S50" s="321"/>
      <c r="T50" s="321"/>
      <c r="U50" s="321"/>
      <c r="V50" s="321"/>
      <c r="W50" s="321"/>
      <c r="X50" s="321"/>
      <c r="Y50" s="321"/>
      <c r="Z50" s="321"/>
      <c r="AA50" s="321"/>
      <c r="AB50" s="321"/>
      <c r="AC50" s="321"/>
      <c r="AD50" s="321"/>
      <c r="AE50" s="321"/>
      <c r="AF50" s="321"/>
      <c r="AG50" s="321"/>
    </row>
    <row r="51" spans="3:33" ht="26.4" customHeight="1">
      <c r="C51" s="323" t="s">
        <v>483</v>
      </c>
      <c r="D51" s="318">
        <v>2025</v>
      </c>
      <c r="E51" s="318">
        <v>2026</v>
      </c>
      <c r="F51" s="318">
        <v>2027</v>
      </c>
      <c r="G51" s="318">
        <v>2028</v>
      </c>
      <c r="H51" s="318">
        <v>2029</v>
      </c>
      <c r="I51" s="318">
        <v>2030</v>
      </c>
      <c r="J51" s="318">
        <v>2031</v>
      </c>
      <c r="K51" s="318">
        <v>2032</v>
      </c>
      <c r="L51" s="318">
        <v>2033</v>
      </c>
      <c r="M51" s="318">
        <v>2034</v>
      </c>
      <c r="N51" s="318">
        <v>2035</v>
      </c>
      <c r="O51" s="318">
        <v>2036</v>
      </c>
      <c r="P51" s="318">
        <v>2037</v>
      </c>
      <c r="Q51" s="318">
        <v>2038</v>
      </c>
      <c r="R51" s="318">
        <v>2039</v>
      </c>
      <c r="S51" s="318">
        <v>2040</v>
      </c>
      <c r="T51" s="318">
        <v>2041</v>
      </c>
      <c r="U51" s="318">
        <v>2042</v>
      </c>
      <c r="V51" s="318">
        <v>2043</v>
      </c>
      <c r="W51" s="318">
        <v>2044</v>
      </c>
      <c r="X51" s="318">
        <v>2045</v>
      </c>
      <c r="Y51" s="318">
        <v>2046</v>
      </c>
      <c r="Z51" s="318">
        <v>2047</v>
      </c>
      <c r="AA51" s="318">
        <v>2048</v>
      </c>
      <c r="AB51" s="318">
        <v>2049</v>
      </c>
      <c r="AC51" s="318">
        <v>2050</v>
      </c>
      <c r="AD51" s="318">
        <v>2051</v>
      </c>
      <c r="AE51" s="318">
        <v>2052</v>
      </c>
      <c r="AF51" s="318">
        <v>2053</v>
      </c>
      <c r="AG51" s="318">
        <v>2054</v>
      </c>
    </row>
    <row r="52" spans="3:33" ht="13.8">
      <c r="C52" s="324" t="s">
        <v>481</v>
      </c>
      <c r="D52" s="325">
        <v>638642.99067727895</v>
      </c>
      <c r="E52" s="325">
        <v>638642.99067727895</v>
      </c>
      <c r="F52" s="325">
        <v>638642.99067727895</v>
      </c>
      <c r="G52" s="325">
        <v>638642.99067727895</v>
      </c>
      <c r="H52" s="325">
        <v>638642.99067727895</v>
      </c>
      <c r="I52" s="325">
        <v>638642.99067727895</v>
      </c>
      <c r="J52" s="325">
        <v>638642.99067727895</v>
      </c>
      <c r="K52" s="325">
        <v>638642.99067727895</v>
      </c>
      <c r="L52" s="325">
        <v>638642.99067727895</v>
      </c>
      <c r="M52" s="325">
        <v>638642.99067727895</v>
      </c>
      <c r="N52" s="325">
        <v>638642.99067727895</v>
      </c>
      <c r="O52" s="325">
        <v>638642.99067727895</v>
      </c>
      <c r="P52" s="325">
        <v>638642.99067727895</v>
      </c>
      <c r="Q52" s="325">
        <v>638642.99067727895</v>
      </c>
      <c r="R52" s="325">
        <v>638642.99067727895</v>
      </c>
      <c r="S52" s="325">
        <v>638642.99067727895</v>
      </c>
      <c r="T52" s="325">
        <v>638642.99067727895</v>
      </c>
      <c r="U52" s="325">
        <v>638642.99067727895</v>
      </c>
      <c r="V52" s="325">
        <v>638642.99067727895</v>
      </c>
      <c r="W52" s="325">
        <v>638642.99067727895</v>
      </c>
      <c r="X52" s="325">
        <v>638642.99067727895</v>
      </c>
      <c r="Y52" s="325">
        <v>638642.99067727895</v>
      </c>
      <c r="Z52" s="325">
        <v>638642.99067727895</v>
      </c>
      <c r="AA52" s="325">
        <v>638642.99067727895</v>
      </c>
      <c r="AB52" s="325">
        <v>638642.99067727895</v>
      </c>
      <c r="AC52" s="325">
        <v>638642.99067727895</v>
      </c>
      <c r="AD52" s="325">
        <v>638642.99067727895</v>
      </c>
      <c r="AE52" s="325">
        <v>638642.99067727895</v>
      </c>
      <c r="AF52" s="325">
        <v>638642.99067727895</v>
      </c>
      <c r="AG52" s="325">
        <v>638642.99067727895</v>
      </c>
    </row>
    <row r="53" spans="3:33" ht="13.8">
      <c r="C53" s="324" t="s">
        <v>482</v>
      </c>
      <c r="D53" s="325">
        <v>675000</v>
      </c>
      <c r="E53" s="325">
        <v>675000</v>
      </c>
      <c r="F53" s="325">
        <v>675000</v>
      </c>
      <c r="G53" s="325">
        <v>675000</v>
      </c>
      <c r="H53" s="325">
        <v>675000</v>
      </c>
      <c r="I53" s="325">
        <v>675000</v>
      </c>
      <c r="J53" s="325">
        <v>675000</v>
      </c>
      <c r="K53" s="325">
        <v>675000</v>
      </c>
      <c r="L53" s="325">
        <v>675000</v>
      </c>
      <c r="M53" s="325">
        <v>675000</v>
      </c>
      <c r="N53" s="325">
        <v>675000</v>
      </c>
      <c r="O53" s="325">
        <v>675000</v>
      </c>
      <c r="P53" s="325">
        <v>675000</v>
      </c>
      <c r="Q53" s="325">
        <v>675000</v>
      </c>
      <c r="R53" s="325">
        <v>675000</v>
      </c>
      <c r="S53" s="325">
        <v>675000</v>
      </c>
      <c r="T53" s="325">
        <v>675000</v>
      </c>
      <c r="U53" s="325">
        <v>675000</v>
      </c>
      <c r="V53" s="325">
        <v>675000</v>
      </c>
      <c r="W53" s="325">
        <v>675000</v>
      </c>
      <c r="X53" s="325">
        <v>675000</v>
      </c>
      <c r="Y53" s="325">
        <v>675000</v>
      </c>
      <c r="Z53" s="325">
        <v>675000</v>
      </c>
      <c r="AA53" s="325">
        <v>675000</v>
      </c>
      <c r="AB53" s="325">
        <v>675000</v>
      </c>
      <c r="AC53" s="325">
        <v>675000</v>
      </c>
      <c r="AD53" s="325">
        <v>675000</v>
      </c>
      <c r="AE53" s="325">
        <v>675000</v>
      </c>
      <c r="AF53" s="325">
        <v>675000</v>
      </c>
      <c r="AG53" s="325">
        <v>675000</v>
      </c>
    </row>
    <row r="54" spans="3:33" ht="13.8">
      <c r="D54" s="321"/>
      <c r="E54" s="321"/>
      <c r="F54" s="321"/>
      <c r="G54" s="321"/>
      <c r="H54" s="321"/>
      <c r="I54" s="321"/>
      <c r="J54" s="321"/>
      <c r="K54" s="321"/>
      <c r="L54" s="321"/>
      <c r="M54" s="321"/>
      <c r="N54" s="321"/>
      <c r="O54" s="321"/>
      <c r="P54" s="321"/>
      <c r="Q54" s="321"/>
      <c r="R54" s="321"/>
      <c r="S54" s="321"/>
      <c r="T54" s="321"/>
      <c r="U54" s="321"/>
      <c r="V54" s="321"/>
      <c r="W54" s="321"/>
      <c r="X54" s="321"/>
      <c r="Y54" s="321"/>
      <c r="Z54" s="321"/>
      <c r="AA54" s="321"/>
      <c r="AB54" s="321"/>
      <c r="AC54" s="321"/>
      <c r="AD54" s="321"/>
      <c r="AE54" s="321"/>
      <c r="AF54" s="321"/>
      <c r="AG54" s="321"/>
    </row>
    <row r="55" spans="3:33" ht="13.8">
      <c r="C55" s="316" t="s">
        <v>475</v>
      </c>
      <c r="D55" s="322" t="s">
        <v>476</v>
      </c>
      <c r="E55" s="321"/>
      <c r="F55" s="321"/>
      <c r="G55" s="321"/>
      <c r="H55" s="321"/>
      <c r="I55" s="321"/>
      <c r="J55" s="321"/>
      <c r="K55" s="321"/>
      <c r="L55" s="321"/>
      <c r="M55" s="321"/>
      <c r="N55" s="321"/>
      <c r="O55" s="321"/>
      <c r="P55" s="321"/>
      <c r="Q55" s="321"/>
      <c r="R55" s="321"/>
      <c r="S55" s="321"/>
      <c r="T55" s="321"/>
      <c r="U55" s="321"/>
      <c r="V55" s="321"/>
      <c r="W55" s="321"/>
      <c r="X55" s="321"/>
      <c r="Y55" s="321"/>
      <c r="Z55" s="321"/>
      <c r="AA55" s="321"/>
      <c r="AB55" s="321"/>
      <c r="AC55" s="321"/>
      <c r="AD55" s="321"/>
      <c r="AE55" s="321"/>
      <c r="AF55" s="321"/>
      <c r="AG55" s="321"/>
    </row>
    <row r="56" spans="3:33" ht="13.8">
      <c r="D56" s="321"/>
      <c r="E56" s="321"/>
      <c r="F56" s="321"/>
      <c r="G56" s="321"/>
      <c r="H56" s="321"/>
      <c r="I56" s="321"/>
      <c r="J56" s="321"/>
      <c r="K56" s="321"/>
      <c r="L56" s="321"/>
      <c r="M56" s="321"/>
      <c r="N56" s="321"/>
      <c r="O56" s="321"/>
      <c r="P56" s="321"/>
      <c r="Q56" s="321"/>
      <c r="R56" s="321"/>
      <c r="S56" s="321"/>
      <c r="T56" s="321"/>
      <c r="U56" s="321"/>
      <c r="V56" s="321"/>
      <c r="W56" s="321"/>
      <c r="X56" s="321"/>
      <c r="Y56" s="321"/>
      <c r="Z56" s="321"/>
      <c r="AA56" s="321"/>
      <c r="AB56" s="321"/>
      <c r="AC56" s="321"/>
      <c r="AD56" s="321"/>
      <c r="AE56" s="321"/>
      <c r="AF56" s="321"/>
      <c r="AG56" s="321"/>
    </row>
    <row r="57" spans="3:33" ht="13.8">
      <c r="D57" s="321"/>
      <c r="E57" s="321"/>
      <c r="F57" s="321"/>
      <c r="G57" s="321"/>
      <c r="H57" s="321"/>
      <c r="I57" s="321"/>
      <c r="J57" s="321"/>
      <c r="K57" s="321"/>
      <c r="L57" s="321"/>
      <c r="M57" s="321"/>
      <c r="N57" s="321"/>
      <c r="O57" s="321"/>
      <c r="P57" s="321"/>
      <c r="Q57" s="321"/>
      <c r="R57" s="321"/>
      <c r="S57" s="321"/>
      <c r="T57" s="321"/>
      <c r="U57" s="321"/>
      <c r="V57" s="321"/>
      <c r="W57" s="321"/>
      <c r="X57" s="321"/>
      <c r="Y57" s="321"/>
      <c r="Z57" s="321"/>
      <c r="AA57" s="321"/>
      <c r="AB57" s="321"/>
      <c r="AC57" s="321"/>
      <c r="AD57" s="321"/>
      <c r="AE57" s="321"/>
      <c r="AF57" s="321"/>
      <c r="AG57" s="321"/>
    </row>
    <row r="58" spans="3:33" ht="13.8">
      <c r="C58" s="316" t="s">
        <v>477</v>
      </c>
      <c r="D58" s="321"/>
      <c r="E58" s="326"/>
      <c r="F58" s="321"/>
      <c r="G58" s="321"/>
      <c r="H58" s="321"/>
      <c r="I58" s="321"/>
      <c r="J58" s="321"/>
      <c r="K58" s="321"/>
      <c r="L58" s="321"/>
      <c r="M58" s="321"/>
      <c r="N58" s="321"/>
      <c r="O58" s="321"/>
      <c r="P58" s="321"/>
      <c r="Q58" s="321"/>
      <c r="R58" s="321"/>
      <c r="S58" s="321"/>
      <c r="T58" s="321"/>
      <c r="U58" s="321"/>
      <c r="V58" s="321"/>
      <c r="W58" s="321"/>
      <c r="X58" s="321"/>
      <c r="Y58" s="321"/>
      <c r="Z58" s="321"/>
      <c r="AA58" s="321"/>
      <c r="AB58" s="321"/>
      <c r="AC58" s="321"/>
      <c r="AD58" s="321"/>
      <c r="AE58" s="321"/>
      <c r="AF58" s="321"/>
      <c r="AG58" s="321"/>
    </row>
    <row r="59" spans="3:33" ht="13.8">
      <c r="D59" s="326"/>
      <c r="E59" s="321"/>
      <c r="F59" s="321"/>
      <c r="G59" s="321"/>
      <c r="H59" s="321"/>
      <c r="I59" s="321"/>
      <c r="J59" s="321"/>
      <c r="K59" s="321"/>
      <c r="L59" s="321"/>
      <c r="M59" s="321"/>
      <c r="N59" s="321"/>
      <c r="O59" s="321"/>
      <c r="P59" s="321"/>
      <c r="Q59" s="321"/>
      <c r="R59" s="321"/>
      <c r="S59" s="321"/>
      <c r="T59" s="321"/>
      <c r="U59" s="321"/>
      <c r="V59" s="321"/>
      <c r="W59" s="321"/>
      <c r="X59" s="321"/>
      <c r="Y59" s="321"/>
      <c r="Z59" s="321"/>
      <c r="AA59" s="321"/>
      <c r="AB59" s="321"/>
      <c r="AC59" s="321"/>
      <c r="AD59" s="321"/>
      <c r="AE59" s="321"/>
      <c r="AF59" s="321"/>
      <c r="AG59" s="321"/>
    </row>
    <row r="60" spans="3:33" ht="26.4" customHeight="1">
      <c r="C60" s="323" t="s">
        <v>484</v>
      </c>
      <c r="D60" s="318">
        <v>2025</v>
      </c>
      <c r="E60" s="318">
        <v>2026</v>
      </c>
      <c r="F60" s="318">
        <v>2027</v>
      </c>
      <c r="G60" s="318">
        <v>2028</v>
      </c>
      <c r="H60" s="318">
        <v>2029</v>
      </c>
      <c r="I60" s="318">
        <v>2030</v>
      </c>
      <c r="J60" s="318">
        <v>2031</v>
      </c>
      <c r="K60" s="318">
        <v>2032</v>
      </c>
      <c r="L60" s="318">
        <v>2033</v>
      </c>
      <c r="M60" s="318">
        <v>2034</v>
      </c>
      <c r="N60" s="318">
        <v>2035</v>
      </c>
      <c r="O60" s="318">
        <v>2036</v>
      </c>
      <c r="P60" s="318">
        <v>2037</v>
      </c>
      <c r="Q60" s="318">
        <v>2038</v>
      </c>
      <c r="R60" s="318">
        <v>2039</v>
      </c>
      <c r="S60" s="318">
        <v>2040</v>
      </c>
      <c r="T60" s="318">
        <v>2041</v>
      </c>
      <c r="U60" s="318">
        <v>2042</v>
      </c>
      <c r="V60" s="318">
        <v>2043</v>
      </c>
      <c r="W60" s="318">
        <v>2044</v>
      </c>
      <c r="X60" s="318">
        <v>2045</v>
      </c>
      <c r="Y60" s="318">
        <v>2046</v>
      </c>
      <c r="Z60" s="318">
        <v>2047</v>
      </c>
      <c r="AA60" s="318">
        <v>2048</v>
      </c>
      <c r="AB60" s="318">
        <v>2049</v>
      </c>
      <c r="AC60" s="318">
        <v>2050</v>
      </c>
      <c r="AD60" s="318">
        <v>2051</v>
      </c>
      <c r="AE60" s="318">
        <v>2052</v>
      </c>
      <c r="AF60" s="318">
        <v>2053</v>
      </c>
      <c r="AG60" s="318">
        <v>2054</v>
      </c>
    </row>
    <row r="61" spans="3:33" ht="13.8">
      <c r="C61" s="324" t="s">
        <v>481</v>
      </c>
      <c r="D61" s="325">
        <v>653110.49533863948</v>
      </c>
      <c r="E61" s="325">
        <v>803124</v>
      </c>
      <c r="F61" s="325">
        <v>803124</v>
      </c>
      <c r="G61" s="325">
        <v>803124</v>
      </c>
      <c r="H61" s="325">
        <v>803124</v>
      </c>
      <c r="I61" s="325">
        <v>803124</v>
      </c>
      <c r="J61" s="325">
        <v>803124</v>
      </c>
      <c r="K61" s="325">
        <v>803124</v>
      </c>
      <c r="L61" s="325">
        <v>803124</v>
      </c>
      <c r="M61" s="325">
        <v>803124</v>
      </c>
      <c r="N61" s="325">
        <v>803124</v>
      </c>
      <c r="O61" s="325">
        <v>803124</v>
      </c>
      <c r="P61" s="325">
        <v>803124</v>
      </c>
      <c r="Q61" s="325">
        <v>803124</v>
      </c>
      <c r="R61" s="325">
        <v>803124</v>
      </c>
      <c r="S61" s="325">
        <v>803124</v>
      </c>
      <c r="T61" s="325">
        <v>803124</v>
      </c>
      <c r="U61" s="325">
        <v>803124</v>
      </c>
      <c r="V61" s="325">
        <v>803124</v>
      </c>
      <c r="W61" s="325">
        <v>803124</v>
      </c>
      <c r="X61" s="325">
        <v>803124</v>
      </c>
      <c r="Y61" s="325">
        <v>803124</v>
      </c>
      <c r="Z61" s="325">
        <v>803124</v>
      </c>
      <c r="AA61" s="325">
        <v>803124</v>
      </c>
      <c r="AB61" s="325">
        <v>803124</v>
      </c>
      <c r="AC61" s="325">
        <v>803124</v>
      </c>
      <c r="AD61" s="325">
        <v>803124</v>
      </c>
      <c r="AE61" s="325">
        <v>803124</v>
      </c>
      <c r="AF61" s="325">
        <v>803124</v>
      </c>
      <c r="AG61" s="325">
        <v>803124</v>
      </c>
    </row>
    <row r="62" spans="3:33" ht="13.8">
      <c r="C62" s="324" t="s">
        <v>482</v>
      </c>
      <c r="D62" s="325">
        <v>300000</v>
      </c>
      <c r="E62" s="325">
        <v>300000</v>
      </c>
      <c r="F62" s="325">
        <v>300000</v>
      </c>
      <c r="G62" s="325">
        <v>300000</v>
      </c>
      <c r="H62" s="325">
        <v>300000</v>
      </c>
      <c r="I62" s="325">
        <v>300000</v>
      </c>
      <c r="J62" s="325">
        <v>300000</v>
      </c>
      <c r="K62" s="325">
        <v>300000</v>
      </c>
      <c r="L62" s="325">
        <v>300000</v>
      </c>
      <c r="M62" s="325">
        <v>300000</v>
      </c>
      <c r="N62" s="325">
        <v>300000</v>
      </c>
      <c r="O62" s="325">
        <v>300000</v>
      </c>
      <c r="P62" s="325">
        <v>300000</v>
      </c>
      <c r="Q62" s="325">
        <v>300000</v>
      </c>
      <c r="R62" s="325">
        <v>300000</v>
      </c>
      <c r="S62" s="325">
        <v>300000</v>
      </c>
      <c r="T62" s="325">
        <v>300000</v>
      </c>
      <c r="U62" s="325">
        <v>300000</v>
      </c>
      <c r="V62" s="325">
        <v>300000</v>
      </c>
      <c r="W62" s="325">
        <v>300000</v>
      </c>
      <c r="X62" s="325">
        <v>300000</v>
      </c>
      <c r="Y62" s="325">
        <v>300000</v>
      </c>
      <c r="Z62" s="325">
        <v>300000</v>
      </c>
      <c r="AA62" s="325">
        <v>300000</v>
      </c>
      <c r="AB62" s="325">
        <v>300000</v>
      </c>
      <c r="AC62" s="325">
        <v>300000</v>
      </c>
      <c r="AD62" s="325">
        <v>300000</v>
      </c>
      <c r="AE62" s="325">
        <v>300000</v>
      </c>
      <c r="AF62" s="325">
        <v>300000</v>
      </c>
      <c r="AG62" s="325">
        <v>300000</v>
      </c>
    </row>
    <row r="63" spans="3:33" ht="13.8">
      <c r="D63" s="321"/>
      <c r="E63" s="321"/>
      <c r="F63" s="321"/>
      <c r="G63" s="321"/>
      <c r="H63" s="321"/>
      <c r="I63" s="321"/>
      <c r="J63" s="321"/>
      <c r="K63" s="321"/>
      <c r="L63" s="321"/>
      <c r="M63" s="321"/>
      <c r="N63" s="321"/>
      <c r="O63" s="321"/>
      <c r="P63" s="321"/>
      <c r="Q63" s="321"/>
      <c r="R63" s="321"/>
      <c r="S63" s="321"/>
      <c r="T63" s="321"/>
      <c r="U63" s="321"/>
      <c r="V63" s="321"/>
      <c r="W63" s="321"/>
      <c r="X63" s="321"/>
      <c r="Y63" s="321"/>
      <c r="Z63" s="321"/>
      <c r="AA63" s="321"/>
      <c r="AB63" s="321"/>
      <c r="AC63" s="321"/>
      <c r="AD63" s="321"/>
      <c r="AE63" s="321"/>
      <c r="AF63" s="321"/>
      <c r="AG63" s="321"/>
    </row>
    <row r="64" spans="3:33" ht="26.4" customHeight="1">
      <c r="C64" s="323" t="s">
        <v>485</v>
      </c>
      <c r="D64" s="318">
        <v>2025</v>
      </c>
      <c r="E64" s="318">
        <v>2026</v>
      </c>
      <c r="F64" s="318">
        <v>2027</v>
      </c>
      <c r="G64" s="318">
        <v>2028</v>
      </c>
      <c r="H64" s="318">
        <v>2029</v>
      </c>
      <c r="I64" s="318">
        <v>2030</v>
      </c>
      <c r="J64" s="318">
        <v>2031</v>
      </c>
      <c r="K64" s="318">
        <v>2032</v>
      </c>
      <c r="L64" s="318">
        <v>2033</v>
      </c>
      <c r="M64" s="318">
        <v>2034</v>
      </c>
      <c r="N64" s="318">
        <v>2035</v>
      </c>
      <c r="O64" s="318">
        <v>2036</v>
      </c>
      <c r="P64" s="318">
        <v>2037</v>
      </c>
      <c r="Q64" s="318">
        <v>2038</v>
      </c>
      <c r="R64" s="318">
        <v>2039</v>
      </c>
      <c r="S64" s="318">
        <v>2040</v>
      </c>
      <c r="T64" s="318">
        <v>2041</v>
      </c>
      <c r="U64" s="318">
        <v>2042</v>
      </c>
      <c r="V64" s="318">
        <v>2043</v>
      </c>
      <c r="W64" s="318">
        <v>2044</v>
      </c>
      <c r="X64" s="318">
        <v>2045</v>
      </c>
      <c r="Y64" s="318">
        <v>2046</v>
      </c>
      <c r="Z64" s="318">
        <v>2047</v>
      </c>
      <c r="AA64" s="318">
        <v>2048</v>
      </c>
      <c r="AB64" s="318">
        <v>2049</v>
      </c>
      <c r="AC64" s="318">
        <v>2050</v>
      </c>
      <c r="AD64" s="318">
        <v>2051</v>
      </c>
      <c r="AE64" s="318">
        <v>2052</v>
      </c>
      <c r="AF64" s="318">
        <v>2053</v>
      </c>
      <c r="AG64" s="318">
        <v>2054</v>
      </c>
    </row>
    <row r="65" spans="3:33" ht="13.8">
      <c r="C65" s="324" t="s">
        <v>481</v>
      </c>
      <c r="D65" s="325">
        <v>638642.99067727895</v>
      </c>
      <c r="E65" s="325">
        <v>938670</v>
      </c>
      <c r="F65" s="325">
        <v>938670</v>
      </c>
      <c r="G65" s="325">
        <v>938670</v>
      </c>
      <c r="H65" s="325">
        <v>938670</v>
      </c>
      <c r="I65" s="325">
        <v>938670</v>
      </c>
      <c r="J65" s="325">
        <v>938670</v>
      </c>
      <c r="K65" s="325">
        <v>938670</v>
      </c>
      <c r="L65" s="325">
        <v>938670</v>
      </c>
      <c r="M65" s="325">
        <v>938670</v>
      </c>
      <c r="N65" s="325">
        <v>938670</v>
      </c>
      <c r="O65" s="325">
        <v>938670</v>
      </c>
      <c r="P65" s="325">
        <v>938670</v>
      </c>
      <c r="Q65" s="325">
        <v>938670</v>
      </c>
      <c r="R65" s="325">
        <v>938670</v>
      </c>
      <c r="S65" s="325">
        <v>938670</v>
      </c>
      <c r="T65" s="325">
        <v>938670</v>
      </c>
      <c r="U65" s="325">
        <v>938670</v>
      </c>
      <c r="V65" s="325">
        <v>938670</v>
      </c>
      <c r="W65" s="325">
        <v>938670</v>
      </c>
      <c r="X65" s="325">
        <v>938670</v>
      </c>
      <c r="Y65" s="325">
        <v>938670</v>
      </c>
      <c r="Z65" s="325">
        <v>938670</v>
      </c>
      <c r="AA65" s="325">
        <v>938670</v>
      </c>
      <c r="AB65" s="325">
        <v>938670</v>
      </c>
      <c r="AC65" s="325">
        <v>938670</v>
      </c>
      <c r="AD65" s="325">
        <v>938670</v>
      </c>
      <c r="AE65" s="325">
        <v>938670</v>
      </c>
      <c r="AF65" s="325">
        <v>938670</v>
      </c>
      <c r="AG65" s="325">
        <v>938670</v>
      </c>
    </row>
    <row r="66" spans="3:33" ht="13.8">
      <c r="C66" s="324" t="s">
        <v>482</v>
      </c>
      <c r="D66" s="325">
        <v>675000</v>
      </c>
      <c r="E66" s="325">
        <v>675000</v>
      </c>
      <c r="F66" s="325">
        <v>675000</v>
      </c>
      <c r="G66" s="325">
        <v>675000</v>
      </c>
      <c r="H66" s="325">
        <v>675000</v>
      </c>
      <c r="I66" s="325">
        <v>675000</v>
      </c>
      <c r="J66" s="325">
        <v>675000</v>
      </c>
      <c r="K66" s="325">
        <v>675000</v>
      </c>
      <c r="L66" s="325">
        <v>675000</v>
      </c>
      <c r="M66" s="325">
        <v>675000</v>
      </c>
      <c r="N66" s="325">
        <v>675000</v>
      </c>
      <c r="O66" s="325">
        <v>675000</v>
      </c>
      <c r="P66" s="325">
        <v>675000</v>
      </c>
      <c r="Q66" s="325">
        <v>675000</v>
      </c>
      <c r="R66" s="325">
        <v>675000</v>
      </c>
      <c r="S66" s="325">
        <v>675000</v>
      </c>
      <c r="T66" s="325">
        <v>675000</v>
      </c>
      <c r="U66" s="325">
        <v>675000</v>
      </c>
      <c r="V66" s="325">
        <v>675000</v>
      </c>
      <c r="W66" s="325">
        <v>675000</v>
      </c>
      <c r="X66" s="325">
        <v>675000</v>
      </c>
      <c r="Y66" s="325">
        <v>675000</v>
      </c>
      <c r="Z66" s="325">
        <v>675000</v>
      </c>
      <c r="AA66" s="325">
        <v>675000</v>
      </c>
      <c r="AB66" s="325">
        <v>675000</v>
      </c>
      <c r="AC66" s="325">
        <v>675000</v>
      </c>
      <c r="AD66" s="325">
        <v>675000</v>
      </c>
      <c r="AE66" s="325">
        <v>675000</v>
      </c>
      <c r="AF66" s="325">
        <v>675000</v>
      </c>
      <c r="AG66" s="325">
        <v>675000</v>
      </c>
    </row>
    <row r="67" spans="3:33" ht="13.8">
      <c r="D67" s="321"/>
      <c r="E67" s="321"/>
      <c r="F67" s="321"/>
      <c r="G67" s="321"/>
      <c r="H67" s="321"/>
      <c r="I67" s="321"/>
      <c r="J67" s="321"/>
      <c r="K67" s="321"/>
      <c r="L67" s="321"/>
      <c r="M67" s="321"/>
      <c r="N67" s="321"/>
      <c r="O67" s="321"/>
      <c r="P67" s="321"/>
      <c r="Q67" s="321"/>
      <c r="R67" s="321"/>
      <c r="S67" s="321"/>
      <c r="T67" s="321"/>
      <c r="U67" s="321"/>
      <c r="V67" s="321"/>
      <c r="W67" s="321"/>
      <c r="X67" s="321"/>
      <c r="Y67" s="321"/>
      <c r="Z67" s="321"/>
      <c r="AA67" s="321"/>
      <c r="AB67" s="321"/>
      <c r="AC67" s="321"/>
      <c r="AD67" s="321"/>
      <c r="AE67" s="321"/>
      <c r="AF67" s="321"/>
      <c r="AG67" s="321"/>
    </row>
    <row r="68" spans="3:33" ht="13.8">
      <c r="C68" s="316" t="s">
        <v>475</v>
      </c>
      <c r="D68" s="322" t="s">
        <v>476</v>
      </c>
      <c r="E68" s="321"/>
      <c r="F68" s="321"/>
      <c r="G68" s="321"/>
      <c r="H68" s="321"/>
      <c r="I68" s="321"/>
      <c r="J68" s="321"/>
      <c r="K68" s="321"/>
      <c r="L68" s="321"/>
      <c r="M68" s="321"/>
      <c r="N68" s="321"/>
      <c r="O68" s="321"/>
      <c r="P68" s="321"/>
      <c r="Q68" s="321"/>
      <c r="R68" s="321"/>
      <c r="S68" s="321"/>
      <c r="T68" s="321"/>
      <c r="U68" s="321"/>
      <c r="V68" s="321"/>
      <c r="W68" s="321"/>
      <c r="X68" s="321"/>
      <c r="Y68" s="321"/>
      <c r="Z68" s="321"/>
      <c r="AA68" s="321"/>
      <c r="AB68" s="321"/>
      <c r="AC68" s="321"/>
      <c r="AD68" s="321"/>
      <c r="AE68" s="321"/>
      <c r="AF68" s="321"/>
      <c r="AG68" s="321"/>
    </row>
    <row r="69" spans="3:33" ht="13.8">
      <c r="D69" s="321"/>
      <c r="E69" s="326"/>
      <c r="F69" s="321"/>
      <c r="G69" s="321"/>
      <c r="H69" s="321"/>
      <c r="I69" s="321"/>
      <c r="J69" s="321"/>
      <c r="K69" s="321"/>
      <c r="L69" s="321"/>
      <c r="M69" s="321"/>
      <c r="N69" s="321"/>
      <c r="O69" s="321"/>
      <c r="P69" s="321"/>
      <c r="Q69" s="321"/>
      <c r="R69" s="321"/>
      <c r="S69" s="321"/>
      <c r="T69" s="321"/>
      <c r="U69" s="321"/>
      <c r="V69" s="321"/>
      <c r="W69" s="321"/>
      <c r="X69" s="321"/>
      <c r="Y69" s="321"/>
      <c r="Z69" s="321"/>
      <c r="AA69" s="321"/>
      <c r="AB69" s="321"/>
      <c r="AC69" s="321"/>
      <c r="AD69" s="321"/>
      <c r="AE69" s="321"/>
      <c r="AF69" s="321"/>
      <c r="AG69" s="321"/>
    </row>
    <row r="70" spans="3:33" ht="13.8">
      <c r="D70" s="321"/>
      <c r="E70" s="321"/>
      <c r="F70" s="321"/>
      <c r="G70" s="321"/>
      <c r="H70" s="321"/>
      <c r="I70" s="321"/>
      <c r="J70" s="321"/>
      <c r="K70" s="321"/>
      <c r="L70" s="321"/>
      <c r="M70" s="321"/>
      <c r="N70" s="321"/>
      <c r="O70" s="321"/>
      <c r="P70" s="321"/>
      <c r="Q70" s="321"/>
      <c r="R70" s="321"/>
      <c r="S70" s="321"/>
      <c r="T70" s="321"/>
      <c r="U70" s="321"/>
      <c r="V70" s="321"/>
      <c r="W70" s="321"/>
      <c r="X70" s="321"/>
      <c r="Y70" s="321"/>
      <c r="Z70" s="321"/>
      <c r="AA70" s="321"/>
      <c r="AB70" s="321"/>
      <c r="AC70" s="321"/>
      <c r="AD70" s="321"/>
      <c r="AE70" s="321"/>
      <c r="AF70" s="321"/>
      <c r="AG70" s="321"/>
    </row>
    <row r="71" spans="3:33" ht="13.8">
      <c r="C71" s="316" t="s">
        <v>479</v>
      </c>
      <c r="D71" s="321"/>
      <c r="E71" s="321"/>
      <c r="F71" s="321"/>
      <c r="G71" s="321"/>
      <c r="H71" s="321"/>
      <c r="I71" s="321"/>
      <c r="J71" s="321"/>
      <c r="K71" s="321"/>
      <c r="L71" s="321"/>
      <c r="M71" s="321"/>
      <c r="N71" s="321"/>
      <c r="O71" s="321"/>
      <c r="P71" s="321"/>
      <c r="Q71" s="321"/>
      <c r="R71" s="321"/>
      <c r="S71" s="321"/>
      <c r="T71" s="321"/>
      <c r="U71" s="321"/>
      <c r="V71" s="321"/>
      <c r="W71" s="321"/>
      <c r="X71" s="321"/>
      <c r="Y71" s="321"/>
      <c r="Z71" s="321"/>
      <c r="AA71" s="321"/>
      <c r="AB71" s="321"/>
      <c r="AC71" s="321"/>
      <c r="AD71" s="321"/>
      <c r="AE71" s="321"/>
      <c r="AF71" s="321"/>
      <c r="AG71" s="321"/>
    </row>
    <row r="72" spans="3:33" ht="13.8">
      <c r="D72" s="321"/>
      <c r="E72" s="321"/>
      <c r="F72" s="321"/>
      <c r="G72" s="321"/>
      <c r="H72" s="321"/>
      <c r="I72" s="321"/>
      <c r="J72" s="321"/>
      <c r="K72" s="321"/>
      <c r="L72" s="321"/>
      <c r="M72" s="321"/>
      <c r="N72" s="321"/>
      <c r="O72" s="321"/>
      <c r="P72" s="321"/>
      <c r="Q72" s="321"/>
      <c r="R72" s="321"/>
      <c r="S72" s="321"/>
      <c r="T72" s="321"/>
      <c r="U72" s="321"/>
      <c r="V72" s="321"/>
      <c r="W72" s="321"/>
      <c r="X72" s="321"/>
      <c r="Y72" s="321"/>
      <c r="Z72" s="321"/>
      <c r="AA72" s="321"/>
      <c r="AB72" s="321"/>
      <c r="AC72" s="321"/>
      <c r="AD72" s="321"/>
      <c r="AE72" s="321"/>
      <c r="AF72" s="321"/>
      <c r="AG72" s="321"/>
    </row>
    <row r="73" spans="3:33" ht="26.4" customHeight="1">
      <c r="C73" s="323" t="s">
        <v>486</v>
      </c>
      <c r="D73" s="318">
        <v>2025</v>
      </c>
      <c r="E73" s="318">
        <v>2026</v>
      </c>
      <c r="F73" s="318">
        <v>2027</v>
      </c>
      <c r="G73" s="318">
        <v>2028</v>
      </c>
      <c r="H73" s="318">
        <v>2029</v>
      </c>
      <c r="I73" s="318">
        <v>2030</v>
      </c>
      <c r="J73" s="318">
        <v>2031</v>
      </c>
      <c r="K73" s="318">
        <v>2032</v>
      </c>
      <c r="L73" s="318">
        <v>2033</v>
      </c>
      <c r="M73" s="318">
        <v>2034</v>
      </c>
      <c r="N73" s="318">
        <v>2035</v>
      </c>
      <c r="O73" s="318">
        <v>2036</v>
      </c>
      <c r="P73" s="318">
        <v>2037</v>
      </c>
      <c r="Q73" s="318">
        <v>2038</v>
      </c>
      <c r="R73" s="318">
        <v>2039</v>
      </c>
      <c r="S73" s="318">
        <v>2040</v>
      </c>
      <c r="T73" s="318">
        <v>2041</v>
      </c>
      <c r="U73" s="318">
        <v>2042</v>
      </c>
      <c r="V73" s="318">
        <v>2043</v>
      </c>
      <c r="W73" s="318">
        <v>2044</v>
      </c>
      <c r="X73" s="318">
        <v>2045</v>
      </c>
      <c r="Y73" s="318">
        <v>2046</v>
      </c>
      <c r="Z73" s="318">
        <v>2047</v>
      </c>
      <c r="AA73" s="318">
        <v>2048</v>
      </c>
      <c r="AB73" s="318">
        <v>2049</v>
      </c>
      <c r="AC73" s="318">
        <v>2050</v>
      </c>
      <c r="AD73" s="318">
        <v>2051</v>
      </c>
      <c r="AE73" s="318">
        <v>2052</v>
      </c>
      <c r="AF73" s="318">
        <v>2053</v>
      </c>
      <c r="AG73" s="318">
        <v>2054</v>
      </c>
    </row>
    <row r="74" spans="3:33" ht="13.8">
      <c r="C74" s="324" t="s">
        <v>481</v>
      </c>
      <c r="D74" s="325">
        <v>0</v>
      </c>
      <c r="E74" s="325">
        <v>150013.50466136052</v>
      </c>
      <c r="F74" s="325">
        <v>150013.50466136052</v>
      </c>
      <c r="G74" s="325">
        <v>150013.50466136052</v>
      </c>
      <c r="H74" s="325">
        <v>150013.50466136052</v>
      </c>
      <c r="I74" s="325">
        <v>150013.50466136052</v>
      </c>
      <c r="J74" s="325">
        <v>150013.50466136052</v>
      </c>
      <c r="K74" s="325">
        <v>150013.50466136052</v>
      </c>
      <c r="L74" s="325">
        <v>150013.50466136052</v>
      </c>
      <c r="M74" s="325">
        <v>150013.50466136052</v>
      </c>
      <c r="N74" s="325">
        <v>150013.50466136052</v>
      </c>
      <c r="O74" s="325">
        <v>150013.50466136052</v>
      </c>
      <c r="P74" s="325">
        <v>150013.50466136052</v>
      </c>
      <c r="Q74" s="325">
        <v>150013.50466136052</v>
      </c>
      <c r="R74" s="325">
        <v>150013.50466136052</v>
      </c>
      <c r="S74" s="325">
        <v>150013.50466136052</v>
      </c>
      <c r="T74" s="325">
        <v>150013.50466136052</v>
      </c>
      <c r="U74" s="325">
        <v>150013.50466136052</v>
      </c>
      <c r="V74" s="325">
        <v>150013.50466136052</v>
      </c>
      <c r="W74" s="325">
        <v>150013.50466136052</v>
      </c>
      <c r="X74" s="325">
        <v>150013.50466136052</v>
      </c>
      <c r="Y74" s="325">
        <v>150013.50466136052</v>
      </c>
      <c r="Z74" s="325">
        <v>150013.50466136052</v>
      </c>
      <c r="AA74" s="325">
        <v>150013.50466136052</v>
      </c>
      <c r="AB74" s="325">
        <v>150013.50466136052</v>
      </c>
      <c r="AC74" s="325">
        <v>150013.50466136052</v>
      </c>
      <c r="AD74" s="325">
        <v>150013.50466136052</v>
      </c>
      <c r="AE74" s="325">
        <v>150013.50466136052</v>
      </c>
      <c r="AF74" s="325">
        <v>150013.50466136052</v>
      </c>
      <c r="AG74" s="325">
        <v>150013.50466136052</v>
      </c>
    </row>
    <row r="75" spans="3:33" ht="13.8">
      <c r="C75" s="324" t="s">
        <v>482</v>
      </c>
      <c r="D75" s="325">
        <v>0</v>
      </c>
      <c r="E75" s="325">
        <v>0</v>
      </c>
      <c r="F75" s="325">
        <v>0</v>
      </c>
      <c r="G75" s="325">
        <v>0</v>
      </c>
      <c r="H75" s="325">
        <v>0</v>
      </c>
      <c r="I75" s="325">
        <v>0</v>
      </c>
      <c r="J75" s="325">
        <v>0</v>
      </c>
      <c r="K75" s="325">
        <v>0</v>
      </c>
      <c r="L75" s="325">
        <v>0</v>
      </c>
      <c r="M75" s="325">
        <v>0</v>
      </c>
      <c r="N75" s="325">
        <v>0</v>
      </c>
      <c r="O75" s="325">
        <v>0</v>
      </c>
      <c r="P75" s="325">
        <v>0</v>
      </c>
      <c r="Q75" s="325">
        <v>0</v>
      </c>
      <c r="R75" s="325">
        <v>0</v>
      </c>
      <c r="S75" s="325">
        <v>0</v>
      </c>
      <c r="T75" s="325">
        <v>0</v>
      </c>
      <c r="U75" s="325">
        <v>0</v>
      </c>
      <c r="V75" s="325">
        <v>0</v>
      </c>
      <c r="W75" s="325">
        <v>0</v>
      </c>
      <c r="X75" s="325">
        <v>0</v>
      </c>
      <c r="Y75" s="325">
        <v>0</v>
      </c>
      <c r="Z75" s="325">
        <v>0</v>
      </c>
      <c r="AA75" s="325">
        <v>0</v>
      </c>
      <c r="AB75" s="325">
        <v>0</v>
      </c>
      <c r="AC75" s="325">
        <v>0</v>
      </c>
      <c r="AD75" s="325">
        <v>0</v>
      </c>
      <c r="AE75" s="325">
        <v>0</v>
      </c>
      <c r="AF75" s="325">
        <v>0</v>
      </c>
      <c r="AG75" s="325">
        <v>0</v>
      </c>
    </row>
    <row r="76" spans="3:33" ht="13.8">
      <c r="D76" s="321"/>
      <c r="E76" s="321"/>
      <c r="F76" s="321"/>
      <c r="G76" s="321"/>
      <c r="H76" s="321"/>
      <c r="I76" s="321"/>
      <c r="J76" s="321"/>
      <c r="K76" s="321"/>
      <c r="L76" s="321"/>
      <c r="M76" s="321"/>
      <c r="N76" s="321"/>
      <c r="O76" s="321"/>
      <c r="P76" s="321"/>
      <c r="Q76" s="321"/>
      <c r="R76" s="321"/>
      <c r="S76" s="321"/>
      <c r="T76" s="321"/>
      <c r="U76" s="321"/>
      <c r="V76" s="321"/>
      <c r="W76" s="321"/>
      <c r="X76" s="321"/>
      <c r="Y76" s="321"/>
      <c r="Z76" s="321"/>
      <c r="AA76" s="321"/>
      <c r="AB76" s="321"/>
      <c r="AC76" s="321"/>
      <c r="AD76" s="321"/>
      <c r="AE76" s="321"/>
      <c r="AF76" s="321"/>
      <c r="AG76" s="321"/>
    </row>
    <row r="77" spans="3:33" ht="26.4" customHeight="1">
      <c r="C77" s="323" t="s">
        <v>487</v>
      </c>
      <c r="D77" s="318">
        <v>2025</v>
      </c>
      <c r="E77" s="318">
        <v>2026</v>
      </c>
      <c r="F77" s="318">
        <v>2027</v>
      </c>
      <c r="G77" s="318">
        <v>2028</v>
      </c>
      <c r="H77" s="318">
        <v>2029</v>
      </c>
      <c r="I77" s="318">
        <v>2030</v>
      </c>
      <c r="J77" s="318">
        <v>2031</v>
      </c>
      <c r="K77" s="318">
        <v>2032</v>
      </c>
      <c r="L77" s="318">
        <v>2033</v>
      </c>
      <c r="M77" s="318">
        <v>2034</v>
      </c>
      <c r="N77" s="318">
        <v>2035</v>
      </c>
      <c r="O77" s="318">
        <v>2036</v>
      </c>
      <c r="P77" s="318">
        <v>2037</v>
      </c>
      <c r="Q77" s="318">
        <v>2038</v>
      </c>
      <c r="R77" s="318">
        <v>2039</v>
      </c>
      <c r="S77" s="318">
        <v>2040</v>
      </c>
      <c r="T77" s="318">
        <v>2041</v>
      </c>
      <c r="U77" s="318">
        <v>2042</v>
      </c>
      <c r="V77" s="318">
        <v>2043</v>
      </c>
      <c r="W77" s="318">
        <v>2044</v>
      </c>
      <c r="X77" s="318">
        <v>2045</v>
      </c>
      <c r="Y77" s="318">
        <v>2046</v>
      </c>
      <c r="Z77" s="318">
        <v>2047</v>
      </c>
      <c r="AA77" s="318">
        <v>2048</v>
      </c>
      <c r="AB77" s="318">
        <v>2049</v>
      </c>
      <c r="AC77" s="318">
        <v>2050</v>
      </c>
      <c r="AD77" s="318">
        <v>2051</v>
      </c>
      <c r="AE77" s="318">
        <v>2052</v>
      </c>
      <c r="AF77" s="318">
        <v>2053</v>
      </c>
      <c r="AG77" s="318">
        <v>2054</v>
      </c>
    </row>
    <row r="78" spans="3:33" ht="13.8">
      <c r="C78" s="324" t="s">
        <v>481</v>
      </c>
      <c r="D78" s="325">
        <v>0</v>
      </c>
      <c r="E78" s="325">
        <v>300027.00932272105</v>
      </c>
      <c r="F78" s="325">
        <v>300027.00932272105</v>
      </c>
      <c r="G78" s="325">
        <v>300027.00932272105</v>
      </c>
      <c r="H78" s="325">
        <v>300027.00932272105</v>
      </c>
      <c r="I78" s="325">
        <v>300027.00932272105</v>
      </c>
      <c r="J78" s="325">
        <v>300027.00932272105</v>
      </c>
      <c r="K78" s="325">
        <v>300027.00932272105</v>
      </c>
      <c r="L78" s="325">
        <v>300027.00932272105</v>
      </c>
      <c r="M78" s="325">
        <v>300027.00932272105</v>
      </c>
      <c r="N78" s="325">
        <v>300027.00932272105</v>
      </c>
      <c r="O78" s="325">
        <v>300027.00932272105</v>
      </c>
      <c r="P78" s="325">
        <v>300027.00932272105</v>
      </c>
      <c r="Q78" s="325">
        <v>300027.00932272105</v>
      </c>
      <c r="R78" s="325">
        <v>300027.00932272105</v>
      </c>
      <c r="S78" s="325">
        <v>300027.00932272105</v>
      </c>
      <c r="T78" s="325">
        <v>300027.00932272105</v>
      </c>
      <c r="U78" s="325">
        <v>300027.00932272105</v>
      </c>
      <c r="V78" s="325">
        <v>300027.00932272105</v>
      </c>
      <c r="W78" s="325">
        <v>300027.00932272105</v>
      </c>
      <c r="X78" s="325">
        <v>300027.00932272105</v>
      </c>
      <c r="Y78" s="325">
        <v>300027.00932272105</v>
      </c>
      <c r="Z78" s="325">
        <v>300027.00932272105</v>
      </c>
      <c r="AA78" s="325">
        <v>300027.00932272105</v>
      </c>
      <c r="AB78" s="325">
        <v>300027.00932272105</v>
      </c>
      <c r="AC78" s="325">
        <v>300027.00932272105</v>
      </c>
      <c r="AD78" s="325">
        <v>300027.00932272105</v>
      </c>
      <c r="AE78" s="325">
        <v>300027.00932272105</v>
      </c>
      <c r="AF78" s="325">
        <v>300027.00932272105</v>
      </c>
      <c r="AG78" s="325">
        <v>300027.00932272105</v>
      </c>
    </row>
    <row r="79" spans="3:33" ht="13.8">
      <c r="C79" s="324" t="s">
        <v>482</v>
      </c>
      <c r="D79" s="325">
        <v>0</v>
      </c>
      <c r="E79" s="325">
        <v>0</v>
      </c>
      <c r="F79" s="325">
        <v>0</v>
      </c>
      <c r="G79" s="325">
        <v>0</v>
      </c>
      <c r="H79" s="325">
        <v>0</v>
      </c>
      <c r="I79" s="325">
        <v>0</v>
      </c>
      <c r="J79" s="325">
        <v>0</v>
      </c>
      <c r="K79" s="325">
        <v>0</v>
      </c>
      <c r="L79" s="325">
        <v>0</v>
      </c>
      <c r="M79" s="325">
        <v>0</v>
      </c>
      <c r="N79" s="325">
        <v>0</v>
      </c>
      <c r="O79" s="325">
        <v>0</v>
      </c>
      <c r="P79" s="325">
        <v>0</v>
      </c>
      <c r="Q79" s="325">
        <v>0</v>
      </c>
      <c r="R79" s="325">
        <v>0</v>
      </c>
      <c r="S79" s="325">
        <v>0</v>
      </c>
      <c r="T79" s="325">
        <v>0</v>
      </c>
      <c r="U79" s="325">
        <v>0</v>
      </c>
      <c r="V79" s="325">
        <v>0</v>
      </c>
      <c r="W79" s="325">
        <v>0</v>
      </c>
      <c r="X79" s="325">
        <v>0</v>
      </c>
      <c r="Y79" s="325">
        <v>0</v>
      </c>
      <c r="Z79" s="325">
        <v>0</v>
      </c>
      <c r="AA79" s="325">
        <v>0</v>
      </c>
      <c r="AB79" s="325">
        <v>0</v>
      </c>
      <c r="AC79" s="325">
        <v>0</v>
      </c>
      <c r="AD79" s="325">
        <v>0</v>
      </c>
      <c r="AE79" s="325">
        <v>0</v>
      </c>
      <c r="AF79" s="325">
        <v>0</v>
      </c>
      <c r="AG79" s="325">
        <v>0</v>
      </c>
    </row>
    <row r="80" spans="3:33" ht="13.8"/>
    <row r="81" spans="1:5" ht="13.8"/>
    <row r="82" spans="1:5" s="312" customFormat="1" ht="13.8">
      <c r="A82" s="342" t="s">
        <v>488</v>
      </c>
    </row>
    <row r="83" spans="1:5" ht="13.8"/>
    <row r="84" spans="1:5" ht="13.8"/>
    <row r="85" spans="1:5" ht="13.8">
      <c r="C85" s="327" t="s">
        <v>489</v>
      </c>
    </row>
    <row r="86" spans="1:5" ht="13.8"/>
    <row r="87" spans="1:5" ht="13.8">
      <c r="C87" s="314" t="s">
        <v>121</v>
      </c>
      <c r="D87" s="315">
        <v>78835000</v>
      </c>
    </row>
    <row r="88" spans="1:5" ht="13.8"/>
    <row r="89" spans="1:5" ht="13.8">
      <c r="C89" s="314" t="s">
        <v>122</v>
      </c>
      <c r="D89" s="315">
        <v>2079769</v>
      </c>
      <c r="E89" s="328">
        <v>5.1394227079018598E-3</v>
      </c>
    </row>
    <row r="90" spans="1:5" ht="69" customHeight="1">
      <c r="C90" s="314" t="s">
        <v>273</v>
      </c>
      <c r="D90" s="315">
        <v>107950000</v>
      </c>
      <c r="E90" s="328">
        <v>0.26676072261775502</v>
      </c>
    </row>
    <row r="91" spans="1:5" ht="82.95" customHeight="1">
      <c r="C91" s="314" t="s">
        <v>281</v>
      </c>
      <c r="D91" s="315">
        <v>6350000</v>
      </c>
      <c r="E91" s="328">
        <v>1.569180721280912E-2</v>
      </c>
    </row>
    <row r="92" spans="1:5" ht="13.8">
      <c r="C92" s="314" t="s">
        <v>132</v>
      </c>
      <c r="D92" s="315">
        <v>88900000</v>
      </c>
      <c r="E92" s="328">
        <v>0.21968530097932767</v>
      </c>
    </row>
    <row r="93" spans="1:5" ht="124.2" customHeight="1">
      <c r="C93" s="314" t="s">
        <v>279</v>
      </c>
      <c r="D93" s="315">
        <v>8890000</v>
      </c>
      <c r="E93" s="328">
        <v>2.1968530097932766E-2</v>
      </c>
    </row>
    <row r="94" spans="1:5" ht="41.4" customHeight="1">
      <c r="C94" s="314" t="s">
        <v>130</v>
      </c>
      <c r="D94" s="315">
        <v>180975000</v>
      </c>
      <c r="E94" s="328">
        <v>0.44721650556505987</v>
      </c>
    </row>
    <row r="95" spans="1:5" ht="13.8">
      <c r="C95" s="314" t="s">
        <v>125</v>
      </c>
      <c r="D95" s="315">
        <v>9525000</v>
      </c>
      <c r="E95" s="328">
        <v>2.3537710819213679E-2</v>
      </c>
    </row>
    <row r="96" spans="1:5" ht="13.8">
      <c r="C96" s="314" t="s">
        <v>490</v>
      </c>
      <c r="D96" s="315">
        <v>404669769</v>
      </c>
      <c r="E96" s="329"/>
    </row>
    <row r="97" spans="1:11" ht="13.8"/>
    <row r="98" spans="1:11" ht="13.8"/>
    <row r="99" spans="1:11" s="312" customFormat="1" ht="13.8">
      <c r="A99" s="342" t="s">
        <v>491</v>
      </c>
    </row>
    <row r="100" spans="1:11" ht="13.8"/>
    <row r="101" spans="1:11" ht="124.2">
      <c r="E101" s="314" t="s">
        <v>492</v>
      </c>
      <c r="F101" s="314" t="s">
        <v>125</v>
      </c>
      <c r="G101" s="314" t="s">
        <v>281</v>
      </c>
      <c r="H101" s="314" t="s">
        <v>273</v>
      </c>
      <c r="I101" s="314" t="s">
        <v>130</v>
      </c>
      <c r="J101" s="314" t="s">
        <v>279</v>
      </c>
      <c r="K101" s="314" t="s">
        <v>132</v>
      </c>
    </row>
    <row r="102" spans="1:11" ht="13.8"/>
    <row r="103" spans="1:11" ht="13.8">
      <c r="D103" s="330"/>
      <c r="E103" s="331" t="s">
        <v>359</v>
      </c>
      <c r="F103" s="331" t="s">
        <v>359</v>
      </c>
      <c r="G103" s="331" t="s">
        <v>359</v>
      </c>
      <c r="H103" s="331" t="s">
        <v>359</v>
      </c>
      <c r="I103" s="331" t="s">
        <v>359</v>
      </c>
      <c r="J103" s="331" t="s">
        <v>359</v>
      </c>
      <c r="K103" s="331" t="s">
        <v>359</v>
      </c>
    </row>
    <row r="104" spans="1:11" ht="13.8">
      <c r="D104" s="331" t="s">
        <v>360</v>
      </c>
      <c r="E104" s="332">
        <v>2079769</v>
      </c>
      <c r="F104" s="332">
        <v>9525000</v>
      </c>
      <c r="G104" s="332">
        <v>6350000</v>
      </c>
      <c r="H104" s="332">
        <v>107950000</v>
      </c>
      <c r="I104" s="332">
        <v>180975000</v>
      </c>
      <c r="J104" s="332">
        <v>8890000</v>
      </c>
      <c r="K104" s="332">
        <v>88900000</v>
      </c>
    </row>
    <row r="105" spans="1:11" ht="13.8">
      <c r="D105" s="331" t="s">
        <v>361</v>
      </c>
      <c r="E105" s="332">
        <v>2079769</v>
      </c>
      <c r="F105" s="332">
        <v>9525000</v>
      </c>
      <c r="G105" s="332">
        <v>6350000</v>
      </c>
      <c r="H105" s="332">
        <v>107950000</v>
      </c>
      <c r="I105" s="332">
        <v>180975000</v>
      </c>
      <c r="J105" s="332">
        <v>8890000</v>
      </c>
      <c r="K105" s="332">
        <v>88900000</v>
      </c>
    </row>
    <row r="106" spans="1:11" ht="13.8">
      <c r="D106" s="331" t="s">
        <v>362</v>
      </c>
      <c r="E106" s="332">
        <v>0</v>
      </c>
      <c r="F106" s="332">
        <v>0</v>
      </c>
      <c r="G106" s="332">
        <v>0</v>
      </c>
      <c r="H106" s="332">
        <v>0</v>
      </c>
      <c r="I106" s="332">
        <v>0</v>
      </c>
      <c r="J106" s="332">
        <v>0</v>
      </c>
      <c r="K106" s="332">
        <v>0</v>
      </c>
    </row>
    <row r="107" spans="1:11" ht="27.6" customHeight="1">
      <c r="D107" s="331" t="s">
        <v>363</v>
      </c>
      <c r="E107" s="333">
        <v>1</v>
      </c>
      <c r="F107" s="333">
        <v>0.97473620518875148</v>
      </c>
      <c r="G107" s="333">
        <v>0.7</v>
      </c>
      <c r="H107" s="333">
        <v>0.7</v>
      </c>
      <c r="I107" s="333">
        <v>1</v>
      </c>
      <c r="J107" s="333">
        <v>1</v>
      </c>
      <c r="K107" s="333">
        <v>0.5</v>
      </c>
    </row>
    <row r="108" spans="1:11" ht="13.8">
      <c r="D108" s="334" t="s">
        <v>364</v>
      </c>
      <c r="E108" s="332">
        <v>2079769</v>
      </c>
      <c r="F108" s="332">
        <v>9284362.354422858</v>
      </c>
      <c r="G108" s="332">
        <v>4445000</v>
      </c>
      <c r="H108" s="332">
        <v>75565000</v>
      </c>
      <c r="I108" s="332">
        <v>180975000</v>
      </c>
      <c r="J108" s="332">
        <v>8890000</v>
      </c>
      <c r="K108" s="332">
        <v>44450000</v>
      </c>
    </row>
    <row r="109" spans="1:11" ht="13.8">
      <c r="D109" s="331" t="s">
        <v>365</v>
      </c>
      <c r="E109" s="332">
        <v>1726208.27</v>
      </c>
      <c r="F109" s="332">
        <v>7706020.7541709719</v>
      </c>
      <c r="G109" s="332">
        <v>3689350</v>
      </c>
      <c r="H109" s="332">
        <v>62718950</v>
      </c>
      <c r="I109" s="332">
        <v>150209250</v>
      </c>
      <c r="J109" s="332">
        <v>7378700</v>
      </c>
      <c r="K109" s="332">
        <v>36893500</v>
      </c>
    </row>
    <row r="110" spans="1:11" ht="13.8">
      <c r="D110" s="331" t="s">
        <v>366</v>
      </c>
      <c r="E110" s="332">
        <v>353560.7300000001</v>
      </c>
      <c r="F110" s="332">
        <v>1578341.6002518863</v>
      </c>
      <c r="G110" s="332">
        <v>755650.00000000023</v>
      </c>
      <c r="H110" s="332">
        <v>12846050.000000004</v>
      </c>
      <c r="I110" s="332">
        <v>30765750.000000007</v>
      </c>
      <c r="J110" s="332">
        <v>1511300.0000000005</v>
      </c>
      <c r="K110" s="332">
        <v>7556500.0000000019</v>
      </c>
    </row>
    <row r="111" spans="1:11" ht="13.8">
      <c r="D111" s="331" t="s">
        <v>367</v>
      </c>
      <c r="E111" s="332">
        <v>0</v>
      </c>
      <c r="F111" s="332">
        <v>240637.64557714202</v>
      </c>
      <c r="G111" s="332">
        <v>1905000</v>
      </c>
      <c r="H111" s="332">
        <v>32385000</v>
      </c>
      <c r="I111" s="332">
        <v>0</v>
      </c>
      <c r="J111" s="332">
        <v>0</v>
      </c>
      <c r="K111" s="332">
        <v>44450000</v>
      </c>
    </row>
    <row r="112" spans="1:11" ht="13.8">
      <c r="D112" s="331" t="s">
        <v>368</v>
      </c>
      <c r="E112" s="332">
        <v>353560.7300000001</v>
      </c>
      <c r="F112" s="332">
        <v>1818979.2458290283</v>
      </c>
      <c r="G112" s="332">
        <v>2660650</v>
      </c>
      <c r="H112" s="332">
        <v>45231050</v>
      </c>
      <c r="I112" s="332">
        <v>30765750.000000007</v>
      </c>
      <c r="J112" s="332">
        <v>1511300.0000000005</v>
      </c>
      <c r="K112" s="332">
        <v>52006500</v>
      </c>
    </row>
    <row r="113" spans="1:33" ht="13.8">
      <c r="D113" s="157"/>
      <c r="E113" s="157"/>
      <c r="F113" s="157"/>
      <c r="G113" s="157"/>
      <c r="H113" s="157"/>
      <c r="I113" s="157"/>
      <c r="J113" s="157"/>
      <c r="K113" s="157"/>
    </row>
    <row r="114" spans="1:33" ht="13.8">
      <c r="D114" s="335" t="s">
        <v>493</v>
      </c>
      <c r="E114" s="335" t="s">
        <v>359</v>
      </c>
      <c r="F114" s="157"/>
      <c r="G114" s="157"/>
      <c r="H114" s="157"/>
      <c r="I114" s="157"/>
      <c r="J114" s="157"/>
      <c r="K114" s="157"/>
    </row>
    <row r="115" spans="1:33" ht="13.8">
      <c r="D115" s="331" t="s">
        <v>360</v>
      </c>
      <c r="E115" s="332">
        <v>404669769</v>
      </c>
      <c r="F115" s="157"/>
      <c r="G115" s="157"/>
      <c r="H115" s="157"/>
      <c r="I115" s="157"/>
      <c r="J115" s="157"/>
      <c r="K115" s="157"/>
    </row>
    <row r="116" spans="1:33" ht="13.8">
      <c r="D116" s="331" t="s">
        <v>361</v>
      </c>
      <c r="E116" s="332">
        <v>404669769</v>
      </c>
      <c r="F116" s="157"/>
      <c r="G116" s="157"/>
      <c r="H116" s="157"/>
      <c r="I116" s="157"/>
      <c r="J116" s="157"/>
      <c r="K116" s="157"/>
    </row>
    <row r="117" spans="1:33" ht="13.8">
      <c r="D117" s="331" t="s">
        <v>362</v>
      </c>
      <c r="E117" s="332">
        <v>0</v>
      </c>
      <c r="F117" s="157"/>
      <c r="G117" s="157"/>
      <c r="H117" s="157"/>
      <c r="I117" s="157"/>
      <c r="J117" s="157"/>
      <c r="K117" s="157"/>
    </row>
    <row r="118" spans="1:33" ht="27.6" customHeight="1">
      <c r="D118" s="335" t="s">
        <v>363</v>
      </c>
      <c r="E118" s="336">
        <v>0.80482693866470378</v>
      </c>
      <c r="F118" s="157"/>
      <c r="G118" s="157"/>
      <c r="H118" s="157"/>
      <c r="I118" s="157"/>
      <c r="J118" s="157"/>
      <c r="K118" s="157"/>
    </row>
    <row r="119" spans="1:33" ht="13.8">
      <c r="D119" s="334" t="s">
        <v>364</v>
      </c>
      <c r="E119" s="332">
        <v>325689131.35442287</v>
      </c>
      <c r="F119" s="157"/>
      <c r="G119" s="157"/>
      <c r="H119" s="337"/>
      <c r="I119" s="157"/>
      <c r="J119" s="157"/>
      <c r="K119" s="157"/>
    </row>
    <row r="120" spans="1:33" ht="13.8">
      <c r="D120" s="331" t="s">
        <v>365</v>
      </c>
      <c r="E120" s="332">
        <v>270321979.02417099</v>
      </c>
      <c r="F120" s="157"/>
      <c r="G120" s="157"/>
      <c r="H120" s="157"/>
      <c r="I120" s="157"/>
      <c r="J120" s="157"/>
      <c r="K120" s="157"/>
    </row>
    <row r="121" spans="1:33" ht="13.8">
      <c r="D121" s="331" t="s">
        <v>366</v>
      </c>
      <c r="E121" s="332">
        <v>55367152.330251902</v>
      </c>
      <c r="F121" s="157"/>
      <c r="G121" s="157"/>
      <c r="H121" s="157"/>
      <c r="I121" s="157"/>
      <c r="J121" s="157"/>
      <c r="K121" s="157"/>
    </row>
    <row r="122" spans="1:33" ht="13.8">
      <c r="D122" s="331" t="s">
        <v>367</v>
      </c>
      <c r="E122" s="332">
        <v>78980637.645577133</v>
      </c>
      <c r="F122" s="157"/>
      <c r="G122" s="157"/>
      <c r="H122" s="157"/>
      <c r="I122" s="157"/>
      <c r="J122" s="157"/>
      <c r="K122" s="157"/>
    </row>
    <row r="123" spans="1:33" ht="13.8">
      <c r="D123" s="331" t="s">
        <v>368</v>
      </c>
      <c r="E123" s="332">
        <v>134347789.97582904</v>
      </c>
      <c r="F123" s="157"/>
      <c r="G123" s="157"/>
      <c r="H123" s="157"/>
      <c r="I123" s="157"/>
      <c r="J123" s="157"/>
      <c r="K123" s="157"/>
    </row>
    <row r="124" spans="1:33" ht="13.8"/>
    <row r="125" spans="1:33" ht="13.8"/>
    <row r="126" spans="1:33" s="312" customFormat="1" ht="13.8">
      <c r="A126" s="311" t="s">
        <v>424</v>
      </c>
    </row>
    <row r="127" spans="1:33" ht="13.8"/>
    <row r="128" spans="1:33" ht="13.8">
      <c r="C128" s="329"/>
      <c r="D128" s="338">
        <v>2025</v>
      </c>
      <c r="E128" s="338">
        <v>2026</v>
      </c>
      <c r="F128" s="338">
        <v>2027</v>
      </c>
      <c r="G128" s="338">
        <v>2028</v>
      </c>
      <c r="H128" s="338">
        <v>2029</v>
      </c>
      <c r="I128" s="338">
        <v>2030</v>
      </c>
      <c r="J128" s="338">
        <v>2031</v>
      </c>
      <c r="K128" s="338">
        <v>2032</v>
      </c>
      <c r="L128" s="338">
        <v>2033</v>
      </c>
      <c r="M128" s="338">
        <v>2034</v>
      </c>
      <c r="N128" s="338">
        <v>2035</v>
      </c>
      <c r="O128" s="338">
        <v>2036</v>
      </c>
      <c r="P128" s="338">
        <v>2037</v>
      </c>
      <c r="Q128" s="338">
        <v>2038</v>
      </c>
      <c r="R128" s="338">
        <v>2039</v>
      </c>
      <c r="S128" s="338">
        <v>2040</v>
      </c>
      <c r="T128" s="338">
        <v>2041</v>
      </c>
      <c r="U128" s="338">
        <v>2042</v>
      </c>
      <c r="V128" s="338">
        <v>2043</v>
      </c>
      <c r="W128" s="338">
        <v>2044</v>
      </c>
      <c r="X128" s="338">
        <v>2045</v>
      </c>
      <c r="Y128" s="338">
        <v>2046</v>
      </c>
      <c r="Z128" s="338">
        <v>2047</v>
      </c>
      <c r="AA128" s="338">
        <v>2048</v>
      </c>
      <c r="AB128" s="338">
        <v>2049</v>
      </c>
      <c r="AC128" s="338">
        <v>2050</v>
      </c>
      <c r="AD128" s="338">
        <v>2051</v>
      </c>
      <c r="AE128" s="338">
        <v>2052</v>
      </c>
      <c r="AF128" s="338">
        <v>2053</v>
      </c>
      <c r="AG128" s="338">
        <v>2054</v>
      </c>
    </row>
    <row r="129" spans="2:33" ht="13.8">
      <c r="C129" s="339" t="s">
        <v>426</v>
      </c>
      <c r="D129" s="329"/>
      <c r="E129" s="315">
        <v>4000000</v>
      </c>
      <c r="F129" s="315">
        <v>4000000</v>
      </c>
      <c r="G129" s="315">
        <v>4000000</v>
      </c>
      <c r="H129" s="315">
        <v>4000000</v>
      </c>
      <c r="I129" s="315">
        <v>4000000</v>
      </c>
      <c r="J129" s="315">
        <v>4000000</v>
      </c>
      <c r="K129" s="315">
        <v>4000000</v>
      </c>
      <c r="L129" s="315">
        <v>4000000</v>
      </c>
      <c r="M129" s="315">
        <v>4000000</v>
      </c>
      <c r="N129" s="315">
        <v>4000000</v>
      </c>
      <c r="O129" s="315">
        <v>4000000</v>
      </c>
      <c r="P129" s="315">
        <v>4000000</v>
      </c>
      <c r="Q129" s="315">
        <v>4000000</v>
      </c>
      <c r="R129" s="315">
        <v>4000000</v>
      </c>
      <c r="S129" s="315">
        <v>4000000</v>
      </c>
      <c r="T129" s="315">
        <v>4000000</v>
      </c>
      <c r="U129" s="315">
        <v>4000000</v>
      </c>
      <c r="V129" s="315">
        <v>4000000</v>
      </c>
      <c r="W129" s="315">
        <v>4000000</v>
      </c>
      <c r="X129" s="315">
        <v>4000000</v>
      </c>
      <c r="Y129" s="315">
        <v>4000000</v>
      </c>
      <c r="Z129" s="315">
        <v>4000000</v>
      </c>
      <c r="AA129" s="315">
        <v>4000000</v>
      </c>
      <c r="AB129" s="315">
        <v>4000000</v>
      </c>
      <c r="AC129" s="315">
        <v>4000000</v>
      </c>
      <c r="AD129" s="315">
        <v>4000000</v>
      </c>
      <c r="AE129" s="315">
        <v>4000000</v>
      </c>
      <c r="AF129" s="315">
        <v>4000000</v>
      </c>
      <c r="AG129" s="315">
        <v>4000000</v>
      </c>
    </row>
    <row r="130" spans="2:33" ht="13.8">
      <c r="E130" s="340"/>
      <c r="F130" s="340"/>
      <c r="G130" s="340"/>
      <c r="H130" s="340"/>
      <c r="I130" s="340"/>
      <c r="J130" s="340"/>
      <c r="K130" s="340"/>
      <c r="L130" s="340"/>
      <c r="M130" s="340"/>
      <c r="N130" s="340"/>
      <c r="O130" s="340"/>
      <c r="P130" s="340"/>
      <c r="Q130" s="340"/>
      <c r="R130" s="340"/>
      <c r="S130" s="340"/>
      <c r="T130" s="340"/>
      <c r="U130" s="340"/>
      <c r="V130" s="340"/>
      <c r="W130" s="340"/>
      <c r="X130" s="340"/>
      <c r="Y130" s="340"/>
      <c r="Z130" s="340"/>
      <c r="AA130" s="340"/>
      <c r="AB130" s="340"/>
      <c r="AC130" s="340"/>
      <c r="AD130" s="340"/>
      <c r="AE130" s="340"/>
      <c r="AF130" s="340"/>
      <c r="AG130" s="340"/>
    </row>
    <row r="131" spans="2:33" ht="13.8">
      <c r="C131" s="316" t="s">
        <v>494</v>
      </c>
      <c r="D131" s="316" t="s">
        <v>495</v>
      </c>
      <c r="E131" s="316" t="s">
        <v>496</v>
      </c>
    </row>
    <row r="132" spans="2:33" ht="13.8">
      <c r="C132" s="314" t="s">
        <v>497</v>
      </c>
      <c r="D132" s="314">
        <v>2</v>
      </c>
      <c r="E132" s="314">
        <v>2</v>
      </c>
      <c r="F132" s="314">
        <v>2</v>
      </c>
      <c r="G132" s="314">
        <v>2</v>
      </c>
      <c r="H132" s="314">
        <v>2</v>
      </c>
      <c r="I132" s="314">
        <v>2</v>
      </c>
      <c r="J132" s="314">
        <v>2</v>
      </c>
      <c r="K132" s="314">
        <v>2</v>
      </c>
      <c r="L132" s="314">
        <v>2</v>
      </c>
      <c r="M132" s="314">
        <v>2</v>
      </c>
      <c r="N132" s="314">
        <v>2</v>
      </c>
      <c r="O132" s="314">
        <v>2</v>
      </c>
      <c r="P132" s="314">
        <v>2</v>
      </c>
      <c r="Q132" s="314">
        <v>2</v>
      </c>
      <c r="R132" s="314">
        <v>2</v>
      </c>
      <c r="S132" s="314">
        <v>2</v>
      </c>
      <c r="T132" s="314">
        <v>2</v>
      </c>
      <c r="U132" s="314">
        <v>2</v>
      </c>
      <c r="V132" s="314">
        <v>2</v>
      </c>
      <c r="W132" s="314">
        <v>2</v>
      </c>
      <c r="X132" s="314">
        <v>2</v>
      </c>
      <c r="Y132" s="314">
        <v>2</v>
      </c>
      <c r="Z132" s="314">
        <v>2</v>
      </c>
      <c r="AA132" s="314">
        <v>2</v>
      </c>
      <c r="AB132" s="314">
        <v>2</v>
      </c>
      <c r="AC132" s="314">
        <v>2</v>
      </c>
      <c r="AD132" s="314">
        <v>2</v>
      </c>
      <c r="AE132" s="314">
        <v>2</v>
      </c>
      <c r="AF132" s="314">
        <v>2</v>
      </c>
      <c r="AG132" s="314">
        <v>2</v>
      </c>
    </row>
    <row r="133" spans="2:33" ht="13.8">
      <c r="C133" s="314" t="s">
        <v>498</v>
      </c>
      <c r="D133" s="315">
        <v>0</v>
      </c>
      <c r="E133" s="315">
        <v>2000000</v>
      </c>
      <c r="F133" s="315">
        <v>2000000</v>
      </c>
      <c r="G133" s="315">
        <v>2000000</v>
      </c>
      <c r="H133" s="315">
        <v>2000000</v>
      </c>
      <c r="I133" s="315">
        <v>2000000</v>
      </c>
      <c r="J133" s="315">
        <v>2000000</v>
      </c>
      <c r="K133" s="315">
        <v>2000000</v>
      </c>
      <c r="L133" s="315">
        <v>2000000</v>
      </c>
      <c r="M133" s="315">
        <v>2000000</v>
      </c>
      <c r="N133" s="315">
        <v>2000000</v>
      </c>
      <c r="O133" s="315">
        <v>2000000</v>
      </c>
      <c r="P133" s="315">
        <v>2000000</v>
      </c>
      <c r="Q133" s="315">
        <v>2000000</v>
      </c>
      <c r="R133" s="315">
        <v>2000000</v>
      </c>
      <c r="S133" s="315">
        <v>2000000</v>
      </c>
      <c r="T133" s="315">
        <v>2000000</v>
      </c>
      <c r="U133" s="315">
        <v>2000000</v>
      </c>
      <c r="V133" s="315">
        <v>2000000</v>
      </c>
      <c r="W133" s="315">
        <v>2000000</v>
      </c>
      <c r="X133" s="315">
        <v>2000000</v>
      </c>
      <c r="Y133" s="315">
        <v>2000000</v>
      </c>
      <c r="Z133" s="315">
        <v>2000000</v>
      </c>
      <c r="AA133" s="315">
        <v>2000000</v>
      </c>
      <c r="AB133" s="315">
        <v>2000000</v>
      </c>
      <c r="AC133" s="315">
        <v>2000000</v>
      </c>
      <c r="AD133" s="315">
        <v>2000000</v>
      </c>
      <c r="AE133" s="315">
        <v>2000000</v>
      </c>
      <c r="AF133" s="315">
        <v>2000000</v>
      </c>
      <c r="AG133" s="315">
        <v>2000000</v>
      </c>
    </row>
    <row r="134" spans="2:33" ht="13.8"/>
    <row r="135" spans="2:33" ht="13.8"/>
    <row r="136" spans="2:33" ht="13.8">
      <c r="C136" s="341" t="s">
        <v>427</v>
      </c>
      <c r="D136" s="338">
        <v>2025</v>
      </c>
      <c r="E136" s="338">
        <v>2026</v>
      </c>
      <c r="F136" s="338">
        <v>2027</v>
      </c>
      <c r="G136" s="338">
        <v>2028</v>
      </c>
      <c r="H136" s="338">
        <v>2029</v>
      </c>
      <c r="I136" s="338">
        <v>2030</v>
      </c>
      <c r="J136" s="338">
        <v>2031</v>
      </c>
      <c r="K136" s="338">
        <v>2032</v>
      </c>
      <c r="L136" s="338">
        <v>2033</v>
      </c>
      <c r="M136" s="338">
        <v>2034</v>
      </c>
      <c r="N136" s="338">
        <v>2035</v>
      </c>
      <c r="O136" s="338">
        <v>2036</v>
      </c>
      <c r="P136" s="338">
        <v>2037</v>
      </c>
      <c r="Q136" s="338">
        <v>2038</v>
      </c>
      <c r="R136" s="338">
        <v>2039</v>
      </c>
      <c r="S136" s="338">
        <v>2040</v>
      </c>
      <c r="T136" s="338">
        <v>2041</v>
      </c>
      <c r="U136" s="338">
        <v>2042</v>
      </c>
      <c r="V136" s="338">
        <v>2043</v>
      </c>
      <c r="W136" s="338">
        <v>2044</v>
      </c>
      <c r="X136" s="338">
        <v>2045</v>
      </c>
      <c r="Y136" s="338">
        <v>2046</v>
      </c>
      <c r="Z136" s="338">
        <v>2047</v>
      </c>
      <c r="AA136" s="338">
        <v>2048</v>
      </c>
      <c r="AB136" s="338">
        <v>2049</v>
      </c>
      <c r="AC136" s="338">
        <v>2050</v>
      </c>
      <c r="AD136" s="338">
        <v>2051</v>
      </c>
      <c r="AE136" s="338">
        <v>2052</v>
      </c>
      <c r="AF136" s="338">
        <v>2053</v>
      </c>
      <c r="AG136" s="338">
        <v>2054</v>
      </c>
    </row>
    <row r="137" spans="2:33" ht="13.8">
      <c r="B137" s="316"/>
      <c r="C137" s="339" t="s">
        <v>428</v>
      </c>
      <c r="D137" s="315">
        <v>0</v>
      </c>
      <c r="E137" s="315">
        <v>10000000</v>
      </c>
      <c r="F137" s="315">
        <v>10000000</v>
      </c>
      <c r="G137" s="315">
        <v>10000000</v>
      </c>
      <c r="H137" s="315">
        <v>10000000</v>
      </c>
      <c r="I137" s="315">
        <v>10000000</v>
      </c>
      <c r="J137" s="315">
        <v>10000000</v>
      </c>
      <c r="K137" s="315">
        <v>10000000</v>
      </c>
      <c r="L137" s="315">
        <v>10000000</v>
      </c>
      <c r="M137" s="315">
        <v>10000000</v>
      </c>
      <c r="N137" s="315">
        <v>10000000</v>
      </c>
      <c r="O137" s="315">
        <v>10000000</v>
      </c>
      <c r="P137" s="315">
        <v>10000000</v>
      </c>
      <c r="Q137" s="315">
        <v>10000000</v>
      </c>
      <c r="R137" s="315">
        <v>10000000</v>
      </c>
      <c r="S137" s="315">
        <v>10000000</v>
      </c>
      <c r="T137" s="315">
        <v>10000000</v>
      </c>
      <c r="U137" s="315">
        <v>10000000</v>
      </c>
      <c r="V137" s="315">
        <v>10000000</v>
      </c>
      <c r="W137" s="315">
        <v>10000000</v>
      </c>
      <c r="X137" s="315">
        <v>10000000</v>
      </c>
      <c r="Y137" s="315">
        <v>10000000</v>
      </c>
      <c r="Z137" s="315">
        <v>10000000</v>
      </c>
      <c r="AA137" s="315">
        <v>10000000</v>
      </c>
      <c r="AB137" s="315">
        <v>10000000</v>
      </c>
      <c r="AC137" s="315">
        <v>10000000</v>
      </c>
      <c r="AD137" s="315">
        <v>10000000</v>
      </c>
      <c r="AE137" s="315">
        <v>10000000</v>
      </c>
      <c r="AF137" s="315">
        <v>10000000</v>
      </c>
      <c r="AG137" s="315">
        <v>10000000</v>
      </c>
    </row>
    <row r="138" spans="2:33" ht="13.8">
      <c r="B138" s="316"/>
      <c r="C138" s="339" t="s">
        <v>429</v>
      </c>
      <c r="D138" s="315">
        <v>0</v>
      </c>
      <c r="E138" s="315">
        <v>5000000</v>
      </c>
      <c r="F138" s="315">
        <v>5000000</v>
      </c>
      <c r="G138" s="315">
        <v>5000000</v>
      </c>
      <c r="H138" s="315">
        <v>5000000</v>
      </c>
      <c r="I138" s="315">
        <v>5000000</v>
      </c>
      <c r="J138" s="315">
        <v>5000000</v>
      </c>
      <c r="K138" s="315">
        <v>5000000</v>
      </c>
      <c r="L138" s="315">
        <v>5000000</v>
      </c>
      <c r="M138" s="315">
        <v>5000000</v>
      </c>
      <c r="N138" s="315">
        <v>5000000</v>
      </c>
      <c r="O138" s="315">
        <v>5000000</v>
      </c>
      <c r="P138" s="315">
        <v>5000000</v>
      </c>
      <c r="Q138" s="315">
        <v>5000000</v>
      </c>
      <c r="R138" s="315">
        <v>5000000</v>
      </c>
      <c r="S138" s="315">
        <v>5000000</v>
      </c>
      <c r="T138" s="315">
        <v>5000000</v>
      </c>
      <c r="U138" s="315">
        <v>5000000</v>
      </c>
      <c r="V138" s="315">
        <v>5000000</v>
      </c>
      <c r="W138" s="315">
        <v>5000000</v>
      </c>
      <c r="X138" s="315">
        <v>5000000</v>
      </c>
      <c r="Y138" s="315">
        <v>5000000</v>
      </c>
      <c r="Z138" s="315">
        <v>5000000</v>
      </c>
      <c r="AA138" s="315">
        <v>5000000</v>
      </c>
      <c r="AB138" s="315">
        <v>5000000</v>
      </c>
      <c r="AC138" s="315">
        <v>5000000</v>
      </c>
      <c r="AD138" s="315">
        <v>5000000</v>
      </c>
      <c r="AE138" s="315">
        <v>5000000</v>
      </c>
      <c r="AF138" s="315">
        <v>5000000</v>
      </c>
      <c r="AG138" s="315">
        <v>5000000</v>
      </c>
    </row>
    <row r="139" spans="2:33" ht="13.8">
      <c r="B139" s="316"/>
      <c r="C139" s="339" t="s">
        <v>430</v>
      </c>
      <c r="D139" s="315">
        <v>0</v>
      </c>
      <c r="E139" s="315">
        <v>3000000</v>
      </c>
      <c r="F139" s="315">
        <v>3000000</v>
      </c>
      <c r="G139" s="315">
        <v>3000000</v>
      </c>
      <c r="H139" s="315">
        <v>3000000</v>
      </c>
      <c r="I139" s="315">
        <v>3000000</v>
      </c>
      <c r="J139" s="315">
        <v>3000000</v>
      </c>
      <c r="K139" s="315">
        <v>3000000</v>
      </c>
      <c r="L139" s="315">
        <v>3000000</v>
      </c>
      <c r="M139" s="315">
        <v>3000000</v>
      </c>
      <c r="N139" s="315">
        <v>3000000</v>
      </c>
      <c r="O139" s="315">
        <v>3000000</v>
      </c>
      <c r="P139" s="315">
        <v>3000000</v>
      </c>
      <c r="Q139" s="315">
        <v>3000000</v>
      </c>
      <c r="R139" s="315">
        <v>3000000</v>
      </c>
      <c r="S139" s="315">
        <v>3000000</v>
      </c>
      <c r="T139" s="315">
        <v>3000000</v>
      </c>
      <c r="U139" s="315">
        <v>3000000</v>
      </c>
      <c r="V139" s="315">
        <v>3000000</v>
      </c>
      <c r="W139" s="315">
        <v>3000000</v>
      </c>
      <c r="X139" s="315">
        <v>3000000</v>
      </c>
      <c r="Y139" s="315">
        <v>3000000</v>
      </c>
      <c r="Z139" s="315">
        <v>3000000</v>
      </c>
      <c r="AA139" s="315">
        <v>3000000</v>
      </c>
      <c r="AB139" s="315">
        <v>3000000</v>
      </c>
      <c r="AC139" s="315">
        <v>3000000</v>
      </c>
      <c r="AD139" s="315">
        <v>3000000</v>
      </c>
      <c r="AE139" s="315">
        <v>3000000</v>
      </c>
      <c r="AF139" s="315">
        <v>3000000</v>
      </c>
      <c r="AG139" s="315">
        <v>3000000</v>
      </c>
    </row>
    <row r="140" spans="2:33" ht="13.8"/>
    <row r="141" spans="2:33" ht="13.8">
      <c r="C141" s="316" t="s">
        <v>494</v>
      </c>
      <c r="D141" s="316" t="s">
        <v>495</v>
      </c>
      <c r="E141" s="316" t="s">
        <v>496</v>
      </c>
    </row>
    <row r="142" spans="2:33" ht="13.8">
      <c r="C142" s="314" t="s">
        <v>499</v>
      </c>
      <c r="D142" s="315">
        <v>20</v>
      </c>
      <c r="E142" s="315">
        <v>20</v>
      </c>
      <c r="F142" s="315">
        <v>20</v>
      </c>
      <c r="G142" s="315">
        <v>20</v>
      </c>
      <c r="H142" s="315">
        <v>20</v>
      </c>
      <c r="I142" s="315">
        <v>20</v>
      </c>
      <c r="J142" s="315">
        <v>20</v>
      </c>
      <c r="K142" s="315">
        <v>20</v>
      </c>
      <c r="L142" s="315">
        <v>20</v>
      </c>
      <c r="M142" s="315">
        <v>20</v>
      </c>
      <c r="N142" s="315">
        <v>20</v>
      </c>
      <c r="O142" s="315">
        <v>20</v>
      </c>
      <c r="P142" s="315">
        <v>20</v>
      </c>
      <c r="Q142" s="315">
        <v>20</v>
      </c>
      <c r="R142" s="315">
        <v>20</v>
      </c>
      <c r="S142" s="315">
        <v>20</v>
      </c>
      <c r="T142" s="315">
        <v>20</v>
      </c>
      <c r="U142" s="315">
        <v>20</v>
      </c>
      <c r="V142" s="315">
        <v>20</v>
      </c>
      <c r="W142" s="315">
        <v>20</v>
      </c>
      <c r="X142" s="315">
        <v>20</v>
      </c>
      <c r="Y142" s="315">
        <v>20</v>
      </c>
      <c r="Z142" s="315">
        <v>20</v>
      </c>
      <c r="AA142" s="315">
        <v>20</v>
      </c>
      <c r="AB142" s="315">
        <v>20</v>
      </c>
      <c r="AC142" s="315">
        <v>20</v>
      </c>
      <c r="AD142" s="315">
        <v>20</v>
      </c>
      <c r="AE142" s="315">
        <v>20</v>
      </c>
      <c r="AF142" s="315">
        <v>20</v>
      </c>
      <c r="AG142" s="315">
        <v>20</v>
      </c>
    </row>
    <row r="143" spans="2:33" ht="13.8">
      <c r="C143" s="314" t="s">
        <v>500</v>
      </c>
      <c r="D143" s="315">
        <v>10</v>
      </c>
      <c r="E143" s="315">
        <v>10</v>
      </c>
      <c r="F143" s="315">
        <v>10</v>
      </c>
      <c r="G143" s="315">
        <v>10</v>
      </c>
      <c r="H143" s="315">
        <v>10</v>
      </c>
      <c r="I143" s="315">
        <v>10</v>
      </c>
      <c r="J143" s="315">
        <v>10</v>
      </c>
      <c r="K143" s="315">
        <v>10</v>
      </c>
      <c r="L143" s="315">
        <v>10</v>
      </c>
      <c r="M143" s="315">
        <v>10</v>
      </c>
      <c r="N143" s="315">
        <v>10</v>
      </c>
      <c r="O143" s="315">
        <v>10</v>
      </c>
      <c r="P143" s="315">
        <v>10</v>
      </c>
      <c r="Q143" s="315">
        <v>10</v>
      </c>
      <c r="R143" s="315">
        <v>10</v>
      </c>
      <c r="S143" s="315">
        <v>10</v>
      </c>
      <c r="T143" s="315">
        <v>10</v>
      </c>
      <c r="U143" s="315">
        <v>10</v>
      </c>
      <c r="V143" s="315">
        <v>10</v>
      </c>
      <c r="W143" s="315">
        <v>10</v>
      </c>
      <c r="X143" s="315">
        <v>10</v>
      </c>
      <c r="Y143" s="315">
        <v>10</v>
      </c>
      <c r="Z143" s="315">
        <v>10</v>
      </c>
      <c r="AA143" s="315">
        <v>10</v>
      </c>
      <c r="AB143" s="315">
        <v>10</v>
      </c>
      <c r="AC143" s="315">
        <v>10</v>
      </c>
      <c r="AD143" s="315">
        <v>10</v>
      </c>
      <c r="AE143" s="315">
        <v>10</v>
      </c>
      <c r="AF143" s="315">
        <v>10</v>
      </c>
      <c r="AG143" s="315">
        <v>10</v>
      </c>
    </row>
    <row r="144" spans="2:33" ht="13.8">
      <c r="C144" s="314" t="s">
        <v>501</v>
      </c>
      <c r="D144" s="315">
        <v>5</v>
      </c>
      <c r="E144" s="315">
        <v>5</v>
      </c>
      <c r="F144" s="315">
        <v>5</v>
      </c>
      <c r="G144" s="315">
        <v>5</v>
      </c>
      <c r="H144" s="315">
        <v>5</v>
      </c>
      <c r="I144" s="315">
        <v>5</v>
      </c>
      <c r="J144" s="315">
        <v>5</v>
      </c>
      <c r="K144" s="315">
        <v>5</v>
      </c>
      <c r="L144" s="315">
        <v>5</v>
      </c>
      <c r="M144" s="315">
        <v>5</v>
      </c>
      <c r="N144" s="315">
        <v>5</v>
      </c>
      <c r="O144" s="315">
        <v>5</v>
      </c>
      <c r="P144" s="315">
        <v>5</v>
      </c>
      <c r="Q144" s="315">
        <v>5</v>
      </c>
      <c r="R144" s="315">
        <v>5</v>
      </c>
      <c r="S144" s="315">
        <v>5</v>
      </c>
      <c r="T144" s="315">
        <v>5</v>
      </c>
      <c r="U144" s="315">
        <v>5</v>
      </c>
      <c r="V144" s="315">
        <v>5</v>
      </c>
      <c r="W144" s="315">
        <v>5</v>
      </c>
      <c r="X144" s="315">
        <v>5</v>
      </c>
      <c r="Y144" s="315">
        <v>5</v>
      </c>
      <c r="Z144" s="315">
        <v>5</v>
      </c>
      <c r="AA144" s="315">
        <v>5</v>
      </c>
      <c r="AB144" s="315">
        <v>5</v>
      </c>
      <c r="AC144" s="315">
        <v>5</v>
      </c>
      <c r="AD144" s="315">
        <v>5</v>
      </c>
      <c r="AE144" s="315">
        <v>5</v>
      </c>
      <c r="AF144" s="315">
        <v>5</v>
      </c>
      <c r="AG144" s="315">
        <v>5</v>
      </c>
    </row>
    <row r="145" spans="3:33" ht="13.8">
      <c r="C145" s="314" t="s">
        <v>502</v>
      </c>
      <c r="D145" s="315">
        <v>0</v>
      </c>
      <c r="E145" s="315">
        <v>500000</v>
      </c>
      <c r="F145" s="315">
        <v>500000</v>
      </c>
      <c r="G145" s="315">
        <v>500000</v>
      </c>
      <c r="H145" s="315">
        <v>500000</v>
      </c>
      <c r="I145" s="315">
        <v>500000</v>
      </c>
      <c r="J145" s="315">
        <v>500000</v>
      </c>
      <c r="K145" s="315">
        <v>500000</v>
      </c>
      <c r="L145" s="315">
        <v>500000</v>
      </c>
      <c r="M145" s="315">
        <v>500000</v>
      </c>
      <c r="N145" s="315">
        <v>500000</v>
      </c>
      <c r="O145" s="315">
        <v>500000</v>
      </c>
      <c r="P145" s="315">
        <v>500000</v>
      </c>
      <c r="Q145" s="315">
        <v>500000</v>
      </c>
      <c r="R145" s="315">
        <v>500000</v>
      </c>
      <c r="S145" s="315">
        <v>500000</v>
      </c>
      <c r="T145" s="315">
        <v>500000</v>
      </c>
      <c r="U145" s="315">
        <v>500000</v>
      </c>
      <c r="V145" s="315">
        <v>500000</v>
      </c>
      <c r="W145" s="315">
        <v>500000</v>
      </c>
      <c r="X145" s="315">
        <v>500000</v>
      </c>
      <c r="Y145" s="315">
        <v>500000</v>
      </c>
      <c r="Z145" s="315">
        <v>500000</v>
      </c>
      <c r="AA145" s="315">
        <v>500000</v>
      </c>
      <c r="AB145" s="315">
        <v>500000</v>
      </c>
      <c r="AC145" s="315">
        <v>500000</v>
      </c>
      <c r="AD145" s="315">
        <v>500000</v>
      </c>
      <c r="AE145" s="315">
        <v>500000</v>
      </c>
      <c r="AF145" s="315">
        <v>500000</v>
      </c>
      <c r="AG145" s="315">
        <v>500000</v>
      </c>
    </row>
    <row r="146" spans="3:33" ht="13.8">
      <c r="C146" s="314" t="s">
        <v>503</v>
      </c>
      <c r="D146" s="315">
        <v>0</v>
      </c>
      <c r="E146" s="315">
        <v>500000</v>
      </c>
      <c r="F146" s="315">
        <v>500000</v>
      </c>
      <c r="G146" s="315">
        <v>500000</v>
      </c>
      <c r="H146" s="315">
        <v>500000</v>
      </c>
      <c r="I146" s="315">
        <v>500000</v>
      </c>
      <c r="J146" s="315">
        <v>500000</v>
      </c>
      <c r="K146" s="315">
        <v>500000</v>
      </c>
      <c r="L146" s="315">
        <v>500000</v>
      </c>
      <c r="M146" s="315">
        <v>500000</v>
      </c>
      <c r="N146" s="315">
        <v>500000</v>
      </c>
      <c r="O146" s="315">
        <v>500000</v>
      </c>
      <c r="P146" s="315">
        <v>500000</v>
      </c>
      <c r="Q146" s="315">
        <v>500000</v>
      </c>
      <c r="R146" s="315">
        <v>500000</v>
      </c>
      <c r="S146" s="315">
        <v>500000</v>
      </c>
      <c r="T146" s="315">
        <v>500000</v>
      </c>
      <c r="U146" s="315">
        <v>500000</v>
      </c>
      <c r="V146" s="315">
        <v>500000</v>
      </c>
      <c r="W146" s="315">
        <v>500000</v>
      </c>
      <c r="X146" s="315">
        <v>500000</v>
      </c>
      <c r="Y146" s="315">
        <v>500000</v>
      </c>
      <c r="Z146" s="315">
        <v>500000</v>
      </c>
      <c r="AA146" s="315">
        <v>500000</v>
      </c>
      <c r="AB146" s="315">
        <v>500000</v>
      </c>
      <c r="AC146" s="315">
        <v>500000</v>
      </c>
      <c r="AD146" s="315">
        <v>500000</v>
      </c>
      <c r="AE146" s="315">
        <v>500000</v>
      </c>
      <c r="AF146" s="315">
        <v>500000</v>
      </c>
      <c r="AG146" s="315">
        <v>500000</v>
      </c>
    </row>
    <row r="147" spans="3:33" ht="13.8">
      <c r="C147" s="314" t="s">
        <v>504</v>
      </c>
      <c r="D147" s="315">
        <v>0</v>
      </c>
      <c r="E147" s="315">
        <v>600000</v>
      </c>
      <c r="F147" s="315">
        <v>600000</v>
      </c>
      <c r="G147" s="315">
        <v>600000</v>
      </c>
      <c r="H147" s="315">
        <v>600000</v>
      </c>
      <c r="I147" s="315">
        <v>600000</v>
      </c>
      <c r="J147" s="315">
        <v>600000</v>
      </c>
      <c r="K147" s="315">
        <v>600000</v>
      </c>
      <c r="L147" s="315">
        <v>600000</v>
      </c>
      <c r="M147" s="315">
        <v>600000</v>
      </c>
      <c r="N147" s="315">
        <v>600000</v>
      </c>
      <c r="O147" s="315">
        <v>600000</v>
      </c>
      <c r="P147" s="315">
        <v>600000</v>
      </c>
      <c r="Q147" s="315">
        <v>600000</v>
      </c>
      <c r="R147" s="315">
        <v>600000</v>
      </c>
      <c r="S147" s="315">
        <v>600000</v>
      </c>
      <c r="T147" s="315">
        <v>600000</v>
      </c>
      <c r="U147" s="315">
        <v>600000</v>
      </c>
      <c r="V147" s="315">
        <v>600000</v>
      </c>
      <c r="W147" s="315">
        <v>600000</v>
      </c>
      <c r="X147" s="315">
        <v>600000</v>
      </c>
      <c r="Y147" s="315">
        <v>600000</v>
      </c>
      <c r="Z147" s="315">
        <v>600000</v>
      </c>
      <c r="AA147" s="315">
        <v>600000</v>
      </c>
      <c r="AB147" s="315">
        <v>600000</v>
      </c>
      <c r="AC147" s="315">
        <v>600000</v>
      </c>
      <c r="AD147" s="315">
        <v>600000</v>
      </c>
      <c r="AE147" s="315">
        <v>600000</v>
      </c>
      <c r="AF147" s="315">
        <v>600000</v>
      </c>
      <c r="AG147" s="315">
        <v>600000</v>
      </c>
    </row>
  </sheetData>
  <conditionalFormatting sqref="D15:AG15">
    <cfRule type="expression" dxfId="198" priority="34">
      <formula>NOT(ISBLANK(E$9))</formula>
    </cfRule>
  </conditionalFormatting>
  <conditionalFormatting sqref="D16:AG19">
    <cfRule type="expression" dxfId="197" priority="26">
      <formula>NOT(ISBLANK(E$9))</formula>
    </cfRule>
  </conditionalFormatting>
  <conditionalFormatting sqref="D26:AG26">
    <cfRule type="expression" dxfId="196" priority="32">
      <formula>NOT(ISBLANK(E$9))</formula>
    </cfRule>
  </conditionalFormatting>
  <conditionalFormatting sqref="D27:AG30">
    <cfRule type="expression" dxfId="195" priority="5">
      <formula>NOT(ISBLANK(E$9))</formula>
    </cfRule>
  </conditionalFormatting>
  <conditionalFormatting sqref="D36:AG36">
    <cfRule type="expression" dxfId="194" priority="30">
      <formula>NOT(ISBLANK(E$9))</formula>
    </cfRule>
  </conditionalFormatting>
  <conditionalFormatting sqref="D37:AG40">
    <cfRule type="expression" dxfId="193" priority="20">
      <formula>NOT(ISBLANK(E$9))</formula>
    </cfRule>
  </conditionalFormatting>
  <conditionalFormatting sqref="D47:AG47">
    <cfRule type="expression" dxfId="192" priority="19">
      <formula>NOT(ISBLANK(E$20))</formula>
    </cfRule>
  </conditionalFormatting>
  <conditionalFormatting sqref="D48:AG49">
    <cfRule type="expression" dxfId="191" priority="4">
      <formula>NOT(ISBLANK(E$20))</formula>
    </cfRule>
  </conditionalFormatting>
  <conditionalFormatting sqref="D51:AG51">
    <cfRule type="expression" dxfId="190" priority="17">
      <formula>NOT(ISBLANK(E$20))</formula>
    </cfRule>
  </conditionalFormatting>
  <conditionalFormatting sqref="D52:AG53">
    <cfRule type="expression" dxfId="189" priority="16">
      <formula>NOT(ISBLANK(E$20))</formula>
    </cfRule>
  </conditionalFormatting>
  <conditionalFormatting sqref="D60:AG60">
    <cfRule type="expression" dxfId="188" priority="15">
      <formula>NOT(ISBLANK(E$20))</formula>
    </cfRule>
  </conditionalFormatting>
  <conditionalFormatting sqref="D61:AG62">
    <cfRule type="expression" dxfId="187" priority="14">
      <formula>NOT(ISBLANK(E$20))</formula>
    </cfRule>
  </conditionalFormatting>
  <conditionalFormatting sqref="D64:AG64">
    <cfRule type="expression" dxfId="186" priority="13">
      <formula>NOT(ISBLANK(E$20))</formula>
    </cfRule>
  </conditionalFormatting>
  <conditionalFormatting sqref="D65:AG66">
    <cfRule type="expression" dxfId="185" priority="3">
      <formula>NOT(ISBLANK(E$20))</formula>
    </cfRule>
  </conditionalFormatting>
  <conditionalFormatting sqref="D73:AG73">
    <cfRule type="expression" dxfId="184" priority="11">
      <formula>NOT(ISBLANK(E$20))</formula>
    </cfRule>
  </conditionalFormatting>
  <conditionalFormatting sqref="D74:AG75">
    <cfRule type="expression" dxfId="183" priority="10">
      <formula>NOT(ISBLANK(E$20))</formula>
    </cfRule>
  </conditionalFormatting>
  <conditionalFormatting sqref="D77:AG77">
    <cfRule type="expression" dxfId="182" priority="9">
      <formula>NOT(ISBLANK(E$20))</formula>
    </cfRule>
  </conditionalFormatting>
  <conditionalFormatting sqref="D78:AG79">
    <cfRule type="expression" dxfId="181" priority="6">
      <formula>NOT(ISBLANK(E$20))</formula>
    </cfRule>
  </conditionalFormatting>
  <conditionalFormatting sqref="D128:AG128">
    <cfRule type="expression" dxfId="180" priority="2">
      <formula>NOT(ISBLANK(D$48))</formula>
    </cfRule>
  </conditionalFormatting>
  <conditionalFormatting sqref="D136:AG136">
    <cfRule type="expression" dxfId="179" priority="1">
      <formula>NOT(ISBLANK(D$48))</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A7C2-1E15-419F-B772-913A36C4A185}">
  <sheetPr codeName="Munka21">
    <tabColor theme="6" tint="-0.249977111117893"/>
  </sheetPr>
  <dimension ref="A1:AH201"/>
  <sheetViews>
    <sheetView zoomScale="10" zoomScaleNormal="10" workbookViewId="0">
      <selection activeCell="H197" sqref="H197"/>
    </sheetView>
  </sheetViews>
  <sheetFormatPr defaultColWidth="9.19921875" defaultRowHeight="13.8"/>
  <cols>
    <col min="1" max="1" width="9.19921875" style="47"/>
    <col min="2" max="2" width="56.19921875" style="47" customWidth="1"/>
    <col min="3" max="32" width="18.69921875" style="47" customWidth="1"/>
    <col min="33" max="16384" width="9.19921875" style="47"/>
  </cols>
  <sheetData>
    <row r="1" spans="1:5" ht="14.4" thickBot="1"/>
    <row r="2" spans="1:5" ht="14.4" thickBot="1">
      <c r="B2" s="5" t="s">
        <v>121</v>
      </c>
    </row>
    <row r="3" spans="1:5" ht="14.4" thickBot="1">
      <c r="B3" s="1"/>
    </row>
    <row r="4" spans="1:5" ht="66.599999999999994" thickBot="1">
      <c r="B4" s="500" t="s">
        <v>505</v>
      </c>
    </row>
    <row r="7" spans="1:5" s="83" customFormat="1">
      <c r="A7" s="493"/>
      <c r="B7" s="493" t="s">
        <v>489</v>
      </c>
    </row>
    <row r="10" spans="1:5" ht="27.6">
      <c r="B10" s="8" t="s">
        <v>288</v>
      </c>
      <c r="C10" s="503" t="s">
        <v>506</v>
      </c>
      <c r="D10" s="503" t="s">
        <v>507</v>
      </c>
      <c r="E10" s="503" t="s">
        <v>508</v>
      </c>
    </row>
    <row r="11" spans="1:5">
      <c r="B11" s="10" t="s">
        <v>265</v>
      </c>
      <c r="C11" s="501"/>
      <c r="D11" s="501"/>
      <c r="E11" s="132">
        <f t="shared" ref="E11:E22" si="0">SUM(C11:D11)</f>
        <v>0</v>
      </c>
    </row>
    <row r="12" spans="1:5">
      <c r="B12" s="10" t="s">
        <v>269</v>
      </c>
      <c r="C12" s="501"/>
      <c r="D12" s="501"/>
      <c r="E12" s="132">
        <f t="shared" si="0"/>
        <v>0</v>
      </c>
    </row>
    <row r="13" spans="1:5">
      <c r="B13" s="10" t="s">
        <v>276</v>
      </c>
      <c r="C13" s="501"/>
      <c r="D13" s="501"/>
      <c r="E13" s="132">
        <f t="shared" si="0"/>
        <v>0</v>
      </c>
    </row>
    <row r="14" spans="1:5">
      <c r="B14" s="10" t="s">
        <v>282</v>
      </c>
      <c r="C14" s="501"/>
      <c r="D14" s="501"/>
      <c r="E14" s="132">
        <f t="shared" si="0"/>
        <v>0</v>
      </c>
    </row>
    <row r="15" spans="1:5">
      <c r="B15" s="10" t="s">
        <v>286</v>
      </c>
      <c r="C15" s="501"/>
      <c r="D15" s="501"/>
      <c r="E15" s="132">
        <f t="shared" si="0"/>
        <v>0</v>
      </c>
    </row>
    <row r="16" spans="1:5">
      <c r="B16" s="10" t="s">
        <v>287</v>
      </c>
      <c r="C16" s="501"/>
      <c r="D16" s="501"/>
      <c r="E16" s="132">
        <f t="shared" si="0"/>
        <v>0</v>
      </c>
    </row>
    <row r="17" spans="2:9">
      <c r="B17" s="10" t="s">
        <v>327</v>
      </c>
      <c r="C17" s="501"/>
      <c r="D17" s="501"/>
      <c r="E17" s="132">
        <f t="shared" si="0"/>
        <v>0</v>
      </c>
    </row>
    <row r="18" spans="2:9">
      <c r="B18" s="10" t="s">
        <v>327</v>
      </c>
      <c r="C18" s="501"/>
      <c r="D18" s="501"/>
      <c r="E18" s="132">
        <f t="shared" si="0"/>
        <v>0</v>
      </c>
    </row>
    <row r="19" spans="2:9">
      <c r="B19" s="10" t="s">
        <v>327</v>
      </c>
      <c r="C19" s="501"/>
      <c r="D19" s="501"/>
      <c r="E19" s="132">
        <f t="shared" si="0"/>
        <v>0</v>
      </c>
    </row>
    <row r="20" spans="2:9">
      <c r="B20" s="10" t="s">
        <v>327</v>
      </c>
      <c r="C20" s="501"/>
      <c r="D20" s="501"/>
      <c r="E20" s="132">
        <f t="shared" si="0"/>
        <v>0</v>
      </c>
    </row>
    <row r="21" spans="2:9">
      <c r="B21" s="510" t="s">
        <v>328</v>
      </c>
      <c r="C21" s="502"/>
      <c r="D21" s="502"/>
      <c r="E21" s="133">
        <f t="shared" si="0"/>
        <v>0</v>
      </c>
    </row>
    <row r="22" spans="2:9">
      <c r="B22" s="510" t="s">
        <v>329</v>
      </c>
      <c r="C22" s="13">
        <f>SUM(C11:C20)</f>
        <v>0</v>
      </c>
      <c r="D22" s="13">
        <f>SUM(D11:D20)</f>
        <v>0</v>
      </c>
      <c r="E22" s="133">
        <f t="shared" si="0"/>
        <v>0</v>
      </c>
    </row>
    <row r="25" spans="2:9">
      <c r="B25" s="8" t="s">
        <v>104</v>
      </c>
      <c r="C25" s="14" t="s">
        <v>325</v>
      </c>
      <c r="D25" s="14" t="s">
        <v>326</v>
      </c>
      <c r="E25" s="491">
        <f>start_year</f>
        <v>2025</v>
      </c>
      <c r="F25" s="491">
        <f>E25+1</f>
        <v>2026</v>
      </c>
      <c r="G25" s="491">
        <f t="shared" ref="G25:I25" si="1">F25+1</f>
        <v>2027</v>
      </c>
      <c r="H25" s="491">
        <f t="shared" si="1"/>
        <v>2028</v>
      </c>
      <c r="I25" s="491">
        <f t="shared" si="1"/>
        <v>2029</v>
      </c>
    </row>
    <row r="26" spans="2:9">
      <c r="B26" s="10" t="s">
        <v>265</v>
      </c>
      <c r="C26" s="11">
        <f>SUM(E26:I26)</f>
        <v>0</v>
      </c>
      <c r="D26" s="11">
        <f t="shared" ref="D26:D37" si="2">E26+NPV(fdr_nem_áll,F26:I26)</f>
        <v>0</v>
      </c>
      <c r="E26" s="287"/>
      <c r="F26" s="287"/>
      <c r="G26" s="287"/>
      <c r="H26" s="287"/>
      <c r="I26" s="287"/>
    </row>
    <row r="27" spans="2:9">
      <c r="B27" s="10" t="s">
        <v>269</v>
      </c>
      <c r="C27" s="11">
        <f t="shared" ref="C27:C37" si="3">SUM(E27:I27)</f>
        <v>0</v>
      </c>
      <c r="D27" s="11">
        <f t="shared" si="2"/>
        <v>0</v>
      </c>
      <c r="E27" s="287"/>
      <c r="F27" s="287"/>
      <c r="G27" s="287"/>
      <c r="H27" s="287"/>
      <c r="I27" s="287"/>
    </row>
    <row r="28" spans="2:9">
      <c r="B28" s="10" t="s">
        <v>276</v>
      </c>
      <c r="C28" s="11">
        <f t="shared" si="3"/>
        <v>0</v>
      </c>
      <c r="D28" s="11">
        <f t="shared" si="2"/>
        <v>0</v>
      </c>
      <c r="E28" s="287"/>
      <c r="F28" s="287"/>
      <c r="G28" s="287"/>
      <c r="H28" s="287"/>
      <c r="I28" s="287"/>
    </row>
    <row r="29" spans="2:9">
      <c r="B29" s="10" t="s">
        <v>282</v>
      </c>
      <c r="C29" s="11">
        <f t="shared" si="3"/>
        <v>0</v>
      </c>
      <c r="D29" s="11">
        <f t="shared" si="2"/>
        <v>0</v>
      </c>
      <c r="E29" s="287"/>
      <c r="F29" s="287"/>
      <c r="G29" s="287"/>
      <c r="H29" s="287"/>
      <c r="I29" s="287"/>
    </row>
    <row r="30" spans="2:9">
      <c r="B30" s="10" t="s">
        <v>286</v>
      </c>
      <c r="C30" s="11">
        <f t="shared" si="3"/>
        <v>0</v>
      </c>
      <c r="D30" s="11">
        <f t="shared" si="2"/>
        <v>0</v>
      </c>
      <c r="E30" s="287"/>
      <c r="F30" s="287"/>
      <c r="G30" s="287"/>
      <c r="H30" s="287"/>
      <c r="I30" s="287"/>
    </row>
    <row r="31" spans="2:9">
      <c r="B31" s="10" t="s">
        <v>287</v>
      </c>
      <c r="C31" s="11">
        <f t="shared" si="3"/>
        <v>0</v>
      </c>
      <c r="D31" s="11">
        <f t="shared" si="2"/>
        <v>0</v>
      </c>
      <c r="E31" s="287"/>
      <c r="F31" s="287"/>
      <c r="G31" s="287"/>
      <c r="H31" s="287"/>
      <c r="I31" s="287"/>
    </row>
    <row r="32" spans="2:9">
      <c r="B32" s="10" t="s">
        <v>327</v>
      </c>
      <c r="C32" s="11">
        <f t="shared" si="3"/>
        <v>0</v>
      </c>
      <c r="D32" s="11">
        <f t="shared" si="2"/>
        <v>0</v>
      </c>
      <c r="E32" s="287"/>
      <c r="F32" s="287"/>
      <c r="G32" s="287"/>
      <c r="H32" s="287"/>
      <c r="I32" s="287"/>
    </row>
    <row r="33" spans="2:9">
      <c r="B33" s="10" t="s">
        <v>327</v>
      </c>
      <c r="C33" s="11">
        <f t="shared" si="3"/>
        <v>0</v>
      </c>
      <c r="D33" s="11">
        <f t="shared" si="2"/>
        <v>0</v>
      </c>
      <c r="E33" s="287"/>
      <c r="F33" s="287"/>
      <c r="G33" s="287"/>
      <c r="H33" s="287"/>
      <c r="I33" s="287"/>
    </row>
    <row r="34" spans="2:9">
      <c r="B34" s="10" t="s">
        <v>327</v>
      </c>
      <c r="C34" s="11">
        <f t="shared" si="3"/>
        <v>0</v>
      </c>
      <c r="D34" s="11">
        <f t="shared" si="2"/>
        <v>0</v>
      </c>
      <c r="E34" s="287"/>
      <c r="F34" s="287"/>
      <c r="G34" s="287"/>
      <c r="H34" s="287"/>
      <c r="I34" s="287"/>
    </row>
    <row r="35" spans="2:9">
      <c r="B35" s="10" t="s">
        <v>327</v>
      </c>
      <c r="C35" s="11">
        <f t="shared" si="3"/>
        <v>0</v>
      </c>
      <c r="D35" s="11">
        <f t="shared" si="2"/>
        <v>0</v>
      </c>
      <c r="E35" s="287"/>
      <c r="F35" s="287"/>
      <c r="G35" s="287"/>
      <c r="H35" s="287"/>
      <c r="I35" s="287"/>
    </row>
    <row r="36" spans="2:9">
      <c r="B36" s="510" t="s">
        <v>328</v>
      </c>
      <c r="C36" s="13">
        <f t="shared" si="3"/>
        <v>0</v>
      </c>
      <c r="D36" s="13">
        <f t="shared" si="2"/>
        <v>0</v>
      </c>
      <c r="E36" s="502"/>
      <c r="F36" s="502"/>
      <c r="G36" s="502"/>
      <c r="H36" s="502"/>
      <c r="I36" s="502"/>
    </row>
    <row r="37" spans="2:9">
      <c r="B37" s="510" t="s">
        <v>329</v>
      </c>
      <c r="C37" s="13">
        <f t="shared" si="3"/>
        <v>0</v>
      </c>
      <c r="D37" s="13">
        <f t="shared" si="2"/>
        <v>0</v>
      </c>
      <c r="E37" s="13">
        <f>SUM(E26:E35)</f>
        <v>0</v>
      </c>
      <c r="F37" s="13">
        <f t="shared" ref="F37:I37" si="4">SUM(F26:F35)</f>
        <v>0</v>
      </c>
      <c r="G37" s="13">
        <f t="shared" si="4"/>
        <v>0</v>
      </c>
      <c r="H37" s="13">
        <f t="shared" si="4"/>
        <v>0</v>
      </c>
      <c r="I37" s="13">
        <f t="shared" si="4"/>
        <v>0</v>
      </c>
    </row>
    <row r="40" spans="2:9">
      <c r="B40" s="8" t="s">
        <v>105</v>
      </c>
      <c r="C40" s="14" t="s">
        <v>325</v>
      </c>
      <c r="D40" s="14" t="s">
        <v>326</v>
      </c>
      <c r="E40" s="491">
        <f>start_year</f>
        <v>2025</v>
      </c>
      <c r="F40" s="491">
        <f>E40+1</f>
        <v>2026</v>
      </c>
      <c r="G40" s="491">
        <f t="shared" ref="G40:I40" si="5">F40+1</f>
        <v>2027</v>
      </c>
      <c r="H40" s="491">
        <f t="shared" si="5"/>
        <v>2028</v>
      </c>
      <c r="I40" s="491">
        <f t="shared" si="5"/>
        <v>2029</v>
      </c>
    </row>
    <row r="41" spans="2:9">
      <c r="B41" s="10" t="s">
        <v>265</v>
      </c>
      <c r="C41" s="11">
        <f>SUM(E41:I41)</f>
        <v>0</v>
      </c>
      <c r="D41" s="11">
        <f t="shared" ref="D41:D52" si="6">E41+NPV(fdr_nem_áll,F41:I41)</f>
        <v>0</v>
      </c>
      <c r="E41" s="287"/>
      <c r="F41" s="287"/>
      <c r="G41" s="287"/>
      <c r="H41" s="287"/>
      <c r="I41" s="287"/>
    </row>
    <row r="42" spans="2:9">
      <c r="B42" s="10" t="s">
        <v>269</v>
      </c>
      <c r="C42" s="11">
        <f t="shared" ref="C42:C52" si="7">SUM(E42:I42)</f>
        <v>0</v>
      </c>
      <c r="D42" s="11">
        <f t="shared" si="6"/>
        <v>0</v>
      </c>
      <c r="E42" s="287"/>
      <c r="F42" s="287"/>
      <c r="G42" s="287"/>
      <c r="H42" s="287"/>
      <c r="I42" s="287"/>
    </row>
    <row r="43" spans="2:9">
      <c r="B43" s="10" t="s">
        <v>276</v>
      </c>
      <c r="C43" s="11">
        <f t="shared" si="7"/>
        <v>0</v>
      </c>
      <c r="D43" s="11">
        <f t="shared" si="6"/>
        <v>0</v>
      </c>
      <c r="E43" s="287"/>
      <c r="F43" s="287"/>
      <c r="G43" s="287"/>
      <c r="H43" s="287"/>
      <c r="I43" s="287"/>
    </row>
    <row r="44" spans="2:9">
      <c r="B44" s="10" t="s">
        <v>282</v>
      </c>
      <c r="C44" s="11">
        <f t="shared" si="7"/>
        <v>0</v>
      </c>
      <c r="D44" s="11">
        <f t="shared" si="6"/>
        <v>0</v>
      </c>
      <c r="E44" s="287"/>
      <c r="F44" s="287"/>
      <c r="G44" s="287"/>
      <c r="H44" s="287"/>
      <c r="I44" s="287"/>
    </row>
    <row r="45" spans="2:9">
      <c r="B45" s="10" t="s">
        <v>286</v>
      </c>
      <c r="C45" s="11">
        <f t="shared" si="7"/>
        <v>0</v>
      </c>
      <c r="D45" s="11">
        <f t="shared" si="6"/>
        <v>0</v>
      </c>
      <c r="E45" s="287"/>
      <c r="F45" s="287"/>
      <c r="G45" s="287"/>
      <c r="H45" s="287"/>
      <c r="I45" s="287"/>
    </row>
    <row r="46" spans="2:9">
      <c r="B46" s="10" t="s">
        <v>287</v>
      </c>
      <c r="C46" s="11">
        <f t="shared" si="7"/>
        <v>0</v>
      </c>
      <c r="D46" s="11">
        <f t="shared" si="6"/>
        <v>0</v>
      </c>
      <c r="E46" s="287"/>
      <c r="F46" s="287"/>
      <c r="G46" s="287"/>
      <c r="H46" s="287"/>
      <c r="I46" s="287"/>
    </row>
    <row r="47" spans="2:9">
      <c r="B47" s="10" t="s">
        <v>327</v>
      </c>
      <c r="C47" s="11">
        <f t="shared" si="7"/>
        <v>0</v>
      </c>
      <c r="D47" s="11">
        <f t="shared" si="6"/>
        <v>0</v>
      </c>
      <c r="E47" s="287"/>
      <c r="F47" s="287"/>
      <c r="G47" s="287"/>
      <c r="H47" s="287"/>
      <c r="I47" s="287"/>
    </row>
    <row r="48" spans="2:9">
      <c r="B48" s="10" t="s">
        <v>327</v>
      </c>
      <c r="C48" s="11">
        <f t="shared" si="7"/>
        <v>0</v>
      </c>
      <c r="D48" s="11">
        <f t="shared" si="6"/>
        <v>0</v>
      </c>
      <c r="E48" s="287"/>
      <c r="F48" s="287"/>
      <c r="G48" s="287"/>
      <c r="H48" s="287"/>
      <c r="I48" s="287"/>
    </row>
    <row r="49" spans="2:9">
      <c r="B49" s="10" t="s">
        <v>327</v>
      </c>
      <c r="C49" s="11">
        <f t="shared" si="7"/>
        <v>0</v>
      </c>
      <c r="D49" s="11">
        <f t="shared" si="6"/>
        <v>0</v>
      </c>
      <c r="E49" s="287"/>
      <c r="F49" s="287"/>
      <c r="G49" s="287"/>
      <c r="H49" s="287"/>
      <c r="I49" s="287"/>
    </row>
    <row r="50" spans="2:9">
      <c r="B50" s="10" t="s">
        <v>327</v>
      </c>
      <c r="C50" s="11">
        <f t="shared" si="7"/>
        <v>0</v>
      </c>
      <c r="D50" s="11">
        <f t="shared" si="6"/>
        <v>0</v>
      </c>
      <c r="E50" s="287"/>
      <c r="F50" s="287"/>
      <c r="G50" s="287"/>
      <c r="H50" s="287"/>
      <c r="I50" s="287"/>
    </row>
    <row r="51" spans="2:9">
      <c r="B51" s="510" t="s">
        <v>328</v>
      </c>
      <c r="C51" s="13">
        <f t="shared" si="7"/>
        <v>0</v>
      </c>
      <c r="D51" s="13">
        <f t="shared" si="6"/>
        <v>0</v>
      </c>
      <c r="E51" s="502"/>
      <c r="F51" s="502"/>
      <c r="G51" s="502"/>
      <c r="H51" s="502"/>
      <c r="I51" s="502"/>
    </row>
    <row r="52" spans="2:9">
      <c r="B52" s="510" t="s">
        <v>329</v>
      </c>
      <c r="C52" s="13">
        <f t="shared" si="7"/>
        <v>0</v>
      </c>
      <c r="D52" s="13">
        <f t="shared" si="6"/>
        <v>0</v>
      </c>
      <c r="E52" s="13">
        <f>SUM(E41:E50)</f>
        <v>0</v>
      </c>
      <c r="F52" s="13">
        <f t="shared" ref="F52:I52" si="8">SUM(F41:F50)</f>
        <v>0</v>
      </c>
      <c r="G52" s="13">
        <f t="shared" si="8"/>
        <v>0</v>
      </c>
      <c r="H52" s="13">
        <f t="shared" si="8"/>
        <v>0</v>
      </c>
      <c r="I52" s="13">
        <f t="shared" si="8"/>
        <v>0</v>
      </c>
    </row>
    <row r="53" spans="2:9">
      <c r="B53" s="1"/>
    </row>
    <row r="54" spans="2:9">
      <c r="B54" s="1"/>
    </row>
    <row r="55" spans="2:9">
      <c r="B55" s="8" t="s">
        <v>331</v>
      </c>
      <c r="C55" s="14" t="s">
        <v>325</v>
      </c>
      <c r="D55" s="14" t="s">
        <v>326</v>
      </c>
      <c r="E55" s="491">
        <f>start_year</f>
        <v>2025</v>
      </c>
      <c r="F55" s="491">
        <f>E55+1</f>
        <v>2026</v>
      </c>
      <c r="G55" s="491">
        <f t="shared" ref="G55:I55" si="9">F55+1</f>
        <v>2027</v>
      </c>
      <c r="H55" s="491">
        <f t="shared" si="9"/>
        <v>2028</v>
      </c>
      <c r="I55" s="491">
        <f t="shared" si="9"/>
        <v>2029</v>
      </c>
    </row>
    <row r="56" spans="2:9">
      <c r="B56" s="10" t="s">
        <v>265</v>
      </c>
      <c r="C56" s="11">
        <f>SUM(E56:I56)</f>
        <v>0</v>
      </c>
      <c r="D56" s="11">
        <f t="shared" ref="D56:D67" si="10">E56+NPV(fdr_nem_áll,F56:I56)</f>
        <v>0</v>
      </c>
      <c r="E56" s="11">
        <f t="shared" ref="E56:I65" si="11">E26+E41</f>
        <v>0</v>
      </c>
      <c r="F56" s="11">
        <f t="shared" si="11"/>
        <v>0</v>
      </c>
      <c r="G56" s="11">
        <f t="shared" si="11"/>
        <v>0</v>
      </c>
      <c r="H56" s="11">
        <f t="shared" si="11"/>
        <v>0</v>
      </c>
      <c r="I56" s="11">
        <f t="shared" si="11"/>
        <v>0</v>
      </c>
    </row>
    <row r="57" spans="2:9">
      <c r="B57" s="10" t="s">
        <v>269</v>
      </c>
      <c r="C57" s="11">
        <f t="shared" ref="C57:C67" si="12">SUM(E57:I57)</f>
        <v>0</v>
      </c>
      <c r="D57" s="11">
        <f t="shared" si="10"/>
        <v>0</v>
      </c>
      <c r="E57" s="11">
        <f t="shared" si="11"/>
        <v>0</v>
      </c>
      <c r="F57" s="11">
        <f t="shared" si="11"/>
        <v>0</v>
      </c>
      <c r="G57" s="11">
        <f t="shared" si="11"/>
        <v>0</v>
      </c>
      <c r="H57" s="11">
        <f t="shared" si="11"/>
        <v>0</v>
      </c>
      <c r="I57" s="11">
        <f t="shared" si="11"/>
        <v>0</v>
      </c>
    </row>
    <row r="58" spans="2:9">
      <c r="B58" s="10" t="s">
        <v>276</v>
      </c>
      <c r="C58" s="11">
        <f t="shared" si="12"/>
        <v>0</v>
      </c>
      <c r="D58" s="11">
        <f t="shared" si="10"/>
        <v>0</v>
      </c>
      <c r="E58" s="11">
        <f t="shared" si="11"/>
        <v>0</v>
      </c>
      <c r="F58" s="11">
        <f t="shared" si="11"/>
        <v>0</v>
      </c>
      <c r="G58" s="11">
        <f t="shared" si="11"/>
        <v>0</v>
      </c>
      <c r="H58" s="11">
        <f t="shared" si="11"/>
        <v>0</v>
      </c>
      <c r="I58" s="11">
        <f t="shared" si="11"/>
        <v>0</v>
      </c>
    </row>
    <row r="59" spans="2:9">
      <c r="B59" s="10" t="s">
        <v>282</v>
      </c>
      <c r="C59" s="11">
        <f t="shared" si="12"/>
        <v>0</v>
      </c>
      <c r="D59" s="11">
        <f t="shared" si="10"/>
        <v>0</v>
      </c>
      <c r="E59" s="11">
        <f t="shared" si="11"/>
        <v>0</v>
      </c>
      <c r="F59" s="11">
        <f t="shared" si="11"/>
        <v>0</v>
      </c>
      <c r="G59" s="11">
        <f t="shared" si="11"/>
        <v>0</v>
      </c>
      <c r="H59" s="11">
        <f t="shared" si="11"/>
        <v>0</v>
      </c>
      <c r="I59" s="11">
        <f t="shared" si="11"/>
        <v>0</v>
      </c>
    </row>
    <row r="60" spans="2:9">
      <c r="B60" s="10" t="s">
        <v>286</v>
      </c>
      <c r="C60" s="11">
        <f t="shared" si="12"/>
        <v>0</v>
      </c>
      <c r="D60" s="11">
        <f t="shared" si="10"/>
        <v>0</v>
      </c>
      <c r="E60" s="11">
        <f t="shared" si="11"/>
        <v>0</v>
      </c>
      <c r="F60" s="11">
        <f t="shared" si="11"/>
        <v>0</v>
      </c>
      <c r="G60" s="11">
        <f t="shared" si="11"/>
        <v>0</v>
      </c>
      <c r="H60" s="11">
        <f t="shared" si="11"/>
        <v>0</v>
      </c>
      <c r="I60" s="11">
        <f t="shared" si="11"/>
        <v>0</v>
      </c>
    </row>
    <row r="61" spans="2:9">
      <c r="B61" s="10" t="s">
        <v>287</v>
      </c>
      <c r="C61" s="11">
        <f t="shared" si="12"/>
        <v>0</v>
      </c>
      <c r="D61" s="11">
        <f t="shared" si="10"/>
        <v>0</v>
      </c>
      <c r="E61" s="11">
        <f t="shared" si="11"/>
        <v>0</v>
      </c>
      <c r="F61" s="11">
        <f t="shared" si="11"/>
        <v>0</v>
      </c>
      <c r="G61" s="11">
        <f t="shared" si="11"/>
        <v>0</v>
      </c>
      <c r="H61" s="11">
        <f t="shared" si="11"/>
        <v>0</v>
      </c>
      <c r="I61" s="11">
        <f t="shared" si="11"/>
        <v>0</v>
      </c>
    </row>
    <row r="62" spans="2:9">
      <c r="B62" s="10" t="s">
        <v>327</v>
      </c>
      <c r="C62" s="11">
        <f t="shared" si="12"/>
        <v>0</v>
      </c>
      <c r="D62" s="11">
        <f t="shared" si="10"/>
        <v>0</v>
      </c>
      <c r="E62" s="11">
        <f t="shared" si="11"/>
        <v>0</v>
      </c>
      <c r="F62" s="11">
        <f t="shared" si="11"/>
        <v>0</v>
      </c>
      <c r="G62" s="11">
        <f t="shared" si="11"/>
        <v>0</v>
      </c>
      <c r="H62" s="11">
        <f t="shared" si="11"/>
        <v>0</v>
      </c>
      <c r="I62" s="11">
        <f t="shared" si="11"/>
        <v>0</v>
      </c>
    </row>
    <row r="63" spans="2:9">
      <c r="B63" s="10" t="s">
        <v>327</v>
      </c>
      <c r="C63" s="11">
        <f t="shared" si="12"/>
        <v>0</v>
      </c>
      <c r="D63" s="11">
        <f t="shared" si="10"/>
        <v>0</v>
      </c>
      <c r="E63" s="11">
        <f t="shared" si="11"/>
        <v>0</v>
      </c>
      <c r="F63" s="11">
        <f t="shared" si="11"/>
        <v>0</v>
      </c>
      <c r="G63" s="11">
        <f t="shared" si="11"/>
        <v>0</v>
      </c>
      <c r="H63" s="11">
        <f t="shared" si="11"/>
        <v>0</v>
      </c>
      <c r="I63" s="11">
        <f t="shared" si="11"/>
        <v>0</v>
      </c>
    </row>
    <row r="64" spans="2:9">
      <c r="B64" s="10" t="s">
        <v>327</v>
      </c>
      <c r="C64" s="11">
        <f t="shared" si="12"/>
        <v>0</v>
      </c>
      <c r="D64" s="11">
        <f t="shared" si="10"/>
        <v>0</v>
      </c>
      <c r="E64" s="11">
        <f t="shared" si="11"/>
        <v>0</v>
      </c>
      <c r="F64" s="11">
        <f t="shared" si="11"/>
        <v>0</v>
      </c>
      <c r="G64" s="11">
        <f t="shared" si="11"/>
        <v>0</v>
      </c>
      <c r="H64" s="11">
        <f t="shared" si="11"/>
        <v>0</v>
      </c>
      <c r="I64" s="11">
        <f t="shared" si="11"/>
        <v>0</v>
      </c>
    </row>
    <row r="65" spans="1:34">
      <c r="B65" s="10" t="s">
        <v>327</v>
      </c>
      <c r="C65" s="11">
        <f t="shared" si="12"/>
        <v>0</v>
      </c>
      <c r="D65" s="11">
        <f t="shared" si="10"/>
        <v>0</v>
      </c>
      <c r="E65" s="11">
        <f t="shared" si="11"/>
        <v>0</v>
      </c>
      <c r="F65" s="11">
        <f t="shared" si="11"/>
        <v>0</v>
      </c>
      <c r="G65" s="11">
        <f t="shared" si="11"/>
        <v>0</v>
      </c>
      <c r="H65" s="11">
        <f t="shared" si="11"/>
        <v>0</v>
      </c>
      <c r="I65" s="11">
        <f t="shared" si="11"/>
        <v>0</v>
      </c>
    </row>
    <row r="66" spans="1:34">
      <c r="B66" s="510" t="s">
        <v>328</v>
      </c>
      <c r="C66" s="13">
        <f t="shared" si="12"/>
        <v>0</v>
      </c>
      <c r="D66" s="13">
        <f t="shared" si="10"/>
        <v>0</v>
      </c>
      <c r="E66" s="13">
        <f>SUM(E56:E60,E62:E65)</f>
        <v>0</v>
      </c>
      <c r="F66" s="13">
        <f t="shared" ref="F66:I66" si="13">SUM(F56:F60,F62:F65)</f>
        <v>0</v>
      </c>
      <c r="G66" s="13">
        <f t="shared" si="13"/>
        <v>0</v>
      </c>
      <c r="H66" s="13">
        <f t="shared" si="13"/>
        <v>0</v>
      </c>
      <c r="I66" s="13">
        <f t="shared" si="13"/>
        <v>0</v>
      </c>
    </row>
    <row r="67" spans="1:34">
      <c r="B67" s="510" t="s">
        <v>329</v>
      </c>
      <c r="C67" s="13">
        <f t="shared" si="12"/>
        <v>0</v>
      </c>
      <c r="D67" s="13">
        <f t="shared" si="10"/>
        <v>0</v>
      </c>
      <c r="E67" s="13">
        <f>SUM(E56:E65)</f>
        <v>0</v>
      </c>
      <c r="F67" s="13">
        <f t="shared" ref="F67:I67" si="14">SUM(F56:F65)</f>
        <v>0</v>
      </c>
      <c r="G67" s="13">
        <f t="shared" si="14"/>
        <v>0</v>
      </c>
      <c r="H67" s="13">
        <f t="shared" si="14"/>
        <v>0</v>
      </c>
      <c r="I67" s="13">
        <f t="shared" si="14"/>
        <v>0</v>
      </c>
    </row>
    <row r="70" spans="1:34" s="83" customFormat="1">
      <c r="A70" s="493"/>
      <c r="B70" s="493" t="s">
        <v>301</v>
      </c>
    </row>
    <row r="72" spans="1:34">
      <c r="B72" s="506" t="s">
        <v>408</v>
      </c>
      <c r="C72" s="496"/>
      <c r="D72" s="496"/>
      <c r="E72" s="496"/>
      <c r="F72" s="496"/>
      <c r="G72" s="496"/>
      <c r="H72" s="496"/>
      <c r="I72" s="496"/>
      <c r="J72" s="496"/>
      <c r="K72" s="496"/>
      <c r="L72" s="496"/>
      <c r="M72" s="496"/>
      <c r="N72" s="496"/>
      <c r="O72" s="496"/>
      <c r="P72" s="496"/>
      <c r="Q72" s="496"/>
      <c r="R72" s="496"/>
      <c r="S72" s="496"/>
      <c r="T72" s="496"/>
      <c r="U72" s="496"/>
      <c r="V72" s="496"/>
      <c r="W72" s="496"/>
      <c r="X72" s="496"/>
      <c r="Y72" s="496"/>
      <c r="Z72" s="496"/>
      <c r="AA72" s="496"/>
      <c r="AB72" s="496"/>
      <c r="AC72" s="496"/>
      <c r="AD72" s="496"/>
      <c r="AE72" s="496"/>
      <c r="AF72" s="496"/>
      <c r="AG72" s="496"/>
      <c r="AH72" s="496"/>
    </row>
    <row r="74" spans="1:34">
      <c r="B74" s="14" t="s">
        <v>479</v>
      </c>
      <c r="C74" s="14" t="s">
        <v>325</v>
      </c>
      <c r="D74" s="14" t="s">
        <v>326</v>
      </c>
      <c r="E74" s="91">
        <f>start_year</f>
        <v>2025</v>
      </c>
      <c r="F74" s="91">
        <f t="shared" ref="F74:AH74" si="15">E74+1</f>
        <v>2026</v>
      </c>
      <c r="G74" s="91">
        <f t="shared" si="15"/>
        <v>2027</v>
      </c>
      <c r="H74" s="91">
        <f t="shared" si="15"/>
        <v>2028</v>
      </c>
      <c r="I74" s="91">
        <f t="shared" si="15"/>
        <v>2029</v>
      </c>
      <c r="J74" s="91">
        <f t="shared" si="15"/>
        <v>2030</v>
      </c>
      <c r="K74" s="91">
        <f t="shared" si="15"/>
        <v>2031</v>
      </c>
      <c r="L74" s="91">
        <f t="shared" si="15"/>
        <v>2032</v>
      </c>
      <c r="M74" s="91">
        <f t="shared" si="15"/>
        <v>2033</v>
      </c>
      <c r="N74" s="91">
        <f t="shared" si="15"/>
        <v>2034</v>
      </c>
      <c r="O74" s="91">
        <f t="shared" si="15"/>
        <v>2035</v>
      </c>
      <c r="P74" s="91">
        <f t="shared" si="15"/>
        <v>2036</v>
      </c>
      <c r="Q74" s="91">
        <f t="shared" si="15"/>
        <v>2037</v>
      </c>
      <c r="R74" s="91">
        <f t="shared" si="15"/>
        <v>2038</v>
      </c>
      <c r="S74" s="91">
        <f t="shared" si="15"/>
        <v>2039</v>
      </c>
      <c r="T74" s="91">
        <f t="shared" si="15"/>
        <v>2040</v>
      </c>
      <c r="U74" s="91">
        <f t="shared" si="15"/>
        <v>2041</v>
      </c>
      <c r="V74" s="91">
        <f t="shared" si="15"/>
        <v>2042</v>
      </c>
      <c r="W74" s="91">
        <f t="shared" si="15"/>
        <v>2043</v>
      </c>
      <c r="X74" s="91">
        <f t="shared" si="15"/>
        <v>2044</v>
      </c>
      <c r="Y74" s="91">
        <f t="shared" si="15"/>
        <v>2045</v>
      </c>
      <c r="Z74" s="91">
        <f t="shared" si="15"/>
        <v>2046</v>
      </c>
      <c r="AA74" s="91">
        <f t="shared" si="15"/>
        <v>2047</v>
      </c>
      <c r="AB74" s="91">
        <f t="shared" si="15"/>
        <v>2048</v>
      </c>
      <c r="AC74" s="91">
        <f t="shared" si="15"/>
        <v>2049</v>
      </c>
      <c r="AD74" s="91">
        <f t="shared" si="15"/>
        <v>2050</v>
      </c>
      <c r="AE74" s="91">
        <f t="shared" si="15"/>
        <v>2051</v>
      </c>
      <c r="AF74" s="91">
        <f t="shared" si="15"/>
        <v>2052</v>
      </c>
      <c r="AG74" s="91">
        <f t="shared" si="15"/>
        <v>2053</v>
      </c>
      <c r="AH74" s="91">
        <f t="shared" si="15"/>
        <v>2054</v>
      </c>
    </row>
    <row r="75" spans="1:34">
      <c r="B75" s="10" t="s">
        <v>337</v>
      </c>
      <c r="C75" s="11">
        <f>SUM(E75:AH75)</f>
        <v>0</v>
      </c>
      <c r="D75" s="11">
        <f>E75+NPV(fdr_nem_áll,F75:AH75)</f>
        <v>0</v>
      </c>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row>
    <row r="78" spans="1:34">
      <c r="B78" s="506" t="s">
        <v>414</v>
      </c>
      <c r="C78" s="496"/>
      <c r="D78" s="496"/>
      <c r="E78" s="496"/>
      <c r="F78" s="496"/>
      <c r="G78" s="496"/>
      <c r="H78" s="496"/>
      <c r="I78" s="496"/>
      <c r="J78" s="496"/>
      <c r="K78" s="496"/>
      <c r="L78" s="496"/>
      <c r="M78" s="496"/>
      <c r="N78" s="496"/>
      <c r="O78" s="496"/>
      <c r="P78" s="496"/>
      <c r="Q78" s="496"/>
      <c r="R78" s="496"/>
      <c r="S78" s="496"/>
      <c r="T78" s="496"/>
      <c r="U78" s="496"/>
      <c r="V78" s="496"/>
      <c r="W78" s="496"/>
      <c r="X78" s="496"/>
      <c r="Y78" s="496"/>
      <c r="Z78" s="496"/>
      <c r="AA78" s="496"/>
      <c r="AB78" s="496"/>
      <c r="AC78" s="496"/>
      <c r="AD78" s="496"/>
      <c r="AE78" s="496"/>
      <c r="AF78" s="496"/>
      <c r="AG78" s="496"/>
      <c r="AH78" s="496"/>
    </row>
    <row r="80" spans="1:34">
      <c r="B80" s="14" t="s">
        <v>479</v>
      </c>
      <c r="C80" s="14" t="s">
        <v>325</v>
      </c>
      <c r="D80" s="14" t="s">
        <v>326</v>
      </c>
      <c r="E80" s="91">
        <f>start_year</f>
        <v>2025</v>
      </c>
      <c r="F80" s="91">
        <f t="shared" ref="F80:AH80" si="16">E80+1</f>
        <v>2026</v>
      </c>
      <c r="G80" s="91">
        <f t="shared" si="16"/>
        <v>2027</v>
      </c>
      <c r="H80" s="91">
        <f t="shared" si="16"/>
        <v>2028</v>
      </c>
      <c r="I80" s="91">
        <f t="shared" si="16"/>
        <v>2029</v>
      </c>
      <c r="J80" s="91">
        <f t="shared" si="16"/>
        <v>2030</v>
      </c>
      <c r="K80" s="91">
        <f t="shared" si="16"/>
        <v>2031</v>
      </c>
      <c r="L80" s="91">
        <f t="shared" si="16"/>
        <v>2032</v>
      </c>
      <c r="M80" s="91">
        <f t="shared" si="16"/>
        <v>2033</v>
      </c>
      <c r="N80" s="91">
        <f t="shared" si="16"/>
        <v>2034</v>
      </c>
      <c r="O80" s="91">
        <f t="shared" si="16"/>
        <v>2035</v>
      </c>
      <c r="P80" s="91">
        <f t="shared" si="16"/>
        <v>2036</v>
      </c>
      <c r="Q80" s="91">
        <f t="shared" si="16"/>
        <v>2037</v>
      </c>
      <c r="R80" s="91">
        <f t="shared" si="16"/>
        <v>2038</v>
      </c>
      <c r="S80" s="91">
        <f t="shared" si="16"/>
        <v>2039</v>
      </c>
      <c r="T80" s="91">
        <f t="shared" si="16"/>
        <v>2040</v>
      </c>
      <c r="U80" s="91">
        <f t="shared" si="16"/>
        <v>2041</v>
      </c>
      <c r="V80" s="91">
        <f t="shared" si="16"/>
        <v>2042</v>
      </c>
      <c r="W80" s="91">
        <f t="shared" si="16"/>
        <v>2043</v>
      </c>
      <c r="X80" s="91">
        <f t="shared" si="16"/>
        <v>2044</v>
      </c>
      <c r="Y80" s="91">
        <f t="shared" si="16"/>
        <v>2045</v>
      </c>
      <c r="Z80" s="91">
        <f t="shared" si="16"/>
        <v>2046</v>
      </c>
      <c r="AA80" s="91">
        <f t="shared" si="16"/>
        <v>2047</v>
      </c>
      <c r="AB80" s="91">
        <f t="shared" si="16"/>
        <v>2048</v>
      </c>
      <c r="AC80" s="91">
        <f t="shared" si="16"/>
        <v>2049</v>
      </c>
      <c r="AD80" s="91">
        <f t="shared" si="16"/>
        <v>2050</v>
      </c>
      <c r="AE80" s="91">
        <f t="shared" si="16"/>
        <v>2051</v>
      </c>
      <c r="AF80" s="91">
        <f t="shared" si="16"/>
        <v>2052</v>
      </c>
      <c r="AG80" s="91">
        <f t="shared" si="16"/>
        <v>2053</v>
      </c>
      <c r="AH80" s="91">
        <f t="shared" si="16"/>
        <v>2054</v>
      </c>
    </row>
    <row r="81" spans="1:34">
      <c r="B81" s="10" t="s">
        <v>338</v>
      </c>
      <c r="C81" s="11">
        <f>SUM(E81:AH81)</f>
        <v>0</v>
      </c>
      <c r="D81" s="11">
        <f>E81+NPV(fdr_nem_áll,F81:AH81)</f>
        <v>0</v>
      </c>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row>
    <row r="84" spans="1:34" s="83" customFormat="1">
      <c r="A84" s="493"/>
      <c r="B84" s="493" t="s">
        <v>509</v>
      </c>
    </row>
    <row r="86" spans="1:34">
      <c r="B86" s="14" t="s">
        <v>479</v>
      </c>
      <c r="C86" s="14" t="s">
        <v>325</v>
      </c>
      <c r="D86" s="14" t="s">
        <v>326</v>
      </c>
      <c r="E86" s="91">
        <f>start_year</f>
        <v>2025</v>
      </c>
      <c r="F86" s="91">
        <f t="shared" ref="F86:AH86" si="17">E86+1</f>
        <v>2026</v>
      </c>
      <c r="G86" s="91">
        <f t="shared" si="17"/>
        <v>2027</v>
      </c>
      <c r="H86" s="91">
        <f t="shared" si="17"/>
        <v>2028</v>
      </c>
      <c r="I86" s="91">
        <f t="shared" si="17"/>
        <v>2029</v>
      </c>
      <c r="J86" s="91">
        <f t="shared" si="17"/>
        <v>2030</v>
      </c>
      <c r="K86" s="91">
        <f t="shared" si="17"/>
        <v>2031</v>
      </c>
      <c r="L86" s="91">
        <f t="shared" si="17"/>
        <v>2032</v>
      </c>
      <c r="M86" s="91">
        <f t="shared" si="17"/>
        <v>2033</v>
      </c>
      <c r="N86" s="91">
        <f t="shared" si="17"/>
        <v>2034</v>
      </c>
      <c r="O86" s="91">
        <f t="shared" si="17"/>
        <v>2035</v>
      </c>
      <c r="P86" s="91">
        <f t="shared" si="17"/>
        <v>2036</v>
      </c>
      <c r="Q86" s="91">
        <f t="shared" si="17"/>
        <v>2037</v>
      </c>
      <c r="R86" s="91">
        <f t="shared" si="17"/>
        <v>2038</v>
      </c>
      <c r="S86" s="91">
        <f t="shared" si="17"/>
        <v>2039</v>
      </c>
      <c r="T86" s="91">
        <f t="shared" si="17"/>
        <v>2040</v>
      </c>
      <c r="U86" s="91">
        <f t="shared" si="17"/>
        <v>2041</v>
      </c>
      <c r="V86" s="91">
        <f t="shared" si="17"/>
        <v>2042</v>
      </c>
      <c r="W86" s="91">
        <f t="shared" si="17"/>
        <v>2043</v>
      </c>
      <c r="X86" s="91">
        <f t="shared" si="17"/>
        <v>2044</v>
      </c>
      <c r="Y86" s="91">
        <f t="shared" si="17"/>
        <v>2045</v>
      </c>
      <c r="Z86" s="91">
        <f t="shared" si="17"/>
        <v>2046</v>
      </c>
      <c r="AA86" s="91">
        <f t="shared" si="17"/>
        <v>2047</v>
      </c>
      <c r="AB86" s="91">
        <f t="shared" si="17"/>
        <v>2048</v>
      </c>
      <c r="AC86" s="91">
        <f t="shared" si="17"/>
        <v>2049</v>
      </c>
      <c r="AD86" s="91">
        <f t="shared" si="17"/>
        <v>2050</v>
      </c>
      <c r="AE86" s="91">
        <f t="shared" si="17"/>
        <v>2051</v>
      </c>
      <c r="AF86" s="91">
        <f t="shared" si="17"/>
        <v>2052</v>
      </c>
      <c r="AG86" s="91">
        <f t="shared" si="17"/>
        <v>2053</v>
      </c>
      <c r="AH86" s="91">
        <f t="shared" si="17"/>
        <v>2054</v>
      </c>
    </row>
    <row r="87" spans="1:34">
      <c r="B87" s="35" t="s">
        <v>510</v>
      </c>
      <c r="C87" s="11">
        <f>SUM(E87:AH87)</f>
        <v>0</v>
      </c>
      <c r="D87" s="11">
        <f>E87+NPV(fdr_nem_áll,F87:AH87)</f>
        <v>0</v>
      </c>
      <c r="E87" s="287"/>
      <c r="F87" s="287"/>
      <c r="G87" s="287"/>
      <c r="H87" s="287"/>
      <c r="I87" s="287"/>
      <c r="J87" s="287"/>
      <c r="K87" s="287"/>
      <c r="L87" s="287"/>
      <c r="M87" s="287"/>
      <c r="N87" s="287"/>
      <c r="O87" s="287"/>
      <c r="P87" s="287"/>
      <c r="Q87" s="287"/>
      <c r="R87" s="287"/>
      <c r="S87" s="287"/>
      <c r="T87" s="287"/>
      <c r="U87" s="287"/>
      <c r="V87" s="287"/>
      <c r="W87" s="287"/>
      <c r="X87" s="287"/>
      <c r="Y87" s="287"/>
      <c r="Z87" s="287"/>
      <c r="AA87" s="287"/>
      <c r="AB87" s="287"/>
      <c r="AC87" s="287"/>
      <c r="AD87" s="287"/>
      <c r="AE87" s="287"/>
      <c r="AF87" s="287"/>
      <c r="AG87" s="287"/>
      <c r="AH87" s="287"/>
    </row>
    <row r="88" spans="1:34">
      <c r="B88" s="35" t="s">
        <v>511</v>
      </c>
      <c r="C88" s="11">
        <f>SUM(E88:AH88)</f>
        <v>0</v>
      </c>
      <c r="D88" s="11">
        <f>E88+NPV(fdr_nem_áll,F88:AH88)</f>
        <v>0</v>
      </c>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row>
    <row r="89" spans="1:34">
      <c r="B89" s="35" t="s">
        <v>512</v>
      </c>
      <c r="C89" s="11">
        <f>SUM(E89:AH89)</f>
        <v>0</v>
      </c>
      <c r="D89" s="11">
        <f>E89+NPV(fdr_nem_áll,F89:AH89)</f>
        <v>0</v>
      </c>
      <c r="E89" s="507">
        <f>SUM(E87:E88)</f>
        <v>0</v>
      </c>
      <c r="F89" s="507">
        <f t="shared" ref="F89:AH89" si="18">SUM(F87:F88)</f>
        <v>0</v>
      </c>
      <c r="G89" s="507">
        <f t="shared" si="18"/>
        <v>0</v>
      </c>
      <c r="H89" s="507">
        <f t="shared" si="18"/>
        <v>0</v>
      </c>
      <c r="I89" s="507">
        <f t="shared" si="18"/>
        <v>0</v>
      </c>
      <c r="J89" s="507">
        <f t="shared" si="18"/>
        <v>0</v>
      </c>
      <c r="K89" s="507">
        <f t="shared" si="18"/>
        <v>0</v>
      </c>
      <c r="L89" s="507">
        <f t="shared" si="18"/>
        <v>0</v>
      </c>
      <c r="M89" s="507">
        <f t="shared" si="18"/>
        <v>0</v>
      </c>
      <c r="N89" s="507">
        <f t="shared" si="18"/>
        <v>0</v>
      </c>
      <c r="O89" s="507">
        <f t="shared" si="18"/>
        <v>0</v>
      </c>
      <c r="P89" s="507">
        <f t="shared" si="18"/>
        <v>0</v>
      </c>
      <c r="Q89" s="507">
        <f t="shared" si="18"/>
        <v>0</v>
      </c>
      <c r="R89" s="507">
        <f t="shared" si="18"/>
        <v>0</v>
      </c>
      <c r="S89" s="507">
        <f t="shared" si="18"/>
        <v>0</v>
      </c>
      <c r="T89" s="507">
        <f t="shared" si="18"/>
        <v>0</v>
      </c>
      <c r="U89" s="507">
        <f t="shared" si="18"/>
        <v>0</v>
      </c>
      <c r="V89" s="507">
        <f t="shared" si="18"/>
        <v>0</v>
      </c>
      <c r="W89" s="507">
        <f t="shared" si="18"/>
        <v>0</v>
      </c>
      <c r="X89" s="507">
        <f t="shared" si="18"/>
        <v>0</v>
      </c>
      <c r="Y89" s="507">
        <f t="shared" si="18"/>
        <v>0</v>
      </c>
      <c r="Z89" s="507">
        <f t="shared" si="18"/>
        <v>0</v>
      </c>
      <c r="AA89" s="507">
        <f t="shared" si="18"/>
        <v>0</v>
      </c>
      <c r="AB89" s="507">
        <f t="shared" si="18"/>
        <v>0</v>
      </c>
      <c r="AC89" s="507">
        <f t="shared" si="18"/>
        <v>0</v>
      </c>
      <c r="AD89" s="507">
        <f t="shared" si="18"/>
        <v>0</v>
      </c>
      <c r="AE89" s="507">
        <f t="shared" si="18"/>
        <v>0</v>
      </c>
      <c r="AF89" s="507">
        <f t="shared" si="18"/>
        <v>0</v>
      </c>
      <c r="AG89" s="507">
        <f t="shared" si="18"/>
        <v>0</v>
      </c>
      <c r="AH89" s="507">
        <f t="shared" si="18"/>
        <v>0</v>
      </c>
    </row>
    <row r="91" spans="1:34">
      <c r="B91" s="36"/>
    </row>
    <row r="92" spans="1:34">
      <c r="B92" s="506" t="s">
        <v>513</v>
      </c>
      <c r="C92" s="496"/>
      <c r="D92" s="496"/>
      <c r="E92" s="496"/>
      <c r="F92" s="496"/>
      <c r="G92" s="496"/>
      <c r="H92" s="496"/>
      <c r="I92" s="496"/>
      <c r="J92" s="496"/>
      <c r="K92" s="496"/>
      <c r="L92" s="496"/>
      <c r="M92" s="496"/>
      <c r="N92" s="496"/>
      <c r="O92" s="496"/>
      <c r="P92" s="496"/>
      <c r="Q92" s="496"/>
      <c r="R92" s="496"/>
      <c r="S92" s="496"/>
      <c r="T92" s="496"/>
      <c r="U92" s="496"/>
      <c r="V92" s="496"/>
      <c r="W92" s="496"/>
      <c r="X92" s="496"/>
      <c r="Y92" s="496"/>
      <c r="Z92" s="496"/>
      <c r="AA92" s="496"/>
      <c r="AB92" s="496"/>
      <c r="AC92" s="496"/>
      <c r="AD92" s="496"/>
      <c r="AE92" s="496"/>
      <c r="AF92" s="496"/>
      <c r="AG92" s="496"/>
      <c r="AH92" s="496"/>
    </row>
    <row r="93" spans="1:34">
      <c r="B93" s="36"/>
    </row>
    <row r="94" spans="1:34">
      <c r="B94" s="14" t="s">
        <v>335</v>
      </c>
      <c r="C94" s="14" t="s">
        <v>514</v>
      </c>
    </row>
    <row r="95" spans="1:34">
      <c r="B95" s="511" t="s">
        <v>515</v>
      </c>
      <c r="C95" s="11">
        <f>D87</f>
        <v>0</v>
      </c>
    </row>
    <row r="96" spans="1:34">
      <c r="B96" s="511" t="s">
        <v>516</v>
      </c>
      <c r="C96" s="11">
        <f>D75</f>
        <v>0</v>
      </c>
    </row>
    <row r="97" spans="1:34">
      <c r="B97" s="511" t="s">
        <v>517</v>
      </c>
      <c r="C97" s="11">
        <f>D81</f>
        <v>0</v>
      </c>
    </row>
    <row r="98" spans="1:34">
      <c r="B98" s="511" t="s">
        <v>518</v>
      </c>
      <c r="C98" s="11">
        <f>C95-C96-C97</f>
        <v>0</v>
      </c>
    </row>
    <row r="99" spans="1:34">
      <c r="B99" s="36"/>
    </row>
    <row r="100" spans="1:34">
      <c r="B100" s="36"/>
    </row>
    <row r="101" spans="1:34" s="83" customFormat="1">
      <c r="A101" s="493"/>
      <c r="B101" s="493" t="s">
        <v>246</v>
      </c>
    </row>
    <row r="102" spans="1:34">
      <c r="B102" s="36"/>
    </row>
    <row r="103" spans="1:34">
      <c r="B103" s="14" t="s">
        <v>246</v>
      </c>
      <c r="C103" s="491">
        <f>last_year</f>
        <v>2044</v>
      </c>
    </row>
    <row r="104" spans="1:34">
      <c r="B104" s="511" t="s">
        <v>332</v>
      </c>
      <c r="C104" s="287"/>
    </row>
    <row r="105" spans="1:34">
      <c r="B105" s="36"/>
    </row>
    <row r="107" spans="1:34" s="83" customFormat="1">
      <c r="A107" s="493"/>
      <c r="B107" s="493" t="s">
        <v>312</v>
      </c>
    </row>
    <row r="109" spans="1:34">
      <c r="B109" s="14" t="s">
        <v>312</v>
      </c>
      <c r="C109" s="14" t="s">
        <v>325</v>
      </c>
      <c r="D109" s="14" t="s">
        <v>326</v>
      </c>
      <c r="E109" s="91">
        <f>start_year</f>
        <v>2025</v>
      </c>
      <c r="F109" s="91">
        <f t="shared" ref="F109:AH109" si="19">E109+1</f>
        <v>2026</v>
      </c>
      <c r="G109" s="91">
        <f t="shared" si="19"/>
        <v>2027</v>
      </c>
      <c r="H109" s="91">
        <f t="shared" si="19"/>
        <v>2028</v>
      </c>
      <c r="I109" s="91">
        <f t="shared" si="19"/>
        <v>2029</v>
      </c>
      <c r="J109" s="91">
        <f t="shared" si="19"/>
        <v>2030</v>
      </c>
      <c r="K109" s="91">
        <f t="shared" si="19"/>
        <v>2031</v>
      </c>
      <c r="L109" s="91">
        <f t="shared" si="19"/>
        <v>2032</v>
      </c>
      <c r="M109" s="91">
        <f t="shared" si="19"/>
        <v>2033</v>
      </c>
      <c r="N109" s="91">
        <f t="shared" si="19"/>
        <v>2034</v>
      </c>
      <c r="O109" s="91">
        <f t="shared" si="19"/>
        <v>2035</v>
      </c>
      <c r="P109" s="91">
        <f t="shared" si="19"/>
        <v>2036</v>
      </c>
      <c r="Q109" s="91">
        <f t="shared" si="19"/>
        <v>2037</v>
      </c>
      <c r="R109" s="91">
        <f t="shared" si="19"/>
        <v>2038</v>
      </c>
      <c r="S109" s="91">
        <f t="shared" si="19"/>
        <v>2039</v>
      </c>
      <c r="T109" s="91">
        <f t="shared" si="19"/>
        <v>2040</v>
      </c>
      <c r="U109" s="91">
        <f t="shared" si="19"/>
        <v>2041</v>
      </c>
      <c r="V109" s="91">
        <f t="shared" si="19"/>
        <v>2042</v>
      </c>
      <c r="W109" s="91">
        <f t="shared" si="19"/>
        <v>2043</v>
      </c>
      <c r="X109" s="91">
        <f t="shared" si="19"/>
        <v>2044</v>
      </c>
      <c r="Y109" s="91">
        <f t="shared" si="19"/>
        <v>2045</v>
      </c>
      <c r="Z109" s="91">
        <f t="shared" si="19"/>
        <v>2046</v>
      </c>
      <c r="AA109" s="91">
        <f t="shared" si="19"/>
        <v>2047</v>
      </c>
      <c r="AB109" s="91">
        <f t="shared" si="19"/>
        <v>2048</v>
      </c>
      <c r="AC109" s="91">
        <f t="shared" si="19"/>
        <v>2049</v>
      </c>
      <c r="AD109" s="91">
        <f t="shared" si="19"/>
        <v>2050</v>
      </c>
      <c r="AE109" s="91">
        <f t="shared" si="19"/>
        <v>2051</v>
      </c>
      <c r="AF109" s="91">
        <f t="shared" si="19"/>
        <v>2052</v>
      </c>
      <c r="AG109" s="91">
        <f t="shared" si="19"/>
        <v>2053</v>
      </c>
      <c r="AH109" s="91">
        <f t="shared" si="19"/>
        <v>2054</v>
      </c>
    </row>
    <row r="110" spans="1:34">
      <c r="B110" s="10" t="s">
        <v>314</v>
      </c>
      <c r="C110" s="11">
        <f>SUM(E110:AH110)</f>
        <v>0</v>
      </c>
      <c r="D110" s="11">
        <f>E110+NPV(fdr_nem_áll,F110:AH110)</f>
        <v>0</v>
      </c>
      <c r="E110" s="287"/>
      <c r="F110" s="287"/>
      <c r="G110" s="287"/>
      <c r="H110" s="287"/>
      <c r="I110" s="287"/>
      <c r="J110" s="287"/>
      <c r="K110" s="287"/>
      <c r="L110" s="287"/>
      <c r="M110" s="287"/>
      <c r="N110" s="287"/>
      <c r="O110" s="287"/>
      <c r="P110" s="287"/>
      <c r="Q110" s="287"/>
      <c r="R110" s="287"/>
      <c r="S110" s="287"/>
      <c r="T110" s="287"/>
      <c r="U110" s="287"/>
      <c r="V110" s="287"/>
      <c r="W110" s="287"/>
      <c r="X110" s="287"/>
      <c r="Y110" s="287"/>
      <c r="Z110" s="287"/>
      <c r="AA110" s="287"/>
      <c r="AB110" s="287"/>
      <c r="AC110" s="287"/>
      <c r="AD110" s="287"/>
      <c r="AE110" s="287"/>
      <c r="AF110" s="287"/>
      <c r="AG110" s="287"/>
      <c r="AH110" s="287"/>
    </row>
    <row r="111" spans="1:34">
      <c r="B111" s="10" t="s">
        <v>315</v>
      </c>
      <c r="C111" s="11">
        <f t="shared" ref="C111:C114" si="20">SUM(E111:AH111)</f>
        <v>0</v>
      </c>
      <c r="D111" s="11">
        <f>E111+NPV(fdr_nem_áll,F111:AH111)</f>
        <v>0</v>
      </c>
      <c r="E111" s="287"/>
      <c r="F111" s="287"/>
      <c r="G111" s="287"/>
      <c r="H111" s="287"/>
      <c r="I111" s="287"/>
      <c r="J111" s="287"/>
      <c r="K111" s="287"/>
      <c r="L111" s="287"/>
      <c r="M111" s="287"/>
      <c r="N111" s="287"/>
      <c r="O111" s="287"/>
      <c r="P111" s="287"/>
      <c r="Q111" s="287"/>
      <c r="R111" s="287"/>
      <c r="S111" s="287"/>
      <c r="T111" s="287"/>
      <c r="U111" s="287"/>
      <c r="V111" s="287"/>
      <c r="W111" s="287"/>
      <c r="X111" s="287"/>
      <c r="Y111" s="287"/>
      <c r="Z111" s="287"/>
      <c r="AA111" s="287"/>
      <c r="AB111" s="287"/>
      <c r="AC111" s="287"/>
      <c r="AD111" s="287"/>
      <c r="AE111" s="287"/>
      <c r="AF111" s="287"/>
      <c r="AG111" s="287"/>
      <c r="AH111" s="287"/>
    </row>
    <row r="112" spans="1:34">
      <c r="B112" s="10" t="s">
        <v>316</v>
      </c>
      <c r="C112" s="11">
        <f t="shared" si="20"/>
        <v>0</v>
      </c>
      <c r="D112" s="11">
        <f>E112+NPV(fdr_nem_áll,F112:AH112)</f>
        <v>0</v>
      </c>
      <c r="E112" s="287"/>
      <c r="F112" s="287"/>
      <c r="G112" s="287"/>
      <c r="H112" s="287"/>
      <c r="I112" s="287"/>
      <c r="J112" s="287"/>
      <c r="K112" s="287"/>
      <c r="L112" s="287"/>
      <c r="M112" s="287"/>
      <c r="N112" s="287"/>
      <c r="O112" s="287"/>
      <c r="P112" s="287"/>
      <c r="Q112" s="287"/>
      <c r="R112" s="287"/>
      <c r="S112" s="287"/>
      <c r="T112" s="287"/>
      <c r="U112" s="287"/>
      <c r="V112" s="287"/>
      <c r="W112" s="287"/>
      <c r="X112" s="287"/>
      <c r="Y112" s="287"/>
      <c r="Z112" s="287"/>
      <c r="AA112" s="287"/>
      <c r="AB112" s="287"/>
      <c r="AC112" s="287"/>
      <c r="AD112" s="287"/>
      <c r="AE112" s="287"/>
      <c r="AF112" s="287"/>
      <c r="AG112" s="287"/>
      <c r="AH112" s="287"/>
    </row>
    <row r="113" spans="1:34">
      <c r="B113" s="10" t="s">
        <v>317</v>
      </c>
      <c r="C113" s="11">
        <f t="shared" si="20"/>
        <v>0</v>
      </c>
      <c r="D113" s="11">
        <f>E113+NPV(fdr_nem_áll,F113:AH113)</f>
        <v>0</v>
      </c>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7"/>
    </row>
    <row r="114" spans="1:34">
      <c r="B114" s="10" t="s">
        <v>318</v>
      </c>
      <c r="C114" s="11">
        <f t="shared" si="20"/>
        <v>0</v>
      </c>
      <c r="D114" s="11">
        <f>E114+NPV(fdr_nem_áll,F114:AH114)</f>
        <v>0</v>
      </c>
      <c r="E114" s="287"/>
      <c r="F114" s="287"/>
      <c r="G114" s="287"/>
      <c r="H114" s="287"/>
      <c r="I114" s="287"/>
      <c r="J114" s="287"/>
      <c r="K114" s="287"/>
      <c r="L114" s="287"/>
      <c r="M114" s="287"/>
      <c r="N114" s="287"/>
      <c r="O114" s="287"/>
      <c r="P114" s="287"/>
      <c r="Q114" s="287"/>
      <c r="R114" s="287"/>
      <c r="S114" s="287"/>
      <c r="T114" s="287"/>
      <c r="U114" s="287"/>
      <c r="V114" s="287"/>
      <c r="W114" s="287"/>
      <c r="X114" s="287"/>
      <c r="Y114" s="287"/>
      <c r="Z114" s="287"/>
      <c r="AA114" s="287"/>
      <c r="AB114" s="287"/>
      <c r="AC114" s="287"/>
      <c r="AD114" s="287"/>
      <c r="AE114" s="287"/>
      <c r="AF114" s="287"/>
      <c r="AG114" s="287"/>
      <c r="AH114" s="287"/>
    </row>
    <row r="117" spans="1:34" s="499" customFormat="1">
      <c r="A117" s="498"/>
      <c r="B117" s="498" t="s">
        <v>519</v>
      </c>
    </row>
    <row r="119" spans="1:34">
      <c r="B119" s="506" t="s">
        <v>520</v>
      </c>
      <c r="C119" s="496"/>
      <c r="D119" s="496"/>
      <c r="E119" s="496"/>
      <c r="F119" s="496"/>
      <c r="G119" s="496"/>
      <c r="H119" s="496"/>
      <c r="I119" s="496"/>
      <c r="J119" s="496"/>
      <c r="K119" s="496"/>
      <c r="L119" s="496"/>
      <c r="M119" s="496"/>
      <c r="N119" s="496"/>
      <c r="O119" s="496"/>
      <c r="P119" s="496"/>
      <c r="Q119" s="496"/>
      <c r="R119" s="496"/>
      <c r="S119" s="496"/>
      <c r="T119" s="496"/>
      <c r="U119" s="496"/>
      <c r="V119" s="496"/>
      <c r="W119" s="496"/>
      <c r="X119" s="496"/>
      <c r="Y119" s="496"/>
      <c r="Z119" s="496"/>
      <c r="AA119" s="496"/>
      <c r="AB119" s="496"/>
      <c r="AC119" s="496"/>
      <c r="AD119" s="496"/>
      <c r="AE119" s="496"/>
      <c r="AF119" s="496"/>
      <c r="AG119" s="496"/>
      <c r="AH119" s="496"/>
    </row>
    <row r="121" spans="1:34">
      <c r="B121" s="14" t="s">
        <v>335</v>
      </c>
      <c r="C121" s="14" t="s">
        <v>325</v>
      </c>
      <c r="D121" s="14" t="s">
        <v>326</v>
      </c>
      <c r="E121" s="91">
        <f>start_year</f>
        <v>2025</v>
      </c>
      <c r="F121" s="91">
        <f t="shared" ref="F121:AH121" si="21">E121+1</f>
        <v>2026</v>
      </c>
      <c r="G121" s="91">
        <f t="shared" si="21"/>
        <v>2027</v>
      </c>
      <c r="H121" s="91">
        <f t="shared" si="21"/>
        <v>2028</v>
      </c>
      <c r="I121" s="91">
        <f t="shared" si="21"/>
        <v>2029</v>
      </c>
      <c r="J121" s="91">
        <f t="shared" si="21"/>
        <v>2030</v>
      </c>
      <c r="K121" s="91">
        <f t="shared" si="21"/>
        <v>2031</v>
      </c>
      <c r="L121" s="91">
        <f t="shared" si="21"/>
        <v>2032</v>
      </c>
      <c r="M121" s="91">
        <f t="shared" si="21"/>
        <v>2033</v>
      </c>
      <c r="N121" s="91">
        <f t="shared" si="21"/>
        <v>2034</v>
      </c>
      <c r="O121" s="91">
        <f t="shared" si="21"/>
        <v>2035</v>
      </c>
      <c r="P121" s="91">
        <f t="shared" si="21"/>
        <v>2036</v>
      </c>
      <c r="Q121" s="91">
        <f t="shared" si="21"/>
        <v>2037</v>
      </c>
      <c r="R121" s="91">
        <f t="shared" si="21"/>
        <v>2038</v>
      </c>
      <c r="S121" s="91">
        <f t="shared" si="21"/>
        <v>2039</v>
      </c>
      <c r="T121" s="91">
        <f t="shared" si="21"/>
        <v>2040</v>
      </c>
      <c r="U121" s="91">
        <f t="shared" si="21"/>
        <v>2041</v>
      </c>
      <c r="V121" s="91">
        <f t="shared" si="21"/>
        <v>2042</v>
      </c>
      <c r="W121" s="91">
        <f t="shared" si="21"/>
        <v>2043</v>
      </c>
      <c r="X121" s="91">
        <f t="shared" si="21"/>
        <v>2044</v>
      </c>
      <c r="Y121" s="91">
        <f t="shared" si="21"/>
        <v>2045</v>
      </c>
      <c r="Z121" s="91">
        <f t="shared" si="21"/>
        <v>2046</v>
      </c>
      <c r="AA121" s="91">
        <f t="shared" si="21"/>
        <v>2047</v>
      </c>
      <c r="AB121" s="91">
        <f t="shared" si="21"/>
        <v>2048</v>
      </c>
      <c r="AC121" s="91">
        <f t="shared" si="21"/>
        <v>2049</v>
      </c>
      <c r="AD121" s="91">
        <f t="shared" si="21"/>
        <v>2050</v>
      </c>
      <c r="AE121" s="91">
        <f t="shared" si="21"/>
        <v>2051</v>
      </c>
      <c r="AF121" s="91">
        <f t="shared" si="21"/>
        <v>2052</v>
      </c>
      <c r="AG121" s="91">
        <f t="shared" si="21"/>
        <v>2053</v>
      </c>
      <c r="AH121" s="91">
        <f t="shared" si="21"/>
        <v>2054</v>
      </c>
    </row>
    <row r="122" spans="1:34">
      <c r="B122" s="10" t="s">
        <v>336</v>
      </c>
      <c r="C122" s="11">
        <f>SUM(E122:AH122)</f>
        <v>0</v>
      </c>
      <c r="D122" s="11">
        <f t="shared" ref="D122:D127" si="22">E122+NPV(fdr_nem_áll,F122:AH122)</f>
        <v>0</v>
      </c>
      <c r="E122" s="264">
        <f>E67</f>
        <v>0</v>
      </c>
      <c r="F122" s="264">
        <f t="shared" ref="F122:I122" si="23">F67</f>
        <v>0</v>
      </c>
      <c r="G122" s="264">
        <f t="shared" si="23"/>
        <v>0</v>
      </c>
      <c r="H122" s="264">
        <f t="shared" si="23"/>
        <v>0</v>
      </c>
      <c r="I122" s="264">
        <f t="shared" si="23"/>
        <v>0</v>
      </c>
      <c r="J122" s="264">
        <v>0</v>
      </c>
      <c r="K122" s="264">
        <v>0</v>
      </c>
      <c r="L122" s="264">
        <v>0</v>
      </c>
      <c r="M122" s="264">
        <v>0</v>
      </c>
      <c r="N122" s="264">
        <v>0</v>
      </c>
      <c r="O122" s="264">
        <v>0</v>
      </c>
      <c r="P122" s="264">
        <v>0</v>
      </c>
      <c r="Q122" s="264">
        <v>0</v>
      </c>
      <c r="R122" s="264">
        <v>0</v>
      </c>
      <c r="S122" s="264">
        <v>0</v>
      </c>
      <c r="T122" s="264">
        <v>0</v>
      </c>
      <c r="U122" s="264">
        <v>0</v>
      </c>
      <c r="V122" s="264">
        <v>0</v>
      </c>
      <c r="W122" s="264">
        <v>0</v>
      </c>
      <c r="X122" s="264">
        <v>0</v>
      </c>
      <c r="Y122" s="264">
        <v>0</v>
      </c>
      <c r="Z122" s="264">
        <v>0</v>
      </c>
      <c r="AA122" s="264">
        <v>0</v>
      </c>
      <c r="AB122" s="264">
        <v>0</v>
      </c>
      <c r="AC122" s="264">
        <v>0</v>
      </c>
      <c r="AD122" s="264">
        <v>0</v>
      </c>
      <c r="AE122" s="264">
        <v>0</v>
      </c>
      <c r="AF122" s="264">
        <v>0</v>
      </c>
      <c r="AG122" s="264">
        <v>0</v>
      </c>
      <c r="AH122" s="264">
        <v>0</v>
      </c>
    </row>
    <row r="123" spans="1:34">
      <c r="B123" s="10" t="s">
        <v>301</v>
      </c>
      <c r="C123" s="11">
        <f t="shared" ref="C123:C126" si="24">SUM(E123:AH123)</f>
        <v>0</v>
      </c>
      <c r="D123" s="11">
        <f t="shared" si="22"/>
        <v>0</v>
      </c>
      <c r="E123" s="264">
        <f>SUM(E124:E125)</f>
        <v>0</v>
      </c>
      <c r="F123" s="264">
        <f t="shared" ref="F123:AH123" si="25">SUM(F124:F125)</f>
        <v>0</v>
      </c>
      <c r="G123" s="264">
        <f t="shared" si="25"/>
        <v>0</v>
      </c>
      <c r="H123" s="264">
        <f t="shared" si="25"/>
        <v>0</v>
      </c>
      <c r="I123" s="264">
        <f t="shared" si="25"/>
        <v>0</v>
      </c>
      <c r="J123" s="264">
        <f t="shared" si="25"/>
        <v>0</v>
      </c>
      <c r="K123" s="264">
        <f t="shared" si="25"/>
        <v>0</v>
      </c>
      <c r="L123" s="264">
        <f t="shared" si="25"/>
        <v>0</v>
      </c>
      <c r="M123" s="264">
        <f t="shared" si="25"/>
        <v>0</v>
      </c>
      <c r="N123" s="264">
        <f t="shared" si="25"/>
        <v>0</v>
      </c>
      <c r="O123" s="264">
        <f t="shared" si="25"/>
        <v>0</v>
      </c>
      <c r="P123" s="264">
        <f t="shared" si="25"/>
        <v>0</v>
      </c>
      <c r="Q123" s="264">
        <f t="shared" si="25"/>
        <v>0</v>
      </c>
      <c r="R123" s="264">
        <f t="shared" si="25"/>
        <v>0</v>
      </c>
      <c r="S123" s="264">
        <f t="shared" si="25"/>
        <v>0</v>
      </c>
      <c r="T123" s="264">
        <f t="shared" si="25"/>
        <v>0</v>
      </c>
      <c r="U123" s="264">
        <f t="shared" si="25"/>
        <v>0</v>
      </c>
      <c r="V123" s="264">
        <f t="shared" si="25"/>
        <v>0</v>
      </c>
      <c r="W123" s="264">
        <f t="shared" si="25"/>
        <v>0</v>
      </c>
      <c r="X123" s="264">
        <f t="shared" si="25"/>
        <v>0</v>
      </c>
      <c r="Y123" s="264">
        <f t="shared" si="25"/>
        <v>0</v>
      </c>
      <c r="Z123" s="264">
        <f t="shared" si="25"/>
        <v>0</v>
      </c>
      <c r="AA123" s="264">
        <f t="shared" si="25"/>
        <v>0</v>
      </c>
      <c r="AB123" s="264">
        <f t="shared" si="25"/>
        <v>0</v>
      </c>
      <c r="AC123" s="264">
        <f t="shared" si="25"/>
        <v>0</v>
      </c>
      <c r="AD123" s="264">
        <f t="shared" si="25"/>
        <v>0</v>
      </c>
      <c r="AE123" s="264">
        <f t="shared" si="25"/>
        <v>0</v>
      </c>
      <c r="AF123" s="264">
        <f t="shared" si="25"/>
        <v>0</v>
      </c>
      <c r="AG123" s="264">
        <f t="shared" si="25"/>
        <v>0</v>
      </c>
      <c r="AH123" s="264">
        <f t="shared" si="25"/>
        <v>0</v>
      </c>
    </row>
    <row r="124" spans="1:34" ht="14.4">
      <c r="B124" s="23" t="s">
        <v>337</v>
      </c>
      <c r="C124" s="11">
        <f t="shared" si="24"/>
        <v>0</v>
      </c>
      <c r="D124" s="11">
        <f t="shared" si="22"/>
        <v>0</v>
      </c>
      <c r="E124" s="508">
        <f>E75</f>
        <v>0</v>
      </c>
      <c r="F124" s="508">
        <f t="shared" ref="F124:AH124" si="26">F75</f>
        <v>0</v>
      </c>
      <c r="G124" s="508">
        <f t="shared" si="26"/>
        <v>0</v>
      </c>
      <c r="H124" s="508">
        <f t="shared" si="26"/>
        <v>0</v>
      </c>
      <c r="I124" s="508">
        <f t="shared" si="26"/>
        <v>0</v>
      </c>
      <c r="J124" s="508">
        <f t="shared" si="26"/>
        <v>0</v>
      </c>
      <c r="K124" s="508">
        <f t="shared" si="26"/>
        <v>0</v>
      </c>
      <c r="L124" s="508">
        <f t="shared" si="26"/>
        <v>0</v>
      </c>
      <c r="M124" s="508">
        <f t="shared" si="26"/>
        <v>0</v>
      </c>
      <c r="N124" s="508">
        <f t="shared" si="26"/>
        <v>0</v>
      </c>
      <c r="O124" s="508">
        <f t="shared" si="26"/>
        <v>0</v>
      </c>
      <c r="P124" s="508">
        <f t="shared" si="26"/>
        <v>0</v>
      </c>
      <c r="Q124" s="508">
        <f t="shared" si="26"/>
        <v>0</v>
      </c>
      <c r="R124" s="508">
        <f t="shared" si="26"/>
        <v>0</v>
      </c>
      <c r="S124" s="508">
        <f t="shared" si="26"/>
        <v>0</v>
      </c>
      <c r="T124" s="508">
        <f t="shared" si="26"/>
        <v>0</v>
      </c>
      <c r="U124" s="508">
        <f t="shared" si="26"/>
        <v>0</v>
      </c>
      <c r="V124" s="508">
        <f t="shared" si="26"/>
        <v>0</v>
      </c>
      <c r="W124" s="508">
        <f t="shared" si="26"/>
        <v>0</v>
      </c>
      <c r="X124" s="508">
        <f t="shared" si="26"/>
        <v>0</v>
      </c>
      <c r="Y124" s="508">
        <f t="shared" si="26"/>
        <v>0</v>
      </c>
      <c r="Z124" s="508">
        <f t="shared" si="26"/>
        <v>0</v>
      </c>
      <c r="AA124" s="508">
        <f t="shared" si="26"/>
        <v>0</v>
      </c>
      <c r="AB124" s="508">
        <f t="shared" si="26"/>
        <v>0</v>
      </c>
      <c r="AC124" s="508">
        <f t="shared" si="26"/>
        <v>0</v>
      </c>
      <c r="AD124" s="508">
        <f t="shared" si="26"/>
        <v>0</v>
      </c>
      <c r="AE124" s="508">
        <f t="shared" si="26"/>
        <v>0</v>
      </c>
      <c r="AF124" s="508">
        <f t="shared" si="26"/>
        <v>0</v>
      </c>
      <c r="AG124" s="508">
        <f t="shared" si="26"/>
        <v>0</v>
      </c>
      <c r="AH124" s="508">
        <f t="shared" si="26"/>
        <v>0</v>
      </c>
    </row>
    <row r="125" spans="1:34" ht="14.4">
      <c r="B125" s="23" t="s">
        <v>521</v>
      </c>
      <c r="C125" s="11">
        <f t="shared" si="24"/>
        <v>0</v>
      </c>
      <c r="D125" s="11">
        <f t="shared" si="22"/>
        <v>0</v>
      </c>
      <c r="E125" s="508">
        <f>E81</f>
        <v>0</v>
      </c>
      <c r="F125" s="508">
        <f t="shared" ref="F125:AH125" si="27">F81</f>
        <v>0</v>
      </c>
      <c r="G125" s="508">
        <f t="shared" si="27"/>
        <v>0</v>
      </c>
      <c r="H125" s="508">
        <f t="shared" si="27"/>
        <v>0</v>
      </c>
      <c r="I125" s="508">
        <f t="shared" si="27"/>
        <v>0</v>
      </c>
      <c r="J125" s="508">
        <f t="shared" si="27"/>
        <v>0</v>
      </c>
      <c r="K125" s="508">
        <f t="shared" si="27"/>
        <v>0</v>
      </c>
      <c r="L125" s="508">
        <f t="shared" si="27"/>
        <v>0</v>
      </c>
      <c r="M125" s="508">
        <f t="shared" si="27"/>
        <v>0</v>
      </c>
      <c r="N125" s="508">
        <f t="shared" si="27"/>
        <v>0</v>
      </c>
      <c r="O125" s="508">
        <f t="shared" si="27"/>
        <v>0</v>
      </c>
      <c r="P125" s="508">
        <f t="shared" si="27"/>
        <v>0</v>
      </c>
      <c r="Q125" s="508">
        <f t="shared" si="27"/>
        <v>0</v>
      </c>
      <c r="R125" s="508">
        <f t="shared" si="27"/>
        <v>0</v>
      </c>
      <c r="S125" s="508">
        <f t="shared" si="27"/>
        <v>0</v>
      </c>
      <c r="T125" s="508">
        <f t="shared" si="27"/>
        <v>0</v>
      </c>
      <c r="U125" s="508">
        <f t="shared" si="27"/>
        <v>0</v>
      </c>
      <c r="V125" s="508">
        <f t="shared" si="27"/>
        <v>0</v>
      </c>
      <c r="W125" s="508">
        <f t="shared" si="27"/>
        <v>0</v>
      </c>
      <c r="X125" s="508">
        <f t="shared" si="27"/>
        <v>0</v>
      </c>
      <c r="Y125" s="508">
        <f t="shared" si="27"/>
        <v>0</v>
      </c>
      <c r="Z125" s="508">
        <f t="shared" si="27"/>
        <v>0</v>
      </c>
      <c r="AA125" s="508">
        <f t="shared" si="27"/>
        <v>0</v>
      </c>
      <c r="AB125" s="508">
        <f t="shared" si="27"/>
        <v>0</v>
      </c>
      <c r="AC125" s="508">
        <f t="shared" si="27"/>
        <v>0</v>
      </c>
      <c r="AD125" s="508">
        <f t="shared" si="27"/>
        <v>0</v>
      </c>
      <c r="AE125" s="508">
        <f t="shared" si="27"/>
        <v>0</v>
      </c>
      <c r="AF125" s="508">
        <f t="shared" si="27"/>
        <v>0</v>
      </c>
      <c r="AG125" s="508">
        <f t="shared" si="27"/>
        <v>0</v>
      </c>
      <c r="AH125" s="508">
        <f t="shared" si="27"/>
        <v>0</v>
      </c>
    </row>
    <row r="126" spans="1:34">
      <c r="B126" s="19" t="s">
        <v>246</v>
      </c>
      <c r="C126" s="11">
        <f t="shared" si="24"/>
        <v>0</v>
      </c>
      <c r="D126" s="11">
        <f t="shared" si="22"/>
        <v>0</v>
      </c>
      <c r="E126" s="264">
        <f>IF(E121=$C$103,$C$104,0)</f>
        <v>0</v>
      </c>
      <c r="F126" s="264">
        <f t="shared" ref="F126:AH126" si="28">IF(F121=$C$103,$C$104,0)</f>
        <v>0</v>
      </c>
      <c r="G126" s="264">
        <f t="shared" si="28"/>
        <v>0</v>
      </c>
      <c r="H126" s="264">
        <f t="shared" si="28"/>
        <v>0</v>
      </c>
      <c r="I126" s="264">
        <f t="shared" si="28"/>
        <v>0</v>
      </c>
      <c r="J126" s="264">
        <f t="shared" si="28"/>
        <v>0</v>
      </c>
      <c r="K126" s="264">
        <f t="shared" si="28"/>
        <v>0</v>
      </c>
      <c r="L126" s="264">
        <f t="shared" si="28"/>
        <v>0</v>
      </c>
      <c r="M126" s="264">
        <f t="shared" si="28"/>
        <v>0</v>
      </c>
      <c r="N126" s="264">
        <f t="shared" si="28"/>
        <v>0</v>
      </c>
      <c r="O126" s="264">
        <f t="shared" si="28"/>
        <v>0</v>
      </c>
      <c r="P126" s="264">
        <f t="shared" si="28"/>
        <v>0</v>
      </c>
      <c r="Q126" s="264">
        <f t="shared" si="28"/>
        <v>0</v>
      </c>
      <c r="R126" s="264">
        <f t="shared" si="28"/>
        <v>0</v>
      </c>
      <c r="S126" s="264">
        <f t="shared" si="28"/>
        <v>0</v>
      </c>
      <c r="T126" s="264">
        <f t="shared" si="28"/>
        <v>0</v>
      </c>
      <c r="U126" s="264">
        <f t="shared" si="28"/>
        <v>0</v>
      </c>
      <c r="V126" s="264">
        <f t="shared" si="28"/>
        <v>0</v>
      </c>
      <c r="W126" s="264">
        <f t="shared" si="28"/>
        <v>0</v>
      </c>
      <c r="X126" s="264">
        <f t="shared" si="28"/>
        <v>0</v>
      </c>
      <c r="Y126" s="264">
        <f t="shared" si="28"/>
        <v>0</v>
      </c>
      <c r="Z126" s="264">
        <f t="shared" si="28"/>
        <v>0</v>
      </c>
      <c r="AA126" s="264">
        <f t="shared" si="28"/>
        <v>0</v>
      </c>
      <c r="AB126" s="264">
        <f t="shared" si="28"/>
        <v>0</v>
      </c>
      <c r="AC126" s="264">
        <f t="shared" si="28"/>
        <v>0</v>
      </c>
      <c r="AD126" s="264">
        <f t="shared" si="28"/>
        <v>0</v>
      </c>
      <c r="AE126" s="264">
        <f t="shared" si="28"/>
        <v>0</v>
      </c>
      <c r="AF126" s="264">
        <f t="shared" si="28"/>
        <v>0</v>
      </c>
      <c r="AG126" s="264">
        <f t="shared" si="28"/>
        <v>0</v>
      </c>
      <c r="AH126" s="264">
        <f t="shared" si="28"/>
        <v>0</v>
      </c>
    </row>
    <row r="127" spans="1:34">
      <c r="B127" s="20" t="s">
        <v>288</v>
      </c>
      <c r="C127" s="13">
        <f t="shared" ref="C127" si="29">SUM(E127:AH127)</f>
        <v>0</v>
      </c>
      <c r="D127" s="13">
        <f t="shared" si="22"/>
        <v>0</v>
      </c>
      <c r="E127" s="507">
        <f>SUM(E122:E123)-E126</f>
        <v>0</v>
      </c>
      <c r="F127" s="507">
        <f t="shared" ref="F127:AH127" si="30">SUM(F122:F123)-F126</f>
        <v>0</v>
      </c>
      <c r="G127" s="507">
        <f t="shared" si="30"/>
        <v>0</v>
      </c>
      <c r="H127" s="507">
        <f t="shared" si="30"/>
        <v>0</v>
      </c>
      <c r="I127" s="507">
        <f t="shared" si="30"/>
        <v>0</v>
      </c>
      <c r="J127" s="507">
        <f t="shared" si="30"/>
        <v>0</v>
      </c>
      <c r="K127" s="507">
        <f t="shared" si="30"/>
        <v>0</v>
      </c>
      <c r="L127" s="507">
        <f t="shared" si="30"/>
        <v>0</v>
      </c>
      <c r="M127" s="507">
        <f t="shared" si="30"/>
        <v>0</v>
      </c>
      <c r="N127" s="507">
        <f t="shared" si="30"/>
        <v>0</v>
      </c>
      <c r="O127" s="507">
        <f t="shared" si="30"/>
        <v>0</v>
      </c>
      <c r="P127" s="507">
        <f t="shared" si="30"/>
        <v>0</v>
      </c>
      <c r="Q127" s="507">
        <f t="shared" si="30"/>
        <v>0</v>
      </c>
      <c r="R127" s="507">
        <f t="shared" si="30"/>
        <v>0</v>
      </c>
      <c r="S127" s="507">
        <f t="shared" si="30"/>
        <v>0</v>
      </c>
      <c r="T127" s="507">
        <f t="shared" si="30"/>
        <v>0</v>
      </c>
      <c r="U127" s="507">
        <f t="shared" si="30"/>
        <v>0</v>
      </c>
      <c r="V127" s="507">
        <f t="shared" si="30"/>
        <v>0</v>
      </c>
      <c r="W127" s="507">
        <f t="shared" si="30"/>
        <v>0</v>
      </c>
      <c r="X127" s="507">
        <f t="shared" si="30"/>
        <v>0</v>
      </c>
      <c r="Y127" s="507">
        <f t="shared" si="30"/>
        <v>0</v>
      </c>
      <c r="Z127" s="507">
        <f t="shared" si="30"/>
        <v>0</v>
      </c>
      <c r="AA127" s="507">
        <f t="shared" si="30"/>
        <v>0</v>
      </c>
      <c r="AB127" s="507">
        <f t="shared" si="30"/>
        <v>0</v>
      </c>
      <c r="AC127" s="507">
        <f t="shared" si="30"/>
        <v>0</v>
      </c>
      <c r="AD127" s="507">
        <f t="shared" si="30"/>
        <v>0</v>
      </c>
      <c r="AE127" s="507">
        <f t="shared" si="30"/>
        <v>0</v>
      </c>
      <c r="AF127" s="507">
        <f t="shared" si="30"/>
        <v>0</v>
      </c>
      <c r="AG127" s="507">
        <f t="shared" si="30"/>
        <v>0</v>
      </c>
      <c r="AH127" s="507">
        <f t="shared" si="30"/>
        <v>0</v>
      </c>
    </row>
    <row r="130" spans="2:34">
      <c r="B130" s="506" t="s">
        <v>522</v>
      </c>
      <c r="C130" s="496"/>
      <c r="D130" s="496"/>
      <c r="E130" s="496"/>
      <c r="F130" s="496"/>
      <c r="G130" s="496"/>
      <c r="H130" s="496"/>
      <c r="I130" s="496"/>
      <c r="J130" s="496"/>
      <c r="K130" s="496"/>
      <c r="L130" s="496"/>
      <c r="M130" s="496"/>
      <c r="N130" s="496"/>
      <c r="O130" s="496"/>
      <c r="P130" s="496"/>
      <c r="Q130" s="496"/>
      <c r="R130" s="496"/>
      <c r="S130" s="496"/>
      <c r="T130" s="496"/>
      <c r="U130" s="496"/>
      <c r="V130" s="496"/>
      <c r="W130" s="496"/>
      <c r="X130" s="496"/>
      <c r="Y130" s="496"/>
      <c r="Z130" s="496"/>
      <c r="AA130" s="496"/>
      <c r="AB130" s="496"/>
      <c r="AC130" s="496"/>
      <c r="AD130" s="496"/>
      <c r="AE130" s="496"/>
      <c r="AF130" s="496"/>
      <c r="AG130" s="496"/>
      <c r="AH130" s="496"/>
    </row>
    <row r="132" spans="2:34">
      <c r="B132" s="14" t="s">
        <v>344</v>
      </c>
      <c r="C132" s="14" t="s">
        <v>325</v>
      </c>
      <c r="D132" s="14" t="s">
        <v>326</v>
      </c>
      <c r="E132" s="91">
        <f>start_year</f>
        <v>2025</v>
      </c>
      <c r="F132" s="91">
        <f t="shared" ref="F132:AH132" si="31">E132+1</f>
        <v>2026</v>
      </c>
      <c r="G132" s="91">
        <f t="shared" si="31"/>
        <v>2027</v>
      </c>
      <c r="H132" s="91">
        <f t="shared" si="31"/>
        <v>2028</v>
      </c>
      <c r="I132" s="91">
        <f t="shared" si="31"/>
        <v>2029</v>
      </c>
      <c r="J132" s="91">
        <f t="shared" si="31"/>
        <v>2030</v>
      </c>
      <c r="K132" s="91">
        <f t="shared" si="31"/>
        <v>2031</v>
      </c>
      <c r="L132" s="91">
        <f t="shared" si="31"/>
        <v>2032</v>
      </c>
      <c r="M132" s="91">
        <f t="shared" si="31"/>
        <v>2033</v>
      </c>
      <c r="N132" s="91">
        <f t="shared" si="31"/>
        <v>2034</v>
      </c>
      <c r="O132" s="91">
        <f t="shared" si="31"/>
        <v>2035</v>
      </c>
      <c r="P132" s="91">
        <f t="shared" si="31"/>
        <v>2036</v>
      </c>
      <c r="Q132" s="91">
        <f t="shared" si="31"/>
        <v>2037</v>
      </c>
      <c r="R132" s="91">
        <f t="shared" si="31"/>
        <v>2038</v>
      </c>
      <c r="S132" s="91">
        <f t="shared" si="31"/>
        <v>2039</v>
      </c>
      <c r="T132" s="91">
        <f t="shared" si="31"/>
        <v>2040</v>
      </c>
      <c r="U132" s="91">
        <f t="shared" si="31"/>
        <v>2041</v>
      </c>
      <c r="V132" s="91">
        <f t="shared" si="31"/>
        <v>2042</v>
      </c>
      <c r="W132" s="91">
        <f t="shared" si="31"/>
        <v>2043</v>
      </c>
      <c r="X132" s="91">
        <f t="shared" si="31"/>
        <v>2044</v>
      </c>
      <c r="Y132" s="91">
        <f t="shared" si="31"/>
        <v>2045</v>
      </c>
      <c r="Z132" s="91">
        <f t="shared" si="31"/>
        <v>2046</v>
      </c>
      <c r="AA132" s="91">
        <f t="shared" si="31"/>
        <v>2047</v>
      </c>
      <c r="AB132" s="91">
        <f t="shared" si="31"/>
        <v>2048</v>
      </c>
      <c r="AC132" s="91">
        <f t="shared" si="31"/>
        <v>2049</v>
      </c>
      <c r="AD132" s="91">
        <f t="shared" si="31"/>
        <v>2050</v>
      </c>
      <c r="AE132" s="91">
        <f t="shared" si="31"/>
        <v>2051</v>
      </c>
      <c r="AF132" s="91">
        <f t="shared" si="31"/>
        <v>2052</v>
      </c>
      <c r="AG132" s="91">
        <f t="shared" si="31"/>
        <v>2053</v>
      </c>
      <c r="AH132" s="91">
        <f t="shared" si="31"/>
        <v>2054</v>
      </c>
    </row>
    <row r="133" spans="2:34">
      <c r="B133" s="291" t="s">
        <v>345</v>
      </c>
      <c r="C133" s="11">
        <f>SUM(E133:AH133)</f>
        <v>0</v>
      </c>
      <c r="D133" s="11">
        <f t="shared" ref="D133:D139" si="32">E133+NPV(fdr_nem_áll,F133:AH133)</f>
        <v>0</v>
      </c>
      <c r="E133" s="264">
        <f>E122</f>
        <v>0</v>
      </c>
      <c r="F133" s="264">
        <f t="shared" ref="F133:AH133" si="33">F122</f>
        <v>0</v>
      </c>
      <c r="G133" s="264">
        <f t="shared" si="33"/>
        <v>0</v>
      </c>
      <c r="H133" s="264">
        <f t="shared" si="33"/>
        <v>0</v>
      </c>
      <c r="I133" s="264">
        <f t="shared" si="33"/>
        <v>0</v>
      </c>
      <c r="J133" s="264">
        <f t="shared" si="33"/>
        <v>0</v>
      </c>
      <c r="K133" s="264">
        <f t="shared" si="33"/>
        <v>0</v>
      </c>
      <c r="L133" s="264">
        <f t="shared" si="33"/>
        <v>0</v>
      </c>
      <c r="M133" s="264">
        <f t="shared" si="33"/>
        <v>0</v>
      </c>
      <c r="N133" s="264">
        <f t="shared" si="33"/>
        <v>0</v>
      </c>
      <c r="O133" s="264">
        <f t="shared" si="33"/>
        <v>0</v>
      </c>
      <c r="P133" s="264">
        <f t="shared" si="33"/>
        <v>0</v>
      </c>
      <c r="Q133" s="264">
        <f t="shared" si="33"/>
        <v>0</v>
      </c>
      <c r="R133" s="264">
        <f t="shared" si="33"/>
        <v>0</v>
      </c>
      <c r="S133" s="264">
        <f t="shared" si="33"/>
        <v>0</v>
      </c>
      <c r="T133" s="264">
        <f t="shared" si="33"/>
        <v>0</v>
      </c>
      <c r="U133" s="264">
        <f t="shared" si="33"/>
        <v>0</v>
      </c>
      <c r="V133" s="264">
        <f t="shared" si="33"/>
        <v>0</v>
      </c>
      <c r="W133" s="264">
        <f t="shared" si="33"/>
        <v>0</v>
      </c>
      <c r="X133" s="264">
        <f t="shared" si="33"/>
        <v>0</v>
      </c>
      <c r="Y133" s="264">
        <f t="shared" si="33"/>
        <v>0</v>
      </c>
      <c r="Z133" s="264">
        <f t="shared" si="33"/>
        <v>0</v>
      </c>
      <c r="AA133" s="264">
        <f t="shared" si="33"/>
        <v>0</v>
      </c>
      <c r="AB133" s="264">
        <f t="shared" si="33"/>
        <v>0</v>
      </c>
      <c r="AC133" s="264">
        <f t="shared" si="33"/>
        <v>0</v>
      </c>
      <c r="AD133" s="264">
        <f t="shared" si="33"/>
        <v>0</v>
      </c>
      <c r="AE133" s="264">
        <f t="shared" si="33"/>
        <v>0</v>
      </c>
      <c r="AF133" s="264">
        <f t="shared" si="33"/>
        <v>0</v>
      </c>
      <c r="AG133" s="264">
        <f t="shared" si="33"/>
        <v>0</v>
      </c>
      <c r="AH133" s="264">
        <f t="shared" si="33"/>
        <v>0</v>
      </c>
    </row>
    <row r="134" spans="2:34">
      <c r="B134" s="291" t="s">
        <v>346</v>
      </c>
      <c r="C134" s="11">
        <f t="shared" ref="C134:C139" si="34">SUM(E134:AH134)</f>
        <v>0</v>
      </c>
      <c r="D134" s="11">
        <f t="shared" si="32"/>
        <v>0</v>
      </c>
      <c r="E134" s="264">
        <f>E123</f>
        <v>0</v>
      </c>
      <c r="F134" s="264">
        <f t="shared" ref="F134:AH134" si="35">F123</f>
        <v>0</v>
      </c>
      <c r="G134" s="264">
        <f t="shared" si="35"/>
        <v>0</v>
      </c>
      <c r="H134" s="264">
        <f t="shared" si="35"/>
        <v>0</v>
      </c>
      <c r="I134" s="264">
        <f t="shared" si="35"/>
        <v>0</v>
      </c>
      <c r="J134" s="264">
        <f t="shared" si="35"/>
        <v>0</v>
      </c>
      <c r="K134" s="264">
        <f t="shared" si="35"/>
        <v>0</v>
      </c>
      <c r="L134" s="264">
        <f t="shared" si="35"/>
        <v>0</v>
      </c>
      <c r="M134" s="264">
        <f t="shared" si="35"/>
        <v>0</v>
      </c>
      <c r="N134" s="264">
        <f t="shared" si="35"/>
        <v>0</v>
      </c>
      <c r="O134" s="264">
        <f t="shared" si="35"/>
        <v>0</v>
      </c>
      <c r="P134" s="264">
        <f t="shared" si="35"/>
        <v>0</v>
      </c>
      <c r="Q134" s="264">
        <f t="shared" si="35"/>
        <v>0</v>
      </c>
      <c r="R134" s="264">
        <f t="shared" si="35"/>
        <v>0</v>
      </c>
      <c r="S134" s="264">
        <f t="shared" si="35"/>
        <v>0</v>
      </c>
      <c r="T134" s="264">
        <f t="shared" si="35"/>
        <v>0</v>
      </c>
      <c r="U134" s="264">
        <f t="shared" si="35"/>
        <v>0</v>
      </c>
      <c r="V134" s="264">
        <f t="shared" si="35"/>
        <v>0</v>
      </c>
      <c r="W134" s="264">
        <f t="shared" si="35"/>
        <v>0</v>
      </c>
      <c r="X134" s="264">
        <f t="shared" si="35"/>
        <v>0</v>
      </c>
      <c r="Y134" s="264">
        <f t="shared" si="35"/>
        <v>0</v>
      </c>
      <c r="Z134" s="264">
        <f t="shared" si="35"/>
        <v>0</v>
      </c>
      <c r="AA134" s="264">
        <f t="shared" si="35"/>
        <v>0</v>
      </c>
      <c r="AB134" s="264">
        <f t="shared" si="35"/>
        <v>0</v>
      </c>
      <c r="AC134" s="264">
        <f t="shared" si="35"/>
        <v>0</v>
      </c>
      <c r="AD134" s="264">
        <f t="shared" si="35"/>
        <v>0</v>
      </c>
      <c r="AE134" s="264">
        <f t="shared" si="35"/>
        <v>0</v>
      </c>
      <c r="AF134" s="264">
        <f t="shared" si="35"/>
        <v>0</v>
      </c>
      <c r="AG134" s="264">
        <f t="shared" si="35"/>
        <v>0</v>
      </c>
      <c r="AH134" s="264">
        <f t="shared" si="35"/>
        <v>0</v>
      </c>
    </row>
    <row r="135" spans="2:34">
      <c r="B135" s="292" t="s">
        <v>349</v>
      </c>
      <c r="C135" s="13">
        <f t="shared" si="34"/>
        <v>0</v>
      </c>
      <c r="D135" s="13">
        <f t="shared" si="32"/>
        <v>0</v>
      </c>
      <c r="E135" s="507">
        <f>SUM(E133:E134)</f>
        <v>0</v>
      </c>
      <c r="F135" s="507">
        <f t="shared" ref="F135:AH135" si="36">SUM(F133:F134)</f>
        <v>0</v>
      </c>
      <c r="G135" s="507">
        <f t="shared" si="36"/>
        <v>0</v>
      </c>
      <c r="H135" s="507">
        <f t="shared" si="36"/>
        <v>0</v>
      </c>
      <c r="I135" s="507">
        <f t="shared" si="36"/>
        <v>0</v>
      </c>
      <c r="J135" s="507">
        <f t="shared" si="36"/>
        <v>0</v>
      </c>
      <c r="K135" s="507">
        <f t="shared" si="36"/>
        <v>0</v>
      </c>
      <c r="L135" s="507">
        <f t="shared" si="36"/>
        <v>0</v>
      </c>
      <c r="M135" s="507">
        <f t="shared" si="36"/>
        <v>0</v>
      </c>
      <c r="N135" s="507">
        <f t="shared" si="36"/>
        <v>0</v>
      </c>
      <c r="O135" s="507">
        <f t="shared" si="36"/>
        <v>0</v>
      </c>
      <c r="P135" s="507">
        <f t="shared" si="36"/>
        <v>0</v>
      </c>
      <c r="Q135" s="507">
        <f t="shared" si="36"/>
        <v>0</v>
      </c>
      <c r="R135" s="507">
        <f t="shared" si="36"/>
        <v>0</v>
      </c>
      <c r="S135" s="507">
        <f t="shared" si="36"/>
        <v>0</v>
      </c>
      <c r="T135" s="507">
        <f t="shared" si="36"/>
        <v>0</v>
      </c>
      <c r="U135" s="507">
        <f t="shared" si="36"/>
        <v>0</v>
      </c>
      <c r="V135" s="507">
        <f t="shared" si="36"/>
        <v>0</v>
      </c>
      <c r="W135" s="507">
        <f t="shared" si="36"/>
        <v>0</v>
      </c>
      <c r="X135" s="507">
        <f t="shared" si="36"/>
        <v>0</v>
      </c>
      <c r="Y135" s="507">
        <f t="shared" si="36"/>
        <v>0</v>
      </c>
      <c r="Z135" s="507">
        <f t="shared" si="36"/>
        <v>0</v>
      </c>
      <c r="AA135" s="507">
        <f t="shared" si="36"/>
        <v>0</v>
      </c>
      <c r="AB135" s="507">
        <f t="shared" si="36"/>
        <v>0</v>
      </c>
      <c r="AC135" s="507">
        <f t="shared" si="36"/>
        <v>0</v>
      </c>
      <c r="AD135" s="507">
        <f t="shared" si="36"/>
        <v>0</v>
      </c>
      <c r="AE135" s="507">
        <f t="shared" si="36"/>
        <v>0</v>
      </c>
      <c r="AF135" s="507">
        <f t="shared" si="36"/>
        <v>0</v>
      </c>
      <c r="AG135" s="507">
        <f t="shared" si="36"/>
        <v>0</v>
      </c>
      <c r="AH135" s="507">
        <f t="shared" si="36"/>
        <v>0</v>
      </c>
    </row>
    <row r="136" spans="2:34">
      <c r="B136" s="291" t="s">
        <v>350</v>
      </c>
      <c r="C136" s="11">
        <f t="shared" si="34"/>
        <v>0</v>
      </c>
      <c r="D136" s="11">
        <f t="shared" si="32"/>
        <v>0</v>
      </c>
      <c r="E136" s="264">
        <f>E87</f>
        <v>0</v>
      </c>
      <c r="F136" s="264">
        <f t="shared" ref="F136:AH136" si="37">F87</f>
        <v>0</v>
      </c>
      <c r="G136" s="264">
        <f t="shared" si="37"/>
        <v>0</v>
      </c>
      <c r="H136" s="264">
        <f t="shared" si="37"/>
        <v>0</v>
      </c>
      <c r="I136" s="264">
        <f t="shared" si="37"/>
        <v>0</v>
      </c>
      <c r="J136" s="264">
        <f t="shared" si="37"/>
        <v>0</v>
      </c>
      <c r="K136" s="264">
        <f t="shared" si="37"/>
        <v>0</v>
      </c>
      <c r="L136" s="264">
        <f t="shared" si="37"/>
        <v>0</v>
      </c>
      <c r="M136" s="264">
        <f t="shared" si="37"/>
        <v>0</v>
      </c>
      <c r="N136" s="264">
        <f t="shared" si="37"/>
        <v>0</v>
      </c>
      <c r="O136" s="264">
        <f t="shared" si="37"/>
        <v>0</v>
      </c>
      <c r="P136" s="264">
        <f t="shared" si="37"/>
        <v>0</v>
      </c>
      <c r="Q136" s="264">
        <f t="shared" si="37"/>
        <v>0</v>
      </c>
      <c r="R136" s="264">
        <f t="shared" si="37"/>
        <v>0</v>
      </c>
      <c r="S136" s="264">
        <f t="shared" si="37"/>
        <v>0</v>
      </c>
      <c r="T136" s="264">
        <f t="shared" si="37"/>
        <v>0</v>
      </c>
      <c r="U136" s="264">
        <f t="shared" si="37"/>
        <v>0</v>
      </c>
      <c r="V136" s="264">
        <f t="shared" si="37"/>
        <v>0</v>
      </c>
      <c r="W136" s="264">
        <f t="shared" si="37"/>
        <v>0</v>
      </c>
      <c r="X136" s="264">
        <f t="shared" si="37"/>
        <v>0</v>
      </c>
      <c r="Y136" s="264">
        <f t="shared" si="37"/>
        <v>0</v>
      </c>
      <c r="Z136" s="264">
        <f t="shared" si="37"/>
        <v>0</v>
      </c>
      <c r="AA136" s="264">
        <f t="shared" si="37"/>
        <v>0</v>
      </c>
      <c r="AB136" s="264">
        <f t="shared" si="37"/>
        <v>0</v>
      </c>
      <c r="AC136" s="264">
        <f t="shared" si="37"/>
        <v>0</v>
      </c>
      <c r="AD136" s="264">
        <f t="shared" si="37"/>
        <v>0</v>
      </c>
      <c r="AE136" s="264">
        <f t="shared" si="37"/>
        <v>0</v>
      </c>
      <c r="AF136" s="264">
        <f t="shared" si="37"/>
        <v>0</v>
      </c>
      <c r="AG136" s="264">
        <f t="shared" si="37"/>
        <v>0</v>
      </c>
      <c r="AH136" s="264">
        <f t="shared" si="37"/>
        <v>0</v>
      </c>
    </row>
    <row r="137" spans="2:34">
      <c r="B137" s="291" t="s">
        <v>351</v>
      </c>
      <c r="C137" s="11">
        <f t="shared" si="34"/>
        <v>0</v>
      </c>
      <c r="D137" s="11">
        <f t="shared" si="32"/>
        <v>0</v>
      </c>
      <c r="E137" s="264">
        <f>E136</f>
        <v>0</v>
      </c>
      <c r="F137" s="264">
        <f t="shared" ref="F137:AH137" si="38">F136</f>
        <v>0</v>
      </c>
      <c r="G137" s="264">
        <f t="shared" si="38"/>
        <v>0</v>
      </c>
      <c r="H137" s="264">
        <f t="shared" si="38"/>
        <v>0</v>
      </c>
      <c r="I137" s="264">
        <f t="shared" si="38"/>
        <v>0</v>
      </c>
      <c r="J137" s="264">
        <f t="shared" si="38"/>
        <v>0</v>
      </c>
      <c r="K137" s="264">
        <f t="shared" si="38"/>
        <v>0</v>
      </c>
      <c r="L137" s="264">
        <f t="shared" si="38"/>
        <v>0</v>
      </c>
      <c r="M137" s="264">
        <f t="shared" si="38"/>
        <v>0</v>
      </c>
      <c r="N137" s="264">
        <f t="shared" si="38"/>
        <v>0</v>
      </c>
      <c r="O137" s="264">
        <f t="shared" si="38"/>
        <v>0</v>
      </c>
      <c r="P137" s="264">
        <f t="shared" si="38"/>
        <v>0</v>
      </c>
      <c r="Q137" s="264">
        <f t="shared" si="38"/>
        <v>0</v>
      </c>
      <c r="R137" s="264">
        <f t="shared" si="38"/>
        <v>0</v>
      </c>
      <c r="S137" s="264">
        <f t="shared" si="38"/>
        <v>0</v>
      </c>
      <c r="T137" s="264">
        <f t="shared" si="38"/>
        <v>0</v>
      </c>
      <c r="U137" s="264">
        <f t="shared" si="38"/>
        <v>0</v>
      </c>
      <c r="V137" s="264">
        <f t="shared" si="38"/>
        <v>0</v>
      </c>
      <c r="W137" s="264">
        <f t="shared" si="38"/>
        <v>0</v>
      </c>
      <c r="X137" s="264">
        <f t="shared" si="38"/>
        <v>0</v>
      </c>
      <c r="Y137" s="264">
        <f t="shared" si="38"/>
        <v>0</v>
      </c>
      <c r="Z137" s="264">
        <f t="shared" si="38"/>
        <v>0</v>
      </c>
      <c r="AA137" s="264">
        <f t="shared" si="38"/>
        <v>0</v>
      </c>
      <c r="AB137" s="264">
        <f t="shared" si="38"/>
        <v>0</v>
      </c>
      <c r="AC137" s="264">
        <f t="shared" si="38"/>
        <v>0</v>
      </c>
      <c r="AD137" s="264">
        <f t="shared" si="38"/>
        <v>0</v>
      </c>
      <c r="AE137" s="264">
        <f t="shared" si="38"/>
        <v>0</v>
      </c>
      <c r="AF137" s="264">
        <f t="shared" si="38"/>
        <v>0</v>
      </c>
      <c r="AG137" s="264">
        <f t="shared" si="38"/>
        <v>0</v>
      </c>
      <c r="AH137" s="264">
        <f t="shared" si="38"/>
        <v>0</v>
      </c>
    </row>
    <row r="138" spans="2:34">
      <c r="B138" s="291" t="s">
        <v>352</v>
      </c>
      <c r="C138" s="11">
        <f t="shared" si="34"/>
        <v>0</v>
      </c>
      <c r="D138" s="11">
        <f t="shared" si="32"/>
        <v>0</v>
      </c>
      <c r="E138" s="264">
        <f>E126</f>
        <v>0</v>
      </c>
      <c r="F138" s="264">
        <f t="shared" ref="F138:AH138" si="39">F126</f>
        <v>0</v>
      </c>
      <c r="G138" s="264">
        <f t="shared" si="39"/>
        <v>0</v>
      </c>
      <c r="H138" s="264">
        <f t="shared" si="39"/>
        <v>0</v>
      </c>
      <c r="I138" s="264">
        <f t="shared" si="39"/>
        <v>0</v>
      </c>
      <c r="J138" s="264">
        <f t="shared" si="39"/>
        <v>0</v>
      </c>
      <c r="K138" s="264">
        <f t="shared" si="39"/>
        <v>0</v>
      </c>
      <c r="L138" s="264">
        <f t="shared" si="39"/>
        <v>0</v>
      </c>
      <c r="M138" s="264">
        <f t="shared" si="39"/>
        <v>0</v>
      </c>
      <c r="N138" s="264">
        <f t="shared" si="39"/>
        <v>0</v>
      </c>
      <c r="O138" s="264">
        <f t="shared" si="39"/>
        <v>0</v>
      </c>
      <c r="P138" s="264">
        <f t="shared" si="39"/>
        <v>0</v>
      </c>
      <c r="Q138" s="264">
        <f t="shared" si="39"/>
        <v>0</v>
      </c>
      <c r="R138" s="264">
        <f t="shared" si="39"/>
        <v>0</v>
      </c>
      <c r="S138" s="264">
        <f t="shared" si="39"/>
        <v>0</v>
      </c>
      <c r="T138" s="264">
        <f t="shared" si="39"/>
        <v>0</v>
      </c>
      <c r="U138" s="264">
        <f t="shared" si="39"/>
        <v>0</v>
      </c>
      <c r="V138" s="264">
        <f t="shared" si="39"/>
        <v>0</v>
      </c>
      <c r="W138" s="264">
        <f t="shared" si="39"/>
        <v>0</v>
      </c>
      <c r="X138" s="264">
        <f t="shared" si="39"/>
        <v>0</v>
      </c>
      <c r="Y138" s="264">
        <f t="shared" si="39"/>
        <v>0</v>
      </c>
      <c r="Z138" s="264">
        <f t="shared" si="39"/>
        <v>0</v>
      </c>
      <c r="AA138" s="264">
        <f t="shared" si="39"/>
        <v>0</v>
      </c>
      <c r="AB138" s="264">
        <f t="shared" si="39"/>
        <v>0</v>
      </c>
      <c r="AC138" s="264">
        <f t="shared" si="39"/>
        <v>0</v>
      </c>
      <c r="AD138" s="264">
        <f t="shared" si="39"/>
        <v>0</v>
      </c>
      <c r="AE138" s="264">
        <f t="shared" si="39"/>
        <v>0</v>
      </c>
      <c r="AF138" s="264">
        <f t="shared" si="39"/>
        <v>0</v>
      </c>
      <c r="AG138" s="264">
        <f t="shared" si="39"/>
        <v>0</v>
      </c>
      <c r="AH138" s="264">
        <f t="shared" si="39"/>
        <v>0</v>
      </c>
    </row>
    <row r="139" spans="2:34">
      <c r="B139" s="292" t="s">
        <v>353</v>
      </c>
      <c r="C139" s="13">
        <f t="shared" si="34"/>
        <v>0</v>
      </c>
      <c r="D139" s="13">
        <f t="shared" si="32"/>
        <v>0</v>
      </c>
      <c r="E139" s="507">
        <f>SUM(E137:E138)-E135</f>
        <v>0</v>
      </c>
      <c r="F139" s="507">
        <f t="shared" ref="F139:AH139" si="40">SUM(F137:F138)-F135</f>
        <v>0</v>
      </c>
      <c r="G139" s="507">
        <f t="shared" si="40"/>
        <v>0</v>
      </c>
      <c r="H139" s="507">
        <f t="shared" si="40"/>
        <v>0</v>
      </c>
      <c r="I139" s="507">
        <f t="shared" si="40"/>
        <v>0</v>
      </c>
      <c r="J139" s="507">
        <f t="shared" si="40"/>
        <v>0</v>
      </c>
      <c r="K139" s="507">
        <f t="shared" si="40"/>
        <v>0</v>
      </c>
      <c r="L139" s="507">
        <f t="shared" si="40"/>
        <v>0</v>
      </c>
      <c r="M139" s="507">
        <f t="shared" si="40"/>
        <v>0</v>
      </c>
      <c r="N139" s="507">
        <f t="shared" si="40"/>
        <v>0</v>
      </c>
      <c r="O139" s="507">
        <f t="shared" si="40"/>
        <v>0</v>
      </c>
      <c r="P139" s="507">
        <f t="shared" si="40"/>
        <v>0</v>
      </c>
      <c r="Q139" s="507">
        <f t="shared" si="40"/>
        <v>0</v>
      </c>
      <c r="R139" s="507">
        <f t="shared" si="40"/>
        <v>0</v>
      </c>
      <c r="S139" s="507">
        <f t="shared" si="40"/>
        <v>0</v>
      </c>
      <c r="T139" s="507">
        <f t="shared" si="40"/>
        <v>0</v>
      </c>
      <c r="U139" s="507">
        <f t="shared" si="40"/>
        <v>0</v>
      </c>
      <c r="V139" s="507">
        <f t="shared" si="40"/>
        <v>0</v>
      </c>
      <c r="W139" s="507">
        <f t="shared" si="40"/>
        <v>0</v>
      </c>
      <c r="X139" s="507">
        <f t="shared" si="40"/>
        <v>0</v>
      </c>
      <c r="Y139" s="507">
        <f t="shared" si="40"/>
        <v>0</v>
      </c>
      <c r="Z139" s="507">
        <f t="shared" si="40"/>
        <v>0</v>
      </c>
      <c r="AA139" s="507">
        <f t="shared" si="40"/>
        <v>0</v>
      </c>
      <c r="AB139" s="507">
        <f t="shared" si="40"/>
        <v>0</v>
      </c>
      <c r="AC139" s="507">
        <f t="shared" si="40"/>
        <v>0</v>
      </c>
      <c r="AD139" s="507">
        <f t="shared" si="40"/>
        <v>0</v>
      </c>
      <c r="AE139" s="507">
        <f t="shared" si="40"/>
        <v>0</v>
      </c>
      <c r="AF139" s="507">
        <f t="shared" si="40"/>
        <v>0</v>
      </c>
      <c r="AG139" s="507">
        <f t="shared" si="40"/>
        <v>0</v>
      </c>
      <c r="AH139" s="507">
        <f t="shared" si="40"/>
        <v>0</v>
      </c>
    </row>
    <row r="140" spans="2:34">
      <c r="B140" s="291" t="s">
        <v>354</v>
      </c>
      <c r="C140" s="556">
        <f>D139</f>
        <v>0</v>
      </c>
      <c r="D140" s="1"/>
    </row>
    <row r="141" spans="2:34">
      <c r="B141" s="291" t="s">
        <v>355</v>
      </c>
      <c r="C141" s="557" t="str">
        <f>IFERROR(IRR(E139:AH139),"--")</f>
        <v>--</v>
      </c>
      <c r="D141" s="1"/>
    </row>
    <row r="144" spans="2:34">
      <c r="B144" s="506" t="s">
        <v>523</v>
      </c>
      <c r="C144" s="496"/>
      <c r="D144" s="496"/>
      <c r="E144" s="496"/>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6"/>
      <c r="AH144" s="496"/>
    </row>
    <row r="146" spans="2:5">
      <c r="B146" s="14" t="s">
        <v>335</v>
      </c>
      <c r="C146" s="14" t="s">
        <v>524</v>
      </c>
      <c r="D146" s="14" t="s">
        <v>514</v>
      </c>
      <c r="E146" s="14" t="s">
        <v>525</v>
      </c>
    </row>
    <row r="147" spans="2:5">
      <c r="B147" s="30" t="s">
        <v>526</v>
      </c>
      <c r="C147" s="488"/>
      <c r="D147" s="11">
        <f>D67</f>
        <v>0</v>
      </c>
      <c r="E147" s="53">
        <f t="shared" ref="E147:E152" si="41">D147/eur</f>
        <v>0</v>
      </c>
    </row>
    <row r="148" spans="2:5">
      <c r="B148" s="30" t="s">
        <v>515</v>
      </c>
      <c r="C148" s="488"/>
      <c r="D148" s="11">
        <f>D87</f>
        <v>0</v>
      </c>
      <c r="E148" s="53">
        <f t="shared" si="41"/>
        <v>0</v>
      </c>
    </row>
    <row r="149" spans="2:5">
      <c r="B149" s="30" t="s">
        <v>516</v>
      </c>
      <c r="C149" s="488"/>
      <c r="D149" s="11">
        <f>D75</f>
        <v>0</v>
      </c>
      <c r="E149" s="53">
        <f t="shared" si="41"/>
        <v>0</v>
      </c>
    </row>
    <row r="150" spans="2:5">
      <c r="B150" s="30" t="s">
        <v>517</v>
      </c>
      <c r="C150" s="488"/>
      <c r="D150" s="11">
        <f>D81</f>
        <v>0</v>
      </c>
      <c r="E150" s="53">
        <f t="shared" si="41"/>
        <v>0</v>
      </c>
    </row>
    <row r="151" spans="2:5">
      <c r="B151" s="30" t="s">
        <v>527</v>
      </c>
      <c r="C151" s="488"/>
      <c r="D151" s="11">
        <f>D126</f>
        <v>0</v>
      </c>
      <c r="E151" s="53">
        <f t="shared" si="41"/>
        <v>0</v>
      </c>
    </row>
    <row r="152" spans="2:5" ht="27.6">
      <c r="B152" s="30" t="s">
        <v>528</v>
      </c>
      <c r="C152" s="488"/>
      <c r="D152" s="53">
        <f>IF(C98&lt;0,C98,D148-D149-D150+D151)</f>
        <v>0</v>
      </c>
      <c r="E152" s="53">
        <f t="shared" si="41"/>
        <v>0</v>
      </c>
    </row>
    <row r="153" spans="2:5">
      <c r="B153" s="30" t="s">
        <v>529</v>
      </c>
      <c r="C153" s="504"/>
      <c r="D153" s="488"/>
      <c r="E153" s="488"/>
    </row>
    <row r="154" spans="2:5">
      <c r="B154" s="30" t="s">
        <v>530</v>
      </c>
      <c r="C154" s="488"/>
      <c r="D154" s="11">
        <f>C37</f>
        <v>0</v>
      </c>
      <c r="E154" s="53">
        <f>D154/eur</f>
        <v>0</v>
      </c>
    </row>
    <row r="155" spans="2:5">
      <c r="B155" s="30" t="s">
        <v>531</v>
      </c>
      <c r="C155" s="488"/>
      <c r="D155" s="11">
        <f>C52</f>
        <v>0</v>
      </c>
      <c r="E155" s="53">
        <f>D155/eur</f>
        <v>0</v>
      </c>
    </row>
    <row r="156" spans="2:5" ht="41.4">
      <c r="B156" s="30" t="s">
        <v>532</v>
      </c>
      <c r="C156" s="488"/>
      <c r="D156" s="53">
        <f>IFERROR(D154*C153,"--")</f>
        <v>0</v>
      </c>
      <c r="E156" s="53">
        <f>D156/eur</f>
        <v>0</v>
      </c>
    </row>
    <row r="157" spans="2:5">
      <c r="B157" s="30" t="s">
        <v>118</v>
      </c>
      <c r="C157" s="504"/>
      <c r="D157" s="488"/>
      <c r="E157" s="488"/>
    </row>
    <row r="158" spans="2:5">
      <c r="B158" s="30" t="s">
        <v>119</v>
      </c>
      <c r="C158" s="504"/>
      <c r="D158" s="488"/>
      <c r="E158" s="488"/>
    </row>
    <row r="159" spans="2:5">
      <c r="B159" s="30" t="s">
        <v>533</v>
      </c>
      <c r="C159" s="488"/>
      <c r="D159" s="11">
        <f>D154*C157</f>
        <v>0</v>
      </c>
      <c r="E159" s="53">
        <f>D159/eur</f>
        <v>0</v>
      </c>
    </row>
    <row r="160" spans="2:5">
      <c r="B160" s="30" t="s">
        <v>534</v>
      </c>
      <c r="C160" s="488"/>
      <c r="D160" s="11">
        <f>D154*C158</f>
        <v>0</v>
      </c>
      <c r="E160" s="53">
        <f>D160/eur</f>
        <v>0</v>
      </c>
    </row>
    <row r="161" spans="2:34">
      <c r="B161" s="30" t="s">
        <v>535</v>
      </c>
      <c r="C161" s="488"/>
      <c r="D161" s="11">
        <f>D154-D156+D155</f>
        <v>0</v>
      </c>
      <c r="E161" s="53">
        <f>D161/eur</f>
        <v>0</v>
      </c>
    </row>
    <row r="162" spans="2:34">
      <c r="B162" s="30" t="s">
        <v>536</v>
      </c>
      <c r="C162" s="488"/>
      <c r="D162" s="11">
        <f>SUM(D160:D161)</f>
        <v>0</v>
      </c>
      <c r="E162" s="53">
        <f>D162/eur</f>
        <v>0</v>
      </c>
    </row>
    <row r="165" spans="2:34">
      <c r="B165" s="506" t="s">
        <v>537</v>
      </c>
      <c r="C165" s="496"/>
      <c r="D165" s="496"/>
      <c r="E165" s="496"/>
      <c r="F165" s="496"/>
      <c r="G165" s="496"/>
      <c r="H165" s="496"/>
      <c r="I165" s="496"/>
      <c r="J165" s="496"/>
      <c r="K165" s="496"/>
      <c r="L165" s="496"/>
      <c r="M165" s="496"/>
      <c r="N165" s="496"/>
      <c r="O165" s="496"/>
      <c r="P165" s="496"/>
      <c r="Q165" s="496"/>
      <c r="R165" s="496"/>
      <c r="S165" s="496"/>
      <c r="T165" s="496"/>
      <c r="U165" s="496"/>
      <c r="V165" s="496"/>
      <c r="W165" s="496"/>
      <c r="X165" s="496"/>
      <c r="Y165" s="496"/>
      <c r="Z165" s="496"/>
      <c r="AA165" s="496"/>
      <c r="AB165" s="496"/>
      <c r="AC165" s="496"/>
      <c r="AD165" s="496"/>
      <c r="AE165" s="496"/>
      <c r="AF165" s="496"/>
      <c r="AG165" s="496"/>
      <c r="AH165" s="496"/>
    </row>
    <row r="168" spans="2:34">
      <c r="B168" s="14" t="s">
        <v>370</v>
      </c>
      <c r="C168" s="91">
        <f>start_year</f>
        <v>2025</v>
      </c>
      <c r="D168" s="91">
        <f t="shared" ref="D168:AF168" si="42">C168+1</f>
        <v>2026</v>
      </c>
      <c r="E168" s="91">
        <f t="shared" si="42"/>
        <v>2027</v>
      </c>
      <c r="F168" s="91">
        <f t="shared" si="42"/>
        <v>2028</v>
      </c>
      <c r="G168" s="91">
        <f t="shared" si="42"/>
        <v>2029</v>
      </c>
      <c r="H168" s="91">
        <f t="shared" si="42"/>
        <v>2030</v>
      </c>
      <c r="I168" s="91">
        <f t="shared" si="42"/>
        <v>2031</v>
      </c>
      <c r="J168" s="91">
        <f t="shared" si="42"/>
        <v>2032</v>
      </c>
      <c r="K168" s="91">
        <f t="shared" si="42"/>
        <v>2033</v>
      </c>
      <c r="L168" s="91">
        <f t="shared" si="42"/>
        <v>2034</v>
      </c>
      <c r="M168" s="91">
        <f t="shared" si="42"/>
        <v>2035</v>
      </c>
      <c r="N168" s="91">
        <f t="shared" si="42"/>
        <v>2036</v>
      </c>
      <c r="O168" s="91">
        <f t="shared" si="42"/>
        <v>2037</v>
      </c>
      <c r="P168" s="91">
        <f t="shared" si="42"/>
        <v>2038</v>
      </c>
      <c r="Q168" s="91">
        <f t="shared" si="42"/>
        <v>2039</v>
      </c>
      <c r="R168" s="91">
        <f t="shared" si="42"/>
        <v>2040</v>
      </c>
      <c r="S168" s="91">
        <f t="shared" si="42"/>
        <v>2041</v>
      </c>
      <c r="T168" s="91">
        <f t="shared" si="42"/>
        <v>2042</v>
      </c>
      <c r="U168" s="91">
        <f t="shared" si="42"/>
        <v>2043</v>
      </c>
      <c r="V168" s="91">
        <f t="shared" si="42"/>
        <v>2044</v>
      </c>
      <c r="W168" s="91">
        <f t="shared" si="42"/>
        <v>2045</v>
      </c>
      <c r="X168" s="91">
        <f t="shared" si="42"/>
        <v>2046</v>
      </c>
      <c r="Y168" s="91">
        <f t="shared" si="42"/>
        <v>2047</v>
      </c>
      <c r="Z168" s="91">
        <f t="shared" si="42"/>
        <v>2048</v>
      </c>
      <c r="AA168" s="91">
        <f t="shared" si="42"/>
        <v>2049</v>
      </c>
      <c r="AB168" s="91">
        <f t="shared" si="42"/>
        <v>2050</v>
      </c>
      <c r="AC168" s="91">
        <f t="shared" si="42"/>
        <v>2051</v>
      </c>
      <c r="AD168" s="91">
        <f t="shared" si="42"/>
        <v>2052</v>
      </c>
      <c r="AE168" s="91">
        <f t="shared" si="42"/>
        <v>2053</v>
      </c>
      <c r="AF168" s="91">
        <f t="shared" si="42"/>
        <v>2054</v>
      </c>
    </row>
    <row r="169" spans="2:34">
      <c r="B169" s="10" t="s">
        <v>379</v>
      </c>
      <c r="C169" s="264">
        <f>E133</f>
        <v>0</v>
      </c>
      <c r="D169" s="264">
        <f t="shared" ref="D169:AF169" si="43">F133</f>
        <v>0</v>
      </c>
      <c r="E169" s="264">
        <f t="shared" si="43"/>
        <v>0</v>
      </c>
      <c r="F169" s="264">
        <f t="shared" si="43"/>
        <v>0</v>
      </c>
      <c r="G169" s="264">
        <f t="shared" si="43"/>
        <v>0</v>
      </c>
      <c r="H169" s="264">
        <f t="shared" si="43"/>
        <v>0</v>
      </c>
      <c r="I169" s="264">
        <f t="shared" si="43"/>
        <v>0</v>
      </c>
      <c r="J169" s="264">
        <f t="shared" si="43"/>
        <v>0</v>
      </c>
      <c r="K169" s="264">
        <f t="shared" si="43"/>
        <v>0</v>
      </c>
      <c r="L169" s="264">
        <f t="shared" si="43"/>
        <v>0</v>
      </c>
      <c r="M169" s="264">
        <f t="shared" si="43"/>
        <v>0</v>
      </c>
      <c r="N169" s="264">
        <f t="shared" si="43"/>
        <v>0</v>
      </c>
      <c r="O169" s="264">
        <f t="shared" si="43"/>
        <v>0</v>
      </c>
      <c r="P169" s="264">
        <f t="shared" si="43"/>
        <v>0</v>
      </c>
      <c r="Q169" s="264">
        <f t="shared" si="43"/>
        <v>0</v>
      </c>
      <c r="R169" s="264">
        <f t="shared" si="43"/>
        <v>0</v>
      </c>
      <c r="S169" s="264">
        <f t="shared" si="43"/>
        <v>0</v>
      </c>
      <c r="T169" s="264">
        <f t="shared" si="43"/>
        <v>0</v>
      </c>
      <c r="U169" s="264">
        <f t="shared" si="43"/>
        <v>0</v>
      </c>
      <c r="V169" s="264">
        <f t="shared" si="43"/>
        <v>0</v>
      </c>
      <c r="W169" s="264">
        <f t="shared" si="43"/>
        <v>0</v>
      </c>
      <c r="X169" s="264">
        <f t="shared" si="43"/>
        <v>0</v>
      </c>
      <c r="Y169" s="264">
        <f t="shared" si="43"/>
        <v>0</v>
      </c>
      <c r="Z169" s="264">
        <f t="shared" si="43"/>
        <v>0</v>
      </c>
      <c r="AA169" s="264">
        <f t="shared" si="43"/>
        <v>0</v>
      </c>
      <c r="AB169" s="264">
        <f t="shared" si="43"/>
        <v>0</v>
      </c>
      <c r="AC169" s="264">
        <f t="shared" si="43"/>
        <v>0</v>
      </c>
      <c r="AD169" s="264">
        <f t="shared" si="43"/>
        <v>0</v>
      </c>
      <c r="AE169" s="264">
        <f t="shared" si="43"/>
        <v>0</v>
      </c>
      <c r="AF169" s="264">
        <f t="shared" si="43"/>
        <v>0</v>
      </c>
      <c r="AG169" s="78"/>
      <c r="AH169" s="78"/>
    </row>
    <row r="170" spans="2:34">
      <c r="B170" s="10" t="s">
        <v>380</v>
      </c>
      <c r="C170" s="264">
        <f>E134</f>
        <v>0</v>
      </c>
      <c r="D170" s="264">
        <f t="shared" ref="D170:AF170" si="44">F134</f>
        <v>0</v>
      </c>
      <c r="E170" s="264">
        <f t="shared" si="44"/>
        <v>0</v>
      </c>
      <c r="F170" s="264">
        <f t="shared" si="44"/>
        <v>0</v>
      </c>
      <c r="G170" s="264">
        <f t="shared" si="44"/>
        <v>0</v>
      </c>
      <c r="H170" s="264">
        <f t="shared" si="44"/>
        <v>0</v>
      </c>
      <c r="I170" s="264">
        <f t="shared" si="44"/>
        <v>0</v>
      </c>
      <c r="J170" s="264">
        <f t="shared" si="44"/>
        <v>0</v>
      </c>
      <c r="K170" s="264">
        <f t="shared" si="44"/>
        <v>0</v>
      </c>
      <c r="L170" s="264">
        <f t="shared" si="44"/>
        <v>0</v>
      </c>
      <c r="M170" s="264">
        <f t="shared" si="44"/>
        <v>0</v>
      </c>
      <c r="N170" s="264">
        <f t="shared" si="44"/>
        <v>0</v>
      </c>
      <c r="O170" s="264">
        <f t="shared" si="44"/>
        <v>0</v>
      </c>
      <c r="P170" s="264">
        <f t="shared" si="44"/>
        <v>0</v>
      </c>
      <c r="Q170" s="264">
        <f t="shared" si="44"/>
        <v>0</v>
      </c>
      <c r="R170" s="264">
        <f t="shared" si="44"/>
        <v>0</v>
      </c>
      <c r="S170" s="264">
        <f t="shared" si="44"/>
        <v>0</v>
      </c>
      <c r="T170" s="264">
        <f t="shared" si="44"/>
        <v>0</v>
      </c>
      <c r="U170" s="264">
        <f t="shared" si="44"/>
        <v>0</v>
      </c>
      <c r="V170" s="264">
        <f t="shared" si="44"/>
        <v>0</v>
      </c>
      <c r="W170" s="264">
        <f t="shared" si="44"/>
        <v>0</v>
      </c>
      <c r="X170" s="264">
        <f t="shared" si="44"/>
        <v>0</v>
      </c>
      <c r="Y170" s="264">
        <f t="shared" si="44"/>
        <v>0</v>
      </c>
      <c r="Z170" s="264">
        <f t="shared" si="44"/>
        <v>0</v>
      </c>
      <c r="AA170" s="264">
        <f t="shared" si="44"/>
        <v>0</v>
      </c>
      <c r="AB170" s="264">
        <f t="shared" si="44"/>
        <v>0</v>
      </c>
      <c r="AC170" s="264">
        <f t="shared" si="44"/>
        <v>0</v>
      </c>
      <c r="AD170" s="264">
        <f t="shared" si="44"/>
        <v>0</v>
      </c>
      <c r="AE170" s="264">
        <f t="shared" si="44"/>
        <v>0</v>
      </c>
      <c r="AF170" s="264">
        <f t="shared" si="44"/>
        <v>0</v>
      </c>
      <c r="AG170" s="78"/>
      <c r="AH170" s="78"/>
    </row>
    <row r="171" spans="2:34">
      <c r="B171" s="10" t="s">
        <v>381</v>
      </c>
      <c r="C171" s="264">
        <f>E112</f>
        <v>0</v>
      </c>
      <c r="D171" s="264">
        <f t="shared" ref="D171:AF171" si="45">F112</f>
        <v>0</v>
      </c>
      <c r="E171" s="264">
        <f t="shared" si="45"/>
        <v>0</v>
      </c>
      <c r="F171" s="264">
        <f t="shared" si="45"/>
        <v>0</v>
      </c>
      <c r="G171" s="264">
        <f t="shared" si="45"/>
        <v>0</v>
      </c>
      <c r="H171" s="264">
        <f t="shared" si="45"/>
        <v>0</v>
      </c>
      <c r="I171" s="264">
        <f t="shared" si="45"/>
        <v>0</v>
      </c>
      <c r="J171" s="264">
        <f t="shared" si="45"/>
        <v>0</v>
      </c>
      <c r="K171" s="264">
        <f t="shared" si="45"/>
        <v>0</v>
      </c>
      <c r="L171" s="264">
        <f t="shared" si="45"/>
        <v>0</v>
      </c>
      <c r="M171" s="264">
        <f t="shared" si="45"/>
        <v>0</v>
      </c>
      <c r="N171" s="264">
        <f t="shared" si="45"/>
        <v>0</v>
      </c>
      <c r="O171" s="264">
        <f t="shared" si="45"/>
        <v>0</v>
      </c>
      <c r="P171" s="264">
        <f t="shared" si="45"/>
        <v>0</v>
      </c>
      <c r="Q171" s="264">
        <f t="shared" si="45"/>
        <v>0</v>
      </c>
      <c r="R171" s="264">
        <f t="shared" si="45"/>
        <v>0</v>
      </c>
      <c r="S171" s="264">
        <f t="shared" si="45"/>
        <v>0</v>
      </c>
      <c r="T171" s="264">
        <f t="shared" si="45"/>
        <v>0</v>
      </c>
      <c r="U171" s="264">
        <f t="shared" si="45"/>
        <v>0</v>
      </c>
      <c r="V171" s="264">
        <f t="shared" si="45"/>
        <v>0</v>
      </c>
      <c r="W171" s="264">
        <f t="shared" si="45"/>
        <v>0</v>
      </c>
      <c r="X171" s="264">
        <f t="shared" si="45"/>
        <v>0</v>
      </c>
      <c r="Y171" s="264">
        <f t="shared" si="45"/>
        <v>0</v>
      </c>
      <c r="Z171" s="264">
        <f t="shared" si="45"/>
        <v>0</v>
      </c>
      <c r="AA171" s="264">
        <f t="shared" si="45"/>
        <v>0</v>
      </c>
      <c r="AB171" s="264">
        <f t="shared" si="45"/>
        <v>0</v>
      </c>
      <c r="AC171" s="264">
        <f t="shared" si="45"/>
        <v>0</v>
      </c>
      <c r="AD171" s="264">
        <f t="shared" si="45"/>
        <v>0</v>
      </c>
      <c r="AE171" s="264">
        <f t="shared" si="45"/>
        <v>0</v>
      </c>
      <c r="AF171" s="264">
        <f t="shared" si="45"/>
        <v>0</v>
      </c>
      <c r="AG171" s="78"/>
      <c r="AH171" s="78"/>
    </row>
    <row r="172" spans="2:34">
      <c r="B172" s="10" t="s">
        <v>382</v>
      </c>
      <c r="C172" s="264">
        <f>E113</f>
        <v>0</v>
      </c>
      <c r="D172" s="264">
        <f t="shared" ref="D172:AF172" si="46">F113</f>
        <v>0</v>
      </c>
      <c r="E172" s="264">
        <f t="shared" si="46"/>
        <v>0</v>
      </c>
      <c r="F172" s="264">
        <f t="shared" si="46"/>
        <v>0</v>
      </c>
      <c r="G172" s="264">
        <f t="shared" si="46"/>
        <v>0</v>
      </c>
      <c r="H172" s="264">
        <f t="shared" si="46"/>
        <v>0</v>
      </c>
      <c r="I172" s="264">
        <f t="shared" si="46"/>
        <v>0</v>
      </c>
      <c r="J172" s="264">
        <f t="shared" si="46"/>
        <v>0</v>
      </c>
      <c r="K172" s="264">
        <f t="shared" si="46"/>
        <v>0</v>
      </c>
      <c r="L172" s="264">
        <f t="shared" si="46"/>
        <v>0</v>
      </c>
      <c r="M172" s="264">
        <f t="shared" si="46"/>
        <v>0</v>
      </c>
      <c r="N172" s="264">
        <f t="shared" si="46"/>
        <v>0</v>
      </c>
      <c r="O172" s="264">
        <f t="shared" si="46"/>
        <v>0</v>
      </c>
      <c r="P172" s="264">
        <f t="shared" si="46"/>
        <v>0</v>
      </c>
      <c r="Q172" s="264">
        <f t="shared" si="46"/>
        <v>0</v>
      </c>
      <c r="R172" s="264">
        <f t="shared" si="46"/>
        <v>0</v>
      </c>
      <c r="S172" s="264">
        <f t="shared" si="46"/>
        <v>0</v>
      </c>
      <c r="T172" s="264">
        <f t="shared" si="46"/>
        <v>0</v>
      </c>
      <c r="U172" s="264">
        <f t="shared" si="46"/>
        <v>0</v>
      </c>
      <c r="V172" s="264">
        <f t="shared" si="46"/>
        <v>0</v>
      </c>
      <c r="W172" s="264">
        <f t="shared" si="46"/>
        <v>0</v>
      </c>
      <c r="X172" s="264">
        <f t="shared" si="46"/>
        <v>0</v>
      </c>
      <c r="Y172" s="264">
        <f t="shared" si="46"/>
        <v>0</v>
      </c>
      <c r="Z172" s="264">
        <f t="shared" si="46"/>
        <v>0</v>
      </c>
      <c r="AA172" s="264">
        <f t="shared" si="46"/>
        <v>0</v>
      </c>
      <c r="AB172" s="264">
        <f t="shared" si="46"/>
        <v>0</v>
      </c>
      <c r="AC172" s="264">
        <f t="shared" si="46"/>
        <v>0</v>
      </c>
      <c r="AD172" s="264">
        <f t="shared" si="46"/>
        <v>0</v>
      </c>
      <c r="AE172" s="264">
        <f t="shared" si="46"/>
        <v>0</v>
      </c>
      <c r="AF172" s="264">
        <f t="shared" si="46"/>
        <v>0</v>
      </c>
      <c r="AG172" s="78"/>
      <c r="AH172" s="78"/>
    </row>
    <row r="173" spans="2:34">
      <c r="B173" s="10" t="s">
        <v>383</v>
      </c>
      <c r="C173" s="287"/>
      <c r="D173" s="287"/>
      <c r="E173" s="287"/>
      <c r="F173" s="287"/>
      <c r="G173" s="287"/>
      <c r="H173" s="287"/>
      <c r="I173" s="287"/>
      <c r="J173" s="287"/>
      <c r="K173" s="287"/>
      <c r="L173" s="287"/>
      <c r="M173" s="287"/>
      <c r="N173" s="287"/>
      <c r="O173" s="287"/>
      <c r="P173" s="287"/>
      <c r="Q173" s="287"/>
      <c r="R173" s="287"/>
      <c r="S173" s="287"/>
      <c r="T173" s="287"/>
      <c r="U173" s="287"/>
      <c r="V173" s="287"/>
      <c r="W173" s="287"/>
      <c r="X173" s="287"/>
      <c r="Y173" s="287"/>
      <c r="Z173" s="287"/>
      <c r="AA173" s="287"/>
      <c r="AB173" s="287"/>
      <c r="AC173" s="287"/>
      <c r="AD173" s="287"/>
      <c r="AE173" s="287"/>
      <c r="AF173" s="287"/>
      <c r="AG173" s="78"/>
      <c r="AH173" s="78"/>
    </row>
    <row r="174" spans="2:34">
      <c r="B174" s="8" t="s">
        <v>384</v>
      </c>
      <c r="C174" s="507">
        <f>SUM(C169:C173)</f>
        <v>0</v>
      </c>
      <c r="D174" s="507">
        <f t="shared" ref="D174:AF174" si="47">SUM(D169:D173)</f>
        <v>0</v>
      </c>
      <c r="E174" s="507">
        <f t="shared" si="47"/>
        <v>0</v>
      </c>
      <c r="F174" s="507">
        <f t="shared" si="47"/>
        <v>0</v>
      </c>
      <c r="G174" s="507">
        <f t="shared" si="47"/>
        <v>0</v>
      </c>
      <c r="H174" s="507">
        <f t="shared" si="47"/>
        <v>0</v>
      </c>
      <c r="I174" s="507">
        <f t="shared" si="47"/>
        <v>0</v>
      </c>
      <c r="J174" s="507">
        <f t="shared" si="47"/>
        <v>0</v>
      </c>
      <c r="K174" s="507">
        <f t="shared" si="47"/>
        <v>0</v>
      </c>
      <c r="L174" s="507">
        <f t="shared" si="47"/>
        <v>0</v>
      </c>
      <c r="M174" s="507">
        <f t="shared" si="47"/>
        <v>0</v>
      </c>
      <c r="N174" s="507">
        <f t="shared" si="47"/>
        <v>0</v>
      </c>
      <c r="O174" s="507">
        <f t="shared" si="47"/>
        <v>0</v>
      </c>
      <c r="P174" s="507">
        <f t="shared" si="47"/>
        <v>0</v>
      </c>
      <c r="Q174" s="507">
        <f t="shared" si="47"/>
        <v>0</v>
      </c>
      <c r="R174" s="507">
        <f t="shared" si="47"/>
        <v>0</v>
      </c>
      <c r="S174" s="507">
        <f t="shared" si="47"/>
        <v>0</v>
      </c>
      <c r="T174" s="507">
        <f t="shared" si="47"/>
        <v>0</v>
      </c>
      <c r="U174" s="507">
        <f t="shared" si="47"/>
        <v>0</v>
      </c>
      <c r="V174" s="507">
        <f t="shared" si="47"/>
        <v>0</v>
      </c>
      <c r="W174" s="507">
        <f t="shared" si="47"/>
        <v>0</v>
      </c>
      <c r="X174" s="507">
        <f t="shared" si="47"/>
        <v>0</v>
      </c>
      <c r="Y174" s="507">
        <f t="shared" si="47"/>
        <v>0</v>
      </c>
      <c r="Z174" s="507">
        <f t="shared" si="47"/>
        <v>0</v>
      </c>
      <c r="AA174" s="507">
        <f t="shared" si="47"/>
        <v>0</v>
      </c>
      <c r="AB174" s="507">
        <f t="shared" si="47"/>
        <v>0</v>
      </c>
      <c r="AC174" s="507">
        <f t="shared" si="47"/>
        <v>0</v>
      </c>
      <c r="AD174" s="507">
        <f t="shared" si="47"/>
        <v>0</v>
      </c>
      <c r="AE174" s="507">
        <f t="shared" si="47"/>
        <v>0</v>
      </c>
      <c r="AF174" s="507">
        <f t="shared" si="47"/>
        <v>0</v>
      </c>
      <c r="AG174" s="78"/>
      <c r="AH174" s="78"/>
    </row>
    <row r="175" spans="2:34">
      <c r="B175" s="10" t="s">
        <v>385</v>
      </c>
      <c r="C175" s="264">
        <f>E136</f>
        <v>0</v>
      </c>
      <c r="D175" s="264">
        <f t="shared" ref="D175:AF175" si="48">F136</f>
        <v>0</v>
      </c>
      <c r="E175" s="264">
        <f t="shared" si="48"/>
        <v>0</v>
      </c>
      <c r="F175" s="264">
        <f t="shared" si="48"/>
        <v>0</v>
      </c>
      <c r="G175" s="264">
        <f t="shared" si="48"/>
        <v>0</v>
      </c>
      <c r="H175" s="264">
        <f t="shared" si="48"/>
        <v>0</v>
      </c>
      <c r="I175" s="264">
        <f t="shared" si="48"/>
        <v>0</v>
      </c>
      <c r="J175" s="264">
        <f t="shared" si="48"/>
        <v>0</v>
      </c>
      <c r="K175" s="264">
        <f t="shared" si="48"/>
        <v>0</v>
      </c>
      <c r="L175" s="264">
        <f t="shared" si="48"/>
        <v>0</v>
      </c>
      <c r="M175" s="264">
        <f t="shared" si="48"/>
        <v>0</v>
      </c>
      <c r="N175" s="264">
        <f t="shared" si="48"/>
        <v>0</v>
      </c>
      <c r="O175" s="264">
        <f t="shared" si="48"/>
        <v>0</v>
      </c>
      <c r="P175" s="264">
        <f t="shared" si="48"/>
        <v>0</v>
      </c>
      <c r="Q175" s="264">
        <f t="shared" si="48"/>
        <v>0</v>
      </c>
      <c r="R175" s="264">
        <f t="shared" si="48"/>
        <v>0</v>
      </c>
      <c r="S175" s="264">
        <f t="shared" si="48"/>
        <v>0</v>
      </c>
      <c r="T175" s="264">
        <f t="shared" si="48"/>
        <v>0</v>
      </c>
      <c r="U175" s="264">
        <f t="shared" si="48"/>
        <v>0</v>
      </c>
      <c r="V175" s="264">
        <f t="shared" si="48"/>
        <v>0</v>
      </c>
      <c r="W175" s="264">
        <f t="shared" si="48"/>
        <v>0</v>
      </c>
      <c r="X175" s="264">
        <f t="shared" si="48"/>
        <v>0</v>
      </c>
      <c r="Y175" s="264">
        <f t="shared" si="48"/>
        <v>0</v>
      </c>
      <c r="Z175" s="264">
        <f t="shared" si="48"/>
        <v>0</v>
      </c>
      <c r="AA175" s="264">
        <f t="shared" si="48"/>
        <v>0</v>
      </c>
      <c r="AB175" s="264">
        <f t="shared" si="48"/>
        <v>0</v>
      </c>
      <c r="AC175" s="264">
        <f t="shared" si="48"/>
        <v>0</v>
      </c>
      <c r="AD175" s="264">
        <f t="shared" si="48"/>
        <v>0</v>
      </c>
      <c r="AE175" s="264">
        <f t="shared" si="48"/>
        <v>0</v>
      </c>
      <c r="AF175" s="264">
        <f t="shared" si="48"/>
        <v>0</v>
      </c>
      <c r="AG175" s="78"/>
      <c r="AH175" s="78"/>
    </row>
    <row r="176" spans="2:34">
      <c r="B176" s="10" t="s">
        <v>386</v>
      </c>
      <c r="C176" s="264">
        <f>E88+C192</f>
        <v>0</v>
      </c>
      <c r="D176" s="264">
        <f t="shared" ref="D176:AF176" si="49">F88+D192</f>
        <v>0</v>
      </c>
      <c r="E176" s="264">
        <f t="shared" si="49"/>
        <v>0</v>
      </c>
      <c r="F176" s="264">
        <f t="shared" si="49"/>
        <v>0</v>
      </c>
      <c r="G176" s="264">
        <f t="shared" si="49"/>
        <v>0</v>
      </c>
      <c r="H176" s="264">
        <f t="shared" si="49"/>
        <v>0</v>
      </c>
      <c r="I176" s="264">
        <f t="shared" si="49"/>
        <v>0</v>
      </c>
      <c r="J176" s="264">
        <f t="shared" si="49"/>
        <v>0</v>
      </c>
      <c r="K176" s="264">
        <f t="shared" si="49"/>
        <v>0</v>
      </c>
      <c r="L176" s="264">
        <f t="shared" si="49"/>
        <v>0</v>
      </c>
      <c r="M176" s="264">
        <f t="shared" si="49"/>
        <v>0</v>
      </c>
      <c r="N176" s="264">
        <f t="shared" si="49"/>
        <v>0</v>
      </c>
      <c r="O176" s="264">
        <f t="shared" si="49"/>
        <v>0</v>
      </c>
      <c r="P176" s="264">
        <f t="shared" si="49"/>
        <v>0</v>
      </c>
      <c r="Q176" s="264">
        <f t="shared" si="49"/>
        <v>0</v>
      </c>
      <c r="R176" s="264">
        <f t="shared" si="49"/>
        <v>0</v>
      </c>
      <c r="S176" s="264">
        <f t="shared" si="49"/>
        <v>0</v>
      </c>
      <c r="T176" s="264">
        <f t="shared" si="49"/>
        <v>0</v>
      </c>
      <c r="U176" s="264">
        <f t="shared" si="49"/>
        <v>0</v>
      </c>
      <c r="V176" s="264">
        <f t="shared" si="49"/>
        <v>0</v>
      </c>
      <c r="W176" s="264">
        <f t="shared" si="49"/>
        <v>0</v>
      </c>
      <c r="X176" s="264">
        <f t="shared" si="49"/>
        <v>0</v>
      </c>
      <c r="Y176" s="264">
        <f t="shared" si="49"/>
        <v>0</v>
      </c>
      <c r="Z176" s="264">
        <f t="shared" si="49"/>
        <v>0</v>
      </c>
      <c r="AA176" s="264">
        <f t="shared" si="49"/>
        <v>0</v>
      </c>
      <c r="AB176" s="264">
        <f t="shared" si="49"/>
        <v>0</v>
      </c>
      <c r="AC176" s="264">
        <f t="shared" si="49"/>
        <v>0</v>
      </c>
      <c r="AD176" s="264">
        <f t="shared" si="49"/>
        <v>0</v>
      </c>
      <c r="AE176" s="264">
        <f t="shared" si="49"/>
        <v>0</v>
      </c>
      <c r="AF176" s="264">
        <f t="shared" si="49"/>
        <v>0</v>
      </c>
      <c r="AG176" s="78"/>
      <c r="AH176" s="78"/>
    </row>
    <row r="177" spans="2:34">
      <c r="B177" s="10" t="s">
        <v>387</v>
      </c>
      <c r="C177" s="264">
        <f>E37*$C$153*C157</f>
        <v>0</v>
      </c>
      <c r="D177" s="264">
        <f t="shared" ref="D177:AF177" si="50">F37*$C$153*D157</f>
        <v>0</v>
      </c>
      <c r="E177" s="264">
        <f t="shared" si="50"/>
        <v>0</v>
      </c>
      <c r="F177" s="264">
        <f t="shared" si="50"/>
        <v>0</v>
      </c>
      <c r="G177" s="264">
        <f t="shared" si="50"/>
        <v>0</v>
      </c>
      <c r="H177" s="264">
        <f t="shared" si="50"/>
        <v>0</v>
      </c>
      <c r="I177" s="264">
        <f t="shared" si="50"/>
        <v>0</v>
      </c>
      <c r="J177" s="264">
        <f t="shared" si="50"/>
        <v>0</v>
      </c>
      <c r="K177" s="264">
        <f t="shared" si="50"/>
        <v>0</v>
      </c>
      <c r="L177" s="264">
        <f t="shared" si="50"/>
        <v>0</v>
      </c>
      <c r="M177" s="264">
        <f t="shared" si="50"/>
        <v>0</v>
      </c>
      <c r="N177" s="264">
        <f t="shared" si="50"/>
        <v>0</v>
      </c>
      <c r="O177" s="264">
        <f t="shared" si="50"/>
        <v>0</v>
      </c>
      <c r="P177" s="264">
        <f t="shared" si="50"/>
        <v>0</v>
      </c>
      <c r="Q177" s="264">
        <f t="shared" si="50"/>
        <v>0</v>
      </c>
      <c r="R177" s="264">
        <f t="shared" si="50"/>
        <v>0</v>
      </c>
      <c r="S177" s="264">
        <f t="shared" si="50"/>
        <v>0</v>
      </c>
      <c r="T177" s="264">
        <f t="shared" si="50"/>
        <v>0</v>
      </c>
      <c r="U177" s="264">
        <f t="shared" si="50"/>
        <v>0</v>
      </c>
      <c r="V177" s="264">
        <f t="shared" si="50"/>
        <v>0</v>
      </c>
      <c r="W177" s="264">
        <f t="shared" si="50"/>
        <v>0</v>
      </c>
      <c r="X177" s="264">
        <f t="shared" si="50"/>
        <v>0</v>
      </c>
      <c r="Y177" s="264">
        <f t="shared" si="50"/>
        <v>0</v>
      </c>
      <c r="Z177" s="264">
        <f t="shared" si="50"/>
        <v>0</v>
      </c>
      <c r="AA177" s="264">
        <f t="shared" si="50"/>
        <v>0</v>
      </c>
      <c r="AB177" s="264">
        <f t="shared" si="50"/>
        <v>0</v>
      </c>
      <c r="AC177" s="264">
        <f t="shared" si="50"/>
        <v>0</v>
      </c>
      <c r="AD177" s="264">
        <f t="shared" si="50"/>
        <v>0</v>
      </c>
      <c r="AE177" s="264">
        <f t="shared" si="50"/>
        <v>0</v>
      </c>
      <c r="AF177" s="264">
        <f t="shared" si="50"/>
        <v>0</v>
      </c>
      <c r="AG177" s="78"/>
      <c r="AH177" s="78"/>
    </row>
    <row r="178" spans="2:34">
      <c r="B178" s="512" t="s">
        <v>388</v>
      </c>
      <c r="C178" s="509">
        <f>SUM(C179:C180)</f>
        <v>0</v>
      </c>
      <c r="D178" s="509">
        <f t="shared" ref="D178:AF178" si="51">SUM(D179:D180)</f>
        <v>0</v>
      </c>
      <c r="E178" s="509">
        <f t="shared" si="51"/>
        <v>0</v>
      </c>
      <c r="F178" s="509">
        <f t="shared" si="51"/>
        <v>0</v>
      </c>
      <c r="G178" s="509">
        <f t="shared" si="51"/>
        <v>0</v>
      </c>
      <c r="H178" s="509">
        <f t="shared" si="51"/>
        <v>0</v>
      </c>
      <c r="I178" s="509">
        <f t="shared" si="51"/>
        <v>0</v>
      </c>
      <c r="J178" s="509">
        <f t="shared" si="51"/>
        <v>0</v>
      </c>
      <c r="K178" s="509">
        <f t="shared" si="51"/>
        <v>0</v>
      </c>
      <c r="L178" s="509">
        <f t="shared" si="51"/>
        <v>0</v>
      </c>
      <c r="M178" s="509">
        <f t="shared" si="51"/>
        <v>0</v>
      </c>
      <c r="N178" s="509">
        <f t="shared" si="51"/>
        <v>0</v>
      </c>
      <c r="O178" s="509">
        <f t="shared" si="51"/>
        <v>0</v>
      </c>
      <c r="P178" s="509">
        <f t="shared" si="51"/>
        <v>0</v>
      </c>
      <c r="Q178" s="509">
        <f t="shared" si="51"/>
        <v>0</v>
      </c>
      <c r="R178" s="509">
        <f t="shared" si="51"/>
        <v>0</v>
      </c>
      <c r="S178" s="509">
        <f t="shared" si="51"/>
        <v>0</v>
      </c>
      <c r="T178" s="509">
        <f t="shared" si="51"/>
        <v>0</v>
      </c>
      <c r="U178" s="509">
        <f t="shared" si="51"/>
        <v>0</v>
      </c>
      <c r="V178" s="509">
        <f t="shared" si="51"/>
        <v>0</v>
      </c>
      <c r="W178" s="509">
        <f t="shared" si="51"/>
        <v>0</v>
      </c>
      <c r="X178" s="509">
        <f t="shared" si="51"/>
        <v>0</v>
      </c>
      <c r="Y178" s="509">
        <f t="shared" si="51"/>
        <v>0</v>
      </c>
      <c r="Z178" s="509">
        <f t="shared" si="51"/>
        <v>0</v>
      </c>
      <c r="AA178" s="509">
        <f t="shared" si="51"/>
        <v>0</v>
      </c>
      <c r="AB178" s="509">
        <f t="shared" si="51"/>
        <v>0</v>
      </c>
      <c r="AC178" s="509">
        <f t="shared" si="51"/>
        <v>0</v>
      </c>
      <c r="AD178" s="509">
        <f t="shared" si="51"/>
        <v>0</v>
      </c>
      <c r="AE178" s="509">
        <f t="shared" si="51"/>
        <v>0</v>
      </c>
      <c r="AF178" s="509">
        <f t="shared" si="51"/>
        <v>0</v>
      </c>
      <c r="AG178" s="78"/>
      <c r="AH178" s="78"/>
    </row>
    <row r="179" spans="2:34">
      <c r="B179" s="10" t="s">
        <v>389</v>
      </c>
      <c r="C179" s="264">
        <f>C169-C177</f>
        <v>0</v>
      </c>
      <c r="D179" s="264">
        <f t="shared" ref="D179:AF179" si="52">D169-D177</f>
        <v>0</v>
      </c>
      <c r="E179" s="264">
        <f t="shared" si="52"/>
        <v>0</v>
      </c>
      <c r="F179" s="264">
        <f t="shared" si="52"/>
        <v>0</v>
      </c>
      <c r="G179" s="264">
        <f t="shared" si="52"/>
        <v>0</v>
      </c>
      <c r="H179" s="264">
        <f t="shared" si="52"/>
        <v>0</v>
      </c>
      <c r="I179" s="264">
        <f t="shared" si="52"/>
        <v>0</v>
      </c>
      <c r="J179" s="264">
        <f t="shared" si="52"/>
        <v>0</v>
      </c>
      <c r="K179" s="264">
        <f t="shared" si="52"/>
        <v>0</v>
      </c>
      <c r="L179" s="264">
        <f t="shared" si="52"/>
        <v>0</v>
      </c>
      <c r="M179" s="264">
        <f t="shared" si="52"/>
        <v>0</v>
      </c>
      <c r="N179" s="264">
        <f t="shared" si="52"/>
        <v>0</v>
      </c>
      <c r="O179" s="264">
        <f t="shared" si="52"/>
        <v>0</v>
      </c>
      <c r="P179" s="264">
        <f t="shared" si="52"/>
        <v>0</v>
      </c>
      <c r="Q179" s="264">
        <f t="shared" si="52"/>
        <v>0</v>
      </c>
      <c r="R179" s="264">
        <f t="shared" si="52"/>
        <v>0</v>
      </c>
      <c r="S179" s="264">
        <f t="shared" si="52"/>
        <v>0</v>
      </c>
      <c r="T179" s="264">
        <f t="shared" si="52"/>
        <v>0</v>
      </c>
      <c r="U179" s="264">
        <f t="shared" si="52"/>
        <v>0</v>
      </c>
      <c r="V179" s="264">
        <f t="shared" si="52"/>
        <v>0</v>
      </c>
      <c r="W179" s="264">
        <f t="shared" si="52"/>
        <v>0</v>
      </c>
      <c r="X179" s="264">
        <f t="shared" si="52"/>
        <v>0</v>
      </c>
      <c r="Y179" s="264">
        <f t="shared" si="52"/>
        <v>0</v>
      </c>
      <c r="Z179" s="264">
        <f t="shared" si="52"/>
        <v>0</v>
      </c>
      <c r="AA179" s="264">
        <f t="shared" si="52"/>
        <v>0</v>
      </c>
      <c r="AB179" s="264">
        <f t="shared" si="52"/>
        <v>0</v>
      </c>
      <c r="AC179" s="264">
        <f t="shared" si="52"/>
        <v>0</v>
      </c>
      <c r="AD179" s="264">
        <f t="shared" si="52"/>
        <v>0</v>
      </c>
      <c r="AE179" s="264">
        <f t="shared" si="52"/>
        <v>0</v>
      </c>
      <c r="AF179" s="264">
        <f t="shared" si="52"/>
        <v>0</v>
      </c>
      <c r="AG179" s="78"/>
      <c r="AH179" s="78"/>
    </row>
    <row r="180" spans="2:34">
      <c r="B180" s="512" t="s">
        <v>390</v>
      </c>
      <c r="C180" s="509">
        <f>SUM(C181:C182)</f>
        <v>0</v>
      </c>
      <c r="D180" s="509">
        <f t="shared" ref="D180:AF180" si="53">SUM(D181:D182)</f>
        <v>0</v>
      </c>
      <c r="E180" s="509">
        <f t="shared" si="53"/>
        <v>0</v>
      </c>
      <c r="F180" s="509">
        <f t="shared" si="53"/>
        <v>0</v>
      </c>
      <c r="G180" s="509">
        <f t="shared" si="53"/>
        <v>0</v>
      </c>
      <c r="H180" s="509">
        <f t="shared" si="53"/>
        <v>0</v>
      </c>
      <c r="I180" s="509">
        <f t="shared" si="53"/>
        <v>0</v>
      </c>
      <c r="J180" s="509">
        <f t="shared" si="53"/>
        <v>0</v>
      </c>
      <c r="K180" s="509">
        <f t="shared" si="53"/>
        <v>0</v>
      </c>
      <c r="L180" s="509">
        <f t="shared" si="53"/>
        <v>0</v>
      </c>
      <c r="M180" s="509">
        <f t="shared" si="53"/>
        <v>0</v>
      </c>
      <c r="N180" s="509">
        <f t="shared" si="53"/>
        <v>0</v>
      </c>
      <c r="O180" s="509">
        <f t="shared" si="53"/>
        <v>0</v>
      </c>
      <c r="P180" s="509">
        <f t="shared" si="53"/>
        <v>0</v>
      </c>
      <c r="Q180" s="509">
        <f t="shared" si="53"/>
        <v>0</v>
      </c>
      <c r="R180" s="509">
        <f t="shared" si="53"/>
        <v>0</v>
      </c>
      <c r="S180" s="509">
        <f t="shared" si="53"/>
        <v>0</v>
      </c>
      <c r="T180" s="509">
        <f t="shared" si="53"/>
        <v>0</v>
      </c>
      <c r="U180" s="509">
        <f t="shared" si="53"/>
        <v>0</v>
      </c>
      <c r="V180" s="509">
        <f t="shared" si="53"/>
        <v>0</v>
      </c>
      <c r="W180" s="509">
        <f t="shared" si="53"/>
        <v>0</v>
      </c>
      <c r="X180" s="509">
        <f t="shared" si="53"/>
        <v>0</v>
      </c>
      <c r="Y180" s="509">
        <f t="shared" si="53"/>
        <v>0</v>
      </c>
      <c r="Z180" s="509">
        <f t="shared" si="53"/>
        <v>0</v>
      </c>
      <c r="AA180" s="509">
        <f t="shared" si="53"/>
        <v>0</v>
      </c>
      <c r="AB180" s="509">
        <f t="shared" si="53"/>
        <v>0</v>
      </c>
      <c r="AC180" s="509">
        <f t="shared" si="53"/>
        <v>0</v>
      </c>
      <c r="AD180" s="509">
        <f t="shared" si="53"/>
        <v>0</v>
      </c>
      <c r="AE180" s="509">
        <f t="shared" si="53"/>
        <v>0</v>
      </c>
      <c r="AF180" s="509">
        <f t="shared" si="53"/>
        <v>0</v>
      </c>
      <c r="AG180" s="78"/>
      <c r="AH180" s="78"/>
    </row>
    <row r="181" spans="2:34">
      <c r="B181" s="10" t="s">
        <v>391</v>
      </c>
      <c r="C181" s="264">
        <f>E110</f>
        <v>0</v>
      </c>
      <c r="D181" s="264">
        <f t="shared" ref="D181:AF181" si="54">F110</f>
        <v>0</v>
      </c>
      <c r="E181" s="264">
        <f t="shared" si="54"/>
        <v>0</v>
      </c>
      <c r="F181" s="264">
        <f t="shared" si="54"/>
        <v>0</v>
      </c>
      <c r="G181" s="264">
        <f t="shared" si="54"/>
        <v>0</v>
      </c>
      <c r="H181" s="264">
        <f t="shared" si="54"/>
        <v>0</v>
      </c>
      <c r="I181" s="264">
        <f t="shared" si="54"/>
        <v>0</v>
      </c>
      <c r="J181" s="264">
        <f t="shared" si="54"/>
        <v>0</v>
      </c>
      <c r="K181" s="264">
        <f t="shared" si="54"/>
        <v>0</v>
      </c>
      <c r="L181" s="264">
        <f t="shared" si="54"/>
        <v>0</v>
      </c>
      <c r="M181" s="264">
        <f t="shared" si="54"/>
        <v>0</v>
      </c>
      <c r="N181" s="264">
        <f t="shared" si="54"/>
        <v>0</v>
      </c>
      <c r="O181" s="264">
        <f t="shared" si="54"/>
        <v>0</v>
      </c>
      <c r="P181" s="264">
        <f t="shared" si="54"/>
        <v>0</v>
      </c>
      <c r="Q181" s="264">
        <f t="shared" si="54"/>
        <v>0</v>
      </c>
      <c r="R181" s="264">
        <f t="shared" si="54"/>
        <v>0</v>
      </c>
      <c r="S181" s="264">
        <f t="shared" si="54"/>
        <v>0</v>
      </c>
      <c r="T181" s="264">
        <f t="shared" si="54"/>
        <v>0</v>
      </c>
      <c r="U181" s="264">
        <f t="shared" si="54"/>
        <v>0</v>
      </c>
      <c r="V181" s="264">
        <f t="shared" si="54"/>
        <v>0</v>
      </c>
      <c r="W181" s="264">
        <f t="shared" si="54"/>
        <v>0</v>
      </c>
      <c r="X181" s="264">
        <f t="shared" si="54"/>
        <v>0</v>
      </c>
      <c r="Y181" s="264">
        <f t="shared" si="54"/>
        <v>0</v>
      </c>
      <c r="Z181" s="264">
        <f t="shared" si="54"/>
        <v>0</v>
      </c>
      <c r="AA181" s="264">
        <f t="shared" si="54"/>
        <v>0</v>
      </c>
      <c r="AB181" s="264">
        <f t="shared" si="54"/>
        <v>0</v>
      </c>
      <c r="AC181" s="264">
        <f t="shared" si="54"/>
        <v>0</v>
      </c>
      <c r="AD181" s="264">
        <f t="shared" si="54"/>
        <v>0</v>
      </c>
      <c r="AE181" s="264">
        <f t="shared" si="54"/>
        <v>0</v>
      </c>
      <c r="AF181" s="264">
        <f t="shared" si="54"/>
        <v>0</v>
      </c>
      <c r="AG181" s="78"/>
      <c r="AH181" s="78"/>
    </row>
    <row r="182" spans="2:34">
      <c r="B182" s="512" t="s">
        <v>392</v>
      </c>
      <c r="C182" s="509">
        <f>SUM(C183:C184)</f>
        <v>0</v>
      </c>
      <c r="D182" s="509">
        <f t="shared" ref="D182:AF182" si="55">SUM(D183:D184)</f>
        <v>0</v>
      </c>
      <c r="E182" s="509">
        <f t="shared" si="55"/>
        <v>0</v>
      </c>
      <c r="F182" s="509">
        <f t="shared" si="55"/>
        <v>0</v>
      </c>
      <c r="G182" s="509">
        <f t="shared" si="55"/>
        <v>0</v>
      </c>
      <c r="H182" s="509">
        <f t="shared" si="55"/>
        <v>0</v>
      </c>
      <c r="I182" s="509">
        <f t="shared" si="55"/>
        <v>0</v>
      </c>
      <c r="J182" s="509">
        <f t="shared" si="55"/>
        <v>0</v>
      </c>
      <c r="K182" s="509">
        <f t="shared" si="55"/>
        <v>0</v>
      </c>
      <c r="L182" s="509">
        <f t="shared" si="55"/>
        <v>0</v>
      </c>
      <c r="M182" s="509">
        <f t="shared" si="55"/>
        <v>0</v>
      </c>
      <c r="N182" s="509">
        <f t="shared" si="55"/>
        <v>0</v>
      </c>
      <c r="O182" s="509">
        <f t="shared" si="55"/>
        <v>0</v>
      </c>
      <c r="P182" s="509">
        <f t="shared" si="55"/>
        <v>0</v>
      </c>
      <c r="Q182" s="509">
        <f t="shared" si="55"/>
        <v>0</v>
      </c>
      <c r="R182" s="509">
        <f t="shared" si="55"/>
        <v>0</v>
      </c>
      <c r="S182" s="509">
        <f t="shared" si="55"/>
        <v>0</v>
      </c>
      <c r="T182" s="509">
        <f t="shared" si="55"/>
        <v>0</v>
      </c>
      <c r="U182" s="509">
        <f t="shared" si="55"/>
        <v>0</v>
      </c>
      <c r="V182" s="509">
        <f t="shared" si="55"/>
        <v>0</v>
      </c>
      <c r="W182" s="509">
        <f t="shared" si="55"/>
        <v>0</v>
      </c>
      <c r="X182" s="509">
        <f t="shared" si="55"/>
        <v>0</v>
      </c>
      <c r="Y182" s="509">
        <f t="shared" si="55"/>
        <v>0</v>
      </c>
      <c r="Z182" s="509">
        <f t="shared" si="55"/>
        <v>0</v>
      </c>
      <c r="AA182" s="509">
        <f t="shared" si="55"/>
        <v>0</v>
      </c>
      <c r="AB182" s="509">
        <f t="shared" si="55"/>
        <v>0</v>
      </c>
      <c r="AC182" s="509">
        <f t="shared" si="55"/>
        <v>0</v>
      </c>
      <c r="AD182" s="509">
        <f t="shared" si="55"/>
        <v>0</v>
      </c>
      <c r="AE182" s="509">
        <f t="shared" si="55"/>
        <v>0</v>
      </c>
      <c r="AF182" s="509">
        <f t="shared" si="55"/>
        <v>0</v>
      </c>
      <c r="AG182" s="78"/>
      <c r="AH182" s="78"/>
    </row>
    <row r="183" spans="2:34">
      <c r="B183" s="10" t="s">
        <v>393</v>
      </c>
      <c r="C183" s="264">
        <f>E111</f>
        <v>0</v>
      </c>
      <c r="D183" s="264">
        <f t="shared" ref="D183:AF183" si="56">F111</f>
        <v>0</v>
      </c>
      <c r="E183" s="264">
        <f t="shared" si="56"/>
        <v>0</v>
      </c>
      <c r="F183" s="264">
        <f t="shared" si="56"/>
        <v>0</v>
      </c>
      <c r="G183" s="264">
        <f t="shared" si="56"/>
        <v>0</v>
      </c>
      <c r="H183" s="264">
        <f t="shared" si="56"/>
        <v>0</v>
      </c>
      <c r="I183" s="264">
        <f t="shared" si="56"/>
        <v>0</v>
      </c>
      <c r="J183" s="264">
        <f t="shared" si="56"/>
        <v>0</v>
      </c>
      <c r="K183" s="264">
        <f t="shared" si="56"/>
        <v>0</v>
      </c>
      <c r="L183" s="264">
        <f t="shared" si="56"/>
        <v>0</v>
      </c>
      <c r="M183" s="264">
        <f t="shared" si="56"/>
        <v>0</v>
      </c>
      <c r="N183" s="264">
        <f t="shared" si="56"/>
        <v>0</v>
      </c>
      <c r="O183" s="264">
        <f t="shared" si="56"/>
        <v>0</v>
      </c>
      <c r="P183" s="264">
        <f t="shared" si="56"/>
        <v>0</v>
      </c>
      <c r="Q183" s="264">
        <f t="shared" si="56"/>
        <v>0</v>
      </c>
      <c r="R183" s="264">
        <f t="shared" si="56"/>
        <v>0</v>
      </c>
      <c r="S183" s="264">
        <f t="shared" si="56"/>
        <v>0</v>
      </c>
      <c r="T183" s="264">
        <f t="shared" si="56"/>
        <v>0</v>
      </c>
      <c r="U183" s="264">
        <f t="shared" si="56"/>
        <v>0</v>
      </c>
      <c r="V183" s="264">
        <f t="shared" si="56"/>
        <v>0</v>
      </c>
      <c r="W183" s="264">
        <f t="shared" si="56"/>
        <v>0</v>
      </c>
      <c r="X183" s="264">
        <f t="shared" si="56"/>
        <v>0</v>
      </c>
      <c r="Y183" s="264">
        <f t="shared" si="56"/>
        <v>0</v>
      </c>
      <c r="Z183" s="264">
        <f t="shared" si="56"/>
        <v>0</v>
      </c>
      <c r="AA183" s="264">
        <f t="shared" si="56"/>
        <v>0</v>
      </c>
      <c r="AB183" s="264">
        <f t="shared" si="56"/>
        <v>0</v>
      </c>
      <c r="AC183" s="264">
        <f t="shared" si="56"/>
        <v>0</v>
      </c>
      <c r="AD183" s="264">
        <f t="shared" si="56"/>
        <v>0</v>
      </c>
      <c r="AE183" s="264">
        <f t="shared" si="56"/>
        <v>0</v>
      </c>
      <c r="AF183" s="264">
        <f t="shared" si="56"/>
        <v>0</v>
      </c>
      <c r="AG183" s="78"/>
      <c r="AH183" s="78"/>
    </row>
    <row r="184" spans="2:34">
      <c r="B184" s="10" t="s">
        <v>394</v>
      </c>
      <c r="C184" s="264">
        <f>E114</f>
        <v>0</v>
      </c>
      <c r="D184" s="264">
        <f t="shared" ref="D184:AF184" si="57">F114</f>
        <v>0</v>
      </c>
      <c r="E184" s="264">
        <f t="shared" si="57"/>
        <v>0</v>
      </c>
      <c r="F184" s="264">
        <f t="shared" si="57"/>
        <v>0</v>
      </c>
      <c r="G184" s="264">
        <f t="shared" si="57"/>
        <v>0</v>
      </c>
      <c r="H184" s="264">
        <f t="shared" si="57"/>
        <v>0</v>
      </c>
      <c r="I184" s="264">
        <f t="shared" si="57"/>
        <v>0</v>
      </c>
      <c r="J184" s="264">
        <f t="shared" si="57"/>
        <v>0</v>
      </c>
      <c r="K184" s="264">
        <f t="shared" si="57"/>
        <v>0</v>
      </c>
      <c r="L184" s="264">
        <f t="shared" si="57"/>
        <v>0</v>
      </c>
      <c r="M184" s="264">
        <f t="shared" si="57"/>
        <v>0</v>
      </c>
      <c r="N184" s="264">
        <f t="shared" si="57"/>
        <v>0</v>
      </c>
      <c r="O184" s="264">
        <f t="shared" si="57"/>
        <v>0</v>
      </c>
      <c r="P184" s="264">
        <f t="shared" si="57"/>
        <v>0</v>
      </c>
      <c r="Q184" s="264">
        <f t="shared" si="57"/>
        <v>0</v>
      </c>
      <c r="R184" s="264">
        <f t="shared" si="57"/>
        <v>0</v>
      </c>
      <c r="S184" s="264">
        <f t="shared" si="57"/>
        <v>0</v>
      </c>
      <c r="T184" s="264">
        <f t="shared" si="57"/>
        <v>0</v>
      </c>
      <c r="U184" s="264">
        <f t="shared" si="57"/>
        <v>0</v>
      </c>
      <c r="V184" s="264">
        <f t="shared" si="57"/>
        <v>0</v>
      </c>
      <c r="W184" s="264">
        <f t="shared" si="57"/>
        <v>0</v>
      </c>
      <c r="X184" s="264">
        <f t="shared" si="57"/>
        <v>0</v>
      </c>
      <c r="Y184" s="264">
        <f t="shared" si="57"/>
        <v>0</v>
      </c>
      <c r="Z184" s="264">
        <f t="shared" si="57"/>
        <v>0</v>
      </c>
      <c r="AA184" s="264">
        <f t="shared" si="57"/>
        <v>0</v>
      </c>
      <c r="AB184" s="264">
        <f t="shared" si="57"/>
        <v>0</v>
      </c>
      <c r="AC184" s="264">
        <f t="shared" si="57"/>
        <v>0</v>
      </c>
      <c r="AD184" s="264">
        <f t="shared" si="57"/>
        <v>0</v>
      </c>
      <c r="AE184" s="264">
        <f t="shared" si="57"/>
        <v>0</v>
      </c>
      <c r="AF184" s="264">
        <f t="shared" si="57"/>
        <v>0</v>
      </c>
      <c r="AG184" s="78"/>
      <c r="AH184" s="78"/>
    </row>
    <row r="185" spans="2:34">
      <c r="B185" s="10" t="s">
        <v>395</v>
      </c>
      <c r="C185" s="264">
        <f>E138</f>
        <v>0</v>
      </c>
      <c r="D185" s="264">
        <f t="shared" ref="D185:AF185" si="58">F138</f>
        <v>0</v>
      </c>
      <c r="E185" s="264">
        <f t="shared" si="58"/>
        <v>0</v>
      </c>
      <c r="F185" s="264">
        <f t="shared" si="58"/>
        <v>0</v>
      </c>
      <c r="G185" s="264">
        <f t="shared" si="58"/>
        <v>0</v>
      </c>
      <c r="H185" s="264">
        <f t="shared" si="58"/>
        <v>0</v>
      </c>
      <c r="I185" s="264">
        <f t="shared" si="58"/>
        <v>0</v>
      </c>
      <c r="J185" s="264">
        <f t="shared" si="58"/>
        <v>0</v>
      </c>
      <c r="K185" s="264">
        <f t="shared" si="58"/>
        <v>0</v>
      </c>
      <c r="L185" s="264">
        <f t="shared" si="58"/>
        <v>0</v>
      </c>
      <c r="M185" s="264">
        <f t="shared" si="58"/>
        <v>0</v>
      </c>
      <c r="N185" s="264">
        <f t="shared" si="58"/>
        <v>0</v>
      </c>
      <c r="O185" s="264">
        <f t="shared" si="58"/>
        <v>0</v>
      </c>
      <c r="P185" s="264">
        <f t="shared" si="58"/>
        <v>0</v>
      </c>
      <c r="Q185" s="264">
        <f t="shared" si="58"/>
        <v>0</v>
      </c>
      <c r="R185" s="264">
        <f t="shared" si="58"/>
        <v>0</v>
      </c>
      <c r="S185" s="264">
        <f t="shared" si="58"/>
        <v>0</v>
      </c>
      <c r="T185" s="264">
        <f t="shared" si="58"/>
        <v>0</v>
      </c>
      <c r="U185" s="264">
        <f t="shared" si="58"/>
        <v>0</v>
      </c>
      <c r="V185" s="264">
        <f t="shared" si="58"/>
        <v>0</v>
      </c>
      <c r="W185" s="264">
        <f t="shared" si="58"/>
        <v>0</v>
      </c>
      <c r="X185" s="264">
        <f t="shared" si="58"/>
        <v>0</v>
      </c>
      <c r="Y185" s="264">
        <f t="shared" si="58"/>
        <v>0</v>
      </c>
      <c r="Z185" s="264">
        <f t="shared" si="58"/>
        <v>0</v>
      </c>
      <c r="AA185" s="264">
        <f t="shared" si="58"/>
        <v>0</v>
      </c>
      <c r="AB185" s="264">
        <f t="shared" si="58"/>
        <v>0</v>
      </c>
      <c r="AC185" s="264">
        <f t="shared" si="58"/>
        <v>0</v>
      </c>
      <c r="AD185" s="264">
        <f t="shared" si="58"/>
        <v>0</v>
      </c>
      <c r="AE185" s="264">
        <f t="shared" si="58"/>
        <v>0</v>
      </c>
      <c r="AF185" s="264">
        <f t="shared" si="58"/>
        <v>0</v>
      </c>
      <c r="AG185" s="78"/>
      <c r="AH185" s="78"/>
    </row>
    <row r="186" spans="2:34">
      <c r="B186" s="8" t="s">
        <v>396</v>
      </c>
      <c r="C186" s="507">
        <f>SUM(C175:C178)</f>
        <v>0</v>
      </c>
      <c r="D186" s="507">
        <f t="shared" ref="D186:AF186" si="59">SUM(D175:D178)</f>
        <v>0</v>
      </c>
      <c r="E186" s="507">
        <f t="shared" si="59"/>
        <v>0</v>
      </c>
      <c r="F186" s="507">
        <f t="shared" si="59"/>
        <v>0</v>
      </c>
      <c r="G186" s="507">
        <f t="shared" si="59"/>
        <v>0</v>
      </c>
      <c r="H186" s="507">
        <f t="shared" si="59"/>
        <v>0</v>
      </c>
      <c r="I186" s="507">
        <f t="shared" si="59"/>
        <v>0</v>
      </c>
      <c r="J186" s="507">
        <f t="shared" si="59"/>
        <v>0</v>
      </c>
      <c r="K186" s="507">
        <f t="shared" si="59"/>
        <v>0</v>
      </c>
      <c r="L186" s="507">
        <f t="shared" si="59"/>
        <v>0</v>
      </c>
      <c r="M186" s="507">
        <f t="shared" si="59"/>
        <v>0</v>
      </c>
      <c r="N186" s="507">
        <f t="shared" si="59"/>
        <v>0</v>
      </c>
      <c r="O186" s="507">
        <f t="shared" si="59"/>
        <v>0</v>
      </c>
      <c r="P186" s="507">
        <f t="shared" si="59"/>
        <v>0</v>
      </c>
      <c r="Q186" s="507">
        <f t="shared" si="59"/>
        <v>0</v>
      </c>
      <c r="R186" s="507">
        <f t="shared" si="59"/>
        <v>0</v>
      </c>
      <c r="S186" s="507">
        <f t="shared" si="59"/>
        <v>0</v>
      </c>
      <c r="T186" s="507">
        <f t="shared" si="59"/>
        <v>0</v>
      </c>
      <c r="U186" s="507">
        <f t="shared" si="59"/>
        <v>0</v>
      </c>
      <c r="V186" s="507">
        <f t="shared" si="59"/>
        <v>0</v>
      </c>
      <c r="W186" s="507">
        <f t="shared" si="59"/>
        <v>0</v>
      </c>
      <c r="X186" s="507">
        <f t="shared" si="59"/>
        <v>0</v>
      </c>
      <c r="Y186" s="507">
        <f t="shared" si="59"/>
        <v>0</v>
      </c>
      <c r="Z186" s="507">
        <f t="shared" si="59"/>
        <v>0</v>
      </c>
      <c r="AA186" s="507">
        <f t="shared" si="59"/>
        <v>0</v>
      </c>
      <c r="AB186" s="507">
        <f t="shared" si="59"/>
        <v>0</v>
      </c>
      <c r="AC186" s="507">
        <f t="shared" si="59"/>
        <v>0</v>
      </c>
      <c r="AD186" s="507">
        <f t="shared" si="59"/>
        <v>0</v>
      </c>
      <c r="AE186" s="507">
        <f t="shared" si="59"/>
        <v>0</v>
      </c>
      <c r="AF186" s="507">
        <f t="shared" si="59"/>
        <v>0</v>
      </c>
      <c r="AG186" s="78"/>
      <c r="AH186" s="78"/>
    </row>
    <row r="187" spans="2:34">
      <c r="B187" s="8" t="s">
        <v>397</v>
      </c>
      <c r="C187" s="507">
        <f>C186-C174</f>
        <v>0</v>
      </c>
      <c r="D187" s="507">
        <f t="shared" ref="D187:AF187" si="60">D186-D174</f>
        <v>0</v>
      </c>
      <c r="E187" s="507">
        <f t="shared" si="60"/>
        <v>0</v>
      </c>
      <c r="F187" s="507">
        <f t="shared" si="60"/>
        <v>0</v>
      </c>
      <c r="G187" s="507">
        <f t="shared" si="60"/>
        <v>0</v>
      </c>
      <c r="H187" s="507">
        <f t="shared" si="60"/>
        <v>0</v>
      </c>
      <c r="I187" s="507">
        <f t="shared" si="60"/>
        <v>0</v>
      </c>
      <c r="J187" s="507">
        <f t="shared" si="60"/>
        <v>0</v>
      </c>
      <c r="K187" s="507">
        <f t="shared" si="60"/>
        <v>0</v>
      </c>
      <c r="L187" s="507">
        <f t="shared" si="60"/>
        <v>0</v>
      </c>
      <c r="M187" s="507">
        <f t="shared" si="60"/>
        <v>0</v>
      </c>
      <c r="N187" s="507">
        <f t="shared" si="60"/>
        <v>0</v>
      </c>
      <c r="O187" s="507">
        <f t="shared" si="60"/>
        <v>0</v>
      </c>
      <c r="P187" s="507">
        <f t="shared" si="60"/>
        <v>0</v>
      </c>
      <c r="Q187" s="507">
        <f t="shared" si="60"/>
        <v>0</v>
      </c>
      <c r="R187" s="507">
        <f t="shared" si="60"/>
        <v>0</v>
      </c>
      <c r="S187" s="507">
        <f t="shared" si="60"/>
        <v>0</v>
      </c>
      <c r="T187" s="507">
        <f t="shared" si="60"/>
        <v>0</v>
      </c>
      <c r="U187" s="507">
        <f t="shared" si="60"/>
        <v>0</v>
      </c>
      <c r="V187" s="507">
        <f t="shared" si="60"/>
        <v>0</v>
      </c>
      <c r="W187" s="507">
        <f t="shared" si="60"/>
        <v>0</v>
      </c>
      <c r="X187" s="507">
        <f t="shared" si="60"/>
        <v>0</v>
      </c>
      <c r="Y187" s="507">
        <f t="shared" si="60"/>
        <v>0</v>
      </c>
      <c r="Z187" s="507">
        <f t="shared" si="60"/>
        <v>0</v>
      </c>
      <c r="AA187" s="507">
        <f t="shared" si="60"/>
        <v>0</v>
      </c>
      <c r="AB187" s="507">
        <f t="shared" si="60"/>
        <v>0</v>
      </c>
      <c r="AC187" s="507">
        <f t="shared" si="60"/>
        <v>0</v>
      </c>
      <c r="AD187" s="507">
        <f t="shared" si="60"/>
        <v>0</v>
      </c>
      <c r="AE187" s="507">
        <f t="shared" si="60"/>
        <v>0</v>
      </c>
      <c r="AF187" s="507">
        <f t="shared" si="60"/>
        <v>0</v>
      </c>
      <c r="AG187" s="78"/>
      <c r="AH187" s="78"/>
    </row>
    <row r="188" spans="2:34">
      <c r="B188" s="8" t="s">
        <v>398</v>
      </c>
      <c r="C188" s="507">
        <f>C187</f>
        <v>0</v>
      </c>
      <c r="D188" s="507">
        <f t="shared" ref="D188:AF188" si="61">D187</f>
        <v>0</v>
      </c>
      <c r="E188" s="507">
        <f t="shared" si="61"/>
        <v>0</v>
      </c>
      <c r="F188" s="507">
        <f t="shared" si="61"/>
        <v>0</v>
      </c>
      <c r="G188" s="507">
        <f t="shared" si="61"/>
        <v>0</v>
      </c>
      <c r="H188" s="507">
        <f t="shared" si="61"/>
        <v>0</v>
      </c>
      <c r="I188" s="507">
        <f t="shared" si="61"/>
        <v>0</v>
      </c>
      <c r="J188" s="507">
        <f t="shared" si="61"/>
        <v>0</v>
      </c>
      <c r="K188" s="507">
        <f t="shared" si="61"/>
        <v>0</v>
      </c>
      <c r="L188" s="507">
        <f t="shared" si="61"/>
        <v>0</v>
      </c>
      <c r="M188" s="507">
        <f t="shared" si="61"/>
        <v>0</v>
      </c>
      <c r="N188" s="507">
        <f t="shared" si="61"/>
        <v>0</v>
      </c>
      <c r="O188" s="507">
        <f t="shared" si="61"/>
        <v>0</v>
      </c>
      <c r="P188" s="507">
        <f t="shared" si="61"/>
        <v>0</v>
      </c>
      <c r="Q188" s="507">
        <f t="shared" si="61"/>
        <v>0</v>
      </c>
      <c r="R188" s="507">
        <f t="shared" si="61"/>
        <v>0</v>
      </c>
      <c r="S188" s="507">
        <f t="shared" si="61"/>
        <v>0</v>
      </c>
      <c r="T188" s="507">
        <f t="shared" si="61"/>
        <v>0</v>
      </c>
      <c r="U188" s="507">
        <f t="shared" si="61"/>
        <v>0</v>
      </c>
      <c r="V188" s="507">
        <f t="shared" si="61"/>
        <v>0</v>
      </c>
      <c r="W188" s="507">
        <f t="shared" si="61"/>
        <v>0</v>
      </c>
      <c r="X188" s="507">
        <f t="shared" si="61"/>
        <v>0</v>
      </c>
      <c r="Y188" s="507">
        <f t="shared" si="61"/>
        <v>0</v>
      </c>
      <c r="Z188" s="507">
        <f t="shared" si="61"/>
        <v>0</v>
      </c>
      <c r="AA188" s="507">
        <f t="shared" si="61"/>
        <v>0</v>
      </c>
      <c r="AB188" s="507">
        <f t="shared" si="61"/>
        <v>0</v>
      </c>
      <c r="AC188" s="507">
        <f t="shared" si="61"/>
        <v>0</v>
      </c>
      <c r="AD188" s="507">
        <f t="shared" si="61"/>
        <v>0</v>
      </c>
      <c r="AE188" s="507">
        <f t="shared" si="61"/>
        <v>0</v>
      </c>
      <c r="AF188" s="507">
        <f t="shared" si="61"/>
        <v>0</v>
      </c>
      <c r="AG188" s="78"/>
      <c r="AH188" s="78"/>
    </row>
    <row r="189" spans="2:34">
      <c r="B189" s="1"/>
    </row>
    <row r="190" spans="2:34">
      <c r="B190" s="154" t="s">
        <v>373</v>
      </c>
      <c r="C190" s="489">
        <f>C175+E88-C170</f>
        <v>0</v>
      </c>
      <c r="D190" s="489">
        <f t="shared" ref="D190:AF190" si="62">D175+F88-D170</f>
        <v>0</v>
      </c>
      <c r="E190" s="489">
        <f t="shared" si="62"/>
        <v>0</v>
      </c>
      <c r="F190" s="489">
        <f t="shared" si="62"/>
        <v>0</v>
      </c>
      <c r="G190" s="489">
        <f t="shared" si="62"/>
        <v>0</v>
      </c>
      <c r="H190" s="489">
        <f t="shared" si="62"/>
        <v>0</v>
      </c>
      <c r="I190" s="489">
        <f t="shared" si="62"/>
        <v>0</v>
      </c>
      <c r="J190" s="489">
        <f t="shared" si="62"/>
        <v>0</v>
      </c>
      <c r="K190" s="489">
        <f t="shared" si="62"/>
        <v>0</v>
      </c>
      <c r="L190" s="489">
        <f t="shared" si="62"/>
        <v>0</v>
      </c>
      <c r="M190" s="489">
        <f t="shared" si="62"/>
        <v>0</v>
      </c>
      <c r="N190" s="489">
        <f t="shared" si="62"/>
        <v>0</v>
      </c>
      <c r="O190" s="489">
        <f t="shared" si="62"/>
        <v>0</v>
      </c>
      <c r="P190" s="489">
        <f t="shared" si="62"/>
        <v>0</v>
      </c>
      <c r="Q190" s="489">
        <f t="shared" si="62"/>
        <v>0</v>
      </c>
      <c r="R190" s="489">
        <f t="shared" si="62"/>
        <v>0</v>
      </c>
      <c r="S190" s="489">
        <f t="shared" si="62"/>
        <v>0</v>
      </c>
      <c r="T190" s="489">
        <f t="shared" si="62"/>
        <v>0</v>
      </c>
      <c r="U190" s="489">
        <f t="shared" si="62"/>
        <v>0</v>
      </c>
      <c r="V190" s="489">
        <f t="shared" si="62"/>
        <v>0</v>
      </c>
      <c r="W190" s="489">
        <f t="shared" si="62"/>
        <v>0</v>
      </c>
      <c r="X190" s="489">
        <f t="shared" si="62"/>
        <v>0</v>
      </c>
      <c r="Y190" s="489">
        <f t="shared" si="62"/>
        <v>0</v>
      </c>
      <c r="Z190" s="489">
        <f t="shared" si="62"/>
        <v>0</v>
      </c>
      <c r="AA190" s="489">
        <f t="shared" si="62"/>
        <v>0</v>
      </c>
      <c r="AB190" s="489">
        <f t="shared" si="62"/>
        <v>0</v>
      </c>
      <c r="AC190" s="489">
        <f t="shared" si="62"/>
        <v>0</v>
      </c>
      <c r="AD190" s="489">
        <f t="shared" si="62"/>
        <v>0</v>
      </c>
      <c r="AE190" s="489">
        <f t="shared" si="62"/>
        <v>0</v>
      </c>
      <c r="AF190" s="489">
        <f t="shared" si="62"/>
        <v>0</v>
      </c>
    </row>
    <row r="191" spans="2:34">
      <c r="B191" s="154" t="s">
        <v>374</v>
      </c>
      <c r="C191" s="489">
        <f>C190</f>
        <v>0</v>
      </c>
      <c r="D191" s="489">
        <f>C191+D190+C192</f>
        <v>0</v>
      </c>
      <c r="E191" s="489">
        <f t="shared" ref="E191:AF191" si="63">D191+E190+D192</f>
        <v>0</v>
      </c>
      <c r="F191" s="489">
        <f t="shared" si="63"/>
        <v>0</v>
      </c>
      <c r="G191" s="489">
        <f t="shared" si="63"/>
        <v>0</v>
      </c>
      <c r="H191" s="489">
        <f t="shared" si="63"/>
        <v>0</v>
      </c>
      <c r="I191" s="489">
        <f t="shared" si="63"/>
        <v>0</v>
      </c>
      <c r="J191" s="489">
        <f t="shared" si="63"/>
        <v>0</v>
      </c>
      <c r="K191" s="489">
        <f t="shared" si="63"/>
        <v>0</v>
      </c>
      <c r="L191" s="489">
        <f t="shared" si="63"/>
        <v>0</v>
      </c>
      <c r="M191" s="489">
        <f t="shared" si="63"/>
        <v>0</v>
      </c>
      <c r="N191" s="489">
        <f t="shared" si="63"/>
        <v>0</v>
      </c>
      <c r="O191" s="489">
        <f t="shared" si="63"/>
        <v>0</v>
      </c>
      <c r="P191" s="489">
        <f t="shared" si="63"/>
        <v>0</v>
      </c>
      <c r="Q191" s="489">
        <f t="shared" si="63"/>
        <v>0</v>
      </c>
      <c r="R191" s="489">
        <f t="shared" si="63"/>
        <v>0</v>
      </c>
      <c r="S191" s="489">
        <f t="shared" si="63"/>
        <v>0</v>
      </c>
      <c r="T191" s="489">
        <f t="shared" si="63"/>
        <v>0</v>
      </c>
      <c r="U191" s="489">
        <f t="shared" si="63"/>
        <v>0</v>
      </c>
      <c r="V191" s="489">
        <f t="shared" si="63"/>
        <v>0</v>
      </c>
      <c r="W191" s="489">
        <f t="shared" si="63"/>
        <v>0</v>
      </c>
      <c r="X191" s="489">
        <f t="shared" si="63"/>
        <v>0</v>
      </c>
      <c r="Y191" s="489">
        <f t="shared" si="63"/>
        <v>0</v>
      </c>
      <c r="Z191" s="489">
        <f t="shared" si="63"/>
        <v>0</v>
      </c>
      <c r="AA191" s="489">
        <f t="shared" si="63"/>
        <v>0</v>
      </c>
      <c r="AB191" s="489">
        <f t="shared" si="63"/>
        <v>0</v>
      </c>
      <c r="AC191" s="489">
        <f t="shared" si="63"/>
        <v>0</v>
      </c>
      <c r="AD191" s="489">
        <f t="shared" si="63"/>
        <v>0</v>
      </c>
      <c r="AE191" s="489">
        <f t="shared" si="63"/>
        <v>0</v>
      </c>
      <c r="AF191" s="489">
        <f t="shared" si="63"/>
        <v>0</v>
      </c>
    </row>
    <row r="192" spans="2:34">
      <c r="B192" s="154" t="s">
        <v>375</v>
      </c>
      <c r="C192" s="490">
        <f>IF(C191&lt;0,C191*-1,0)</f>
        <v>0</v>
      </c>
      <c r="D192" s="490">
        <f>IF(D191&lt;0,D191*-1,0)</f>
        <v>0</v>
      </c>
      <c r="E192" s="490">
        <f t="shared" ref="E192:AF192" si="64">IF(E191&lt;0,E191*-1,0)</f>
        <v>0</v>
      </c>
      <c r="F192" s="490">
        <f t="shared" si="64"/>
        <v>0</v>
      </c>
      <c r="G192" s="490">
        <f t="shared" si="64"/>
        <v>0</v>
      </c>
      <c r="H192" s="490">
        <f t="shared" si="64"/>
        <v>0</v>
      </c>
      <c r="I192" s="490">
        <f t="shared" si="64"/>
        <v>0</v>
      </c>
      <c r="J192" s="490">
        <f t="shared" si="64"/>
        <v>0</v>
      </c>
      <c r="K192" s="490">
        <f t="shared" si="64"/>
        <v>0</v>
      </c>
      <c r="L192" s="490">
        <f t="shared" si="64"/>
        <v>0</v>
      </c>
      <c r="M192" s="490">
        <f t="shared" si="64"/>
        <v>0</v>
      </c>
      <c r="N192" s="490">
        <f t="shared" si="64"/>
        <v>0</v>
      </c>
      <c r="O192" s="490">
        <f t="shared" si="64"/>
        <v>0</v>
      </c>
      <c r="P192" s="490">
        <f t="shared" si="64"/>
        <v>0</v>
      </c>
      <c r="Q192" s="490">
        <f t="shared" si="64"/>
        <v>0</v>
      </c>
      <c r="R192" s="490">
        <f t="shared" si="64"/>
        <v>0</v>
      </c>
      <c r="S192" s="490">
        <f t="shared" si="64"/>
        <v>0</v>
      </c>
      <c r="T192" s="490">
        <f t="shared" si="64"/>
        <v>0</v>
      </c>
      <c r="U192" s="490">
        <f t="shared" si="64"/>
        <v>0</v>
      </c>
      <c r="V192" s="490">
        <f t="shared" si="64"/>
        <v>0</v>
      </c>
      <c r="W192" s="490">
        <f t="shared" si="64"/>
        <v>0</v>
      </c>
      <c r="X192" s="490">
        <f t="shared" si="64"/>
        <v>0</v>
      </c>
      <c r="Y192" s="490">
        <f t="shared" si="64"/>
        <v>0</v>
      </c>
      <c r="Z192" s="490">
        <f t="shared" si="64"/>
        <v>0</v>
      </c>
      <c r="AA192" s="490">
        <f t="shared" si="64"/>
        <v>0</v>
      </c>
      <c r="AB192" s="490">
        <f t="shared" si="64"/>
        <v>0</v>
      </c>
      <c r="AC192" s="490">
        <f t="shared" si="64"/>
        <v>0</v>
      </c>
      <c r="AD192" s="490">
        <f t="shared" si="64"/>
        <v>0</v>
      </c>
      <c r="AE192" s="490">
        <f t="shared" si="64"/>
        <v>0</v>
      </c>
      <c r="AF192" s="490">
        <f t="shared" si="64"/>
        <v>0</v>
      </c>
    </row>
    <row r="194" spans="2:6" ht="14.4" thickBot="1"/>
    <row r="195" spans="2:6" ht="53.4" thickBot="1">
      <c r="B195" s="500" t="s">
        <v>538</v>
      </c>
    </row>
    <row r="196" spans="2:6" ht="14.4" thickBot="1"/>
    <row r="197" spans="2:6" ht="16.2" customHeight="1">
      <c r="B197" s="298" t="s">
        <v>190</v>
      </c>
    </row>
    <row r="198" spans="2:6" ht="83.4" thickBot="1">
      <c r="B198" s="299" t="s">
        <v>539</v>
      </c>
    </row>
    <row r="199" spans="2:6" ht="16.2" customHeight="1" thickBot="1"/>
    <row r="200" spans="2:6" ht="16.2" customHeight="1">
      <c r="B200" s="300" t="s">
        <v>189</v>
      </c>
      <c r="C200" s="301" t="s">
        <v>192</v>
      </c>
      <c r="D200" s="578" t="s">
        <v>377</v>
      </c>
      <c r="E200" s="578"/>
      <c r="F200" s="579"/>
    </row>
    <row r="201" spans="2:6" ht="28.2" thickBot="1">
      <c r="B201" s="302" t="s">
        <v>378</v>
      </c>
      <c r="C201" s="553"/>
      <c r="D201" s="580"/>
      <c r="E201" s="580"/>
      <c r="F201" s="581"/>
    </row>
  </sheetData>
  <sheetProtection algorithmName="SHA-512" hashValue="OUwj/7tHWQs2BrCySzqvcfgDYloE+0bMAdgFGTTnANz/fs7FrxBsf81QltGnjRbNFgPFRxaZ9eLtyZ9tqKmCvA==" saltValue="AKOry5ION9SVO/sI8+hkYg==" spinCount="100000" sheet="1" objects="1" scenarios="1"/>
  <mergeCells count="2">
    <mergeCell ref="D200:F200"/>
    <mergeCell ref="D201:F201"/>
  </mergeCells>
  <conditionalFormatting sqref="C169:AF172 C174:AF188">
    <cfRule type="expression" dxfId="178" priority="85">
      <formula>NOT(ISBLANK(C$168))</formula>
    </cfRule>
  </conditionalFormatting>
  <conditionalFormatting sqref="C190:AF191 D192:AF192">
    <cfRule type="expression" dxfId="177" priority="11">
      <formula>NOT(ISBLANK(C$267))</formula>
    </cfRule>
  </conditionalFormatting>
  <conditionalFormatting sqref="C192:AF192">
    <cfRule type="expression" dxfId="176" priority="10">
      <formula>NOT(ISBLANK(C$277))</formula>
    </cfRule>
  </conditionalFormatting>
  <conditionalFormatting sqref="D173:AF173">
    <cfRule type="expression" dxfId="175" priority="1">
      <formula>NOT(ISBLANK(D$74))</formula>
    </cfRule>
  </conditionalFormatting>
  <conditionalFormatting sqref="E89:AH89">
    <cfRule type="expression" dxfId="174" priority="97">
      <formula>NOT(ISBLANK(E$86))</formula>
    </cfRule>
  </conditionalFormatting>
  <conditionalFormatting sqref="E122:AH127">
    <cfRule type="expression" dxfId="173" priority="89">
      <formula>NOT(ISBLANK(E$121))</formula>
    </cfRule>
  </conditionalFormatting>
  <conditionalFormatting sqref="E133:AH139">
    <cfRule type="expression" dxfId="172" priority="57">
      <formula>NOT(ISBLANK(E$132))</formula>
    </cfRule>
  </conditionalFormatting>
  <conditionalFormatting sqref="F75:AH75">
    <cfRule type="expression" dxfId="171" priority="24">
      <formula>NOT(ISBLANK(F$74))</formula>
    </cfRule>
  </conditionalFormatting>
  <conditionalFormatting sqref="F81:AH81">
    <cfRule type="expression" dxfId="170" priority="9">
      <formula>NOT(ISBLANK(F$74))</formula>
    </cfRule>
  </conditionalFormatting>
  <conditionalFormatting sqref="F87:AH88">
    <cfRule type="expression" dxfId="169" priority="7">
      <formula>NOT(ISBLANK(F$74))</formula>
    </cfRule>
  </conditionalFormatting>
  <conditionalFormatting sqref="F110:AH114">
    <cfRule type="expression" dxfId="168" priority="2">
      <formula>NOT(ISBLANK(F$74))</formula>
    </cfRule>
  </conditionalFormatting>
  <dataValidations count="1">
    <dataValidation type="list" allowBlank="1" showInputMessage="1" showErrorMessage="1" sqref="C201" xr:uid="{267A70E0-48B3-4874-8047-F9D905618952}">
      <formula1>i_n_list</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2287-8F07-4746-8579-0A4A7BF235C2}">
  <sheetPr codeName="Munka20">
    <tabColor theme="5" tint="0.59999389629810485"/>
  </sheetPr>
  <dimension ref="A1:AH173"/>
  <sheetViews>
    <sheetView topLeftCell="C75" zoomScale="40" zoomScaleNormal="40" workbookViewId="0">
      <selection activeCell="AH114" sqref="AH114"/>
    </sheetView>
  </sheetViews>
  <sheetFormatPr defaultColWidth="9.19921875" defaultRowHeight="13.8"/>
  <cols>
    <col min="1" max="1" width="19.19921875" style="47" customWidth="1"/>
    <col min="2" max="2" width="51.19921875" style="47" customWidth="1"/>
    <col min="3" max="34" width="18.69921875" style="47" customWidth="1"/>
    <col min="35" max="16384" width="9.19921875" style="47"/>
  </cols>
  <sheetData>
    <row r="1" spans="1:8" ht="14.4" thickBot="1"/>
    <row r="2" spans="1:8" ht="14.4" thickBot="1">
      <c r="B2" s="41" t="s">
        <v>121</v>
      </c>
    </row>
    <row r="3" spans="1:8" ht="14.4" thickBot="1">
      <c r="B3" s="1"/>
    </row>
    <row r="4" spans="1:8" ht="93" thickBot="1">
      <c r="B4" s="500" t="s">
        <v>540</v>
      </c>
    </row>
    <row r="7" spans="1:8" s="83" customFormat="1">
      <c r="A7" s="493"/>
      <c r="B7" s="82" t="s">
        <v>489</v>
      </c>
    </row>
    <row r="10" spans="1:8" ht="27.6">
      <c r="B10" s="35" t="s">
        <v>288</v>
      </c>
      <c r="C10" s="503" t="s">
        <v>506</v>
      </c>
      <c r="D10" s="503" t="s">
        <v>507</v>
      </c>
      <c r="E10" s="503" t="s">
        <v>508</v>
      </c>
    </row>
    <row r="11" spans="1:8">
      <c r="B11" s="30" t="s">
        <v>265</v>
      </c>
      <c r="C11" s="501"/>
      <c r="D11" s="501"/>
      <c r="E11" s="132">
        <f t="shared" ref="E11:E22" si="0">SUM(C11:D11)</f>
        <v>0</v>
      </c>
    </row>
    <row r="12" spans="1:8">
      <c r="B12" s="30" t="s">
        <v>269</v>
      </c>
      <c r="C12" s="501"/>
      <c r="D12" s="501"/>
      <c r="E12" s="132">
        <f t="shared" si="0"/>
        <v>0</v>
      </c>
    </row>
    <row r="13" spans="1:8" ht="27.6">
      <c r="B13" s="30" t="s">
        <v>276</v>
      </c>
      <c r="C13" s="501"/>
      <c r="D13" s="501"/>
      <c r="E13" s="132">
        <f t="shared" si="0"/>
        <v>0</v>
      </c>
      <c r="H13" s="494"/>
    </row>
    <row r="14" spans="1:8">
      <c r="B14" s="30" t="s">
        <v>282</v>
      </c>
      <c r="C14" s="501"/>
      <c r="D14" s="501"/>
      <c r="E14" s="132">
        <f t="shared" si="0"/>
        <v>0</v>
      </c>
    </row>
    <row r="15" spans="1:8">
      <c r="B15" s="30" t="s">
        <v>286</v>
      </c>
      <c r="C15" s="501"/>
      <c r="D15" s="501"/>
      <c r="E15" s="132">
        <f t="shared" si="0"/>
        <v>0</v>
      </c>
    </row>
    <row r="16" spans="1:8">
      <c r="B16" s="30" t="s">
        <v>287</v>
      </c>
      <c r="C16" s="501"/>
      <c r="D16" s="501"/>
      <c r="E16" s="132">
        <f t="shared" si="0"/>
        <v>0</v>
      </c>
    </row>
    <row r="17" spans="2:15">
      <c r="B17" s="30" t="s">
        <v>327</v>
      </c>
      <c r="C17" s="501"/>
      <c r="D17" s="501"/>
      <c r="E17" s="132">
        <f t="shared" si="0"/>
        <v>0</v>
      </c>
    </row>
    <row r="18" spans="2:15">
      <c r="B18" s="30" t="s">
        <v>327</v>
      </c>
      <c r="C18" s="501"/>
      <c r="D18" s="501"/>
      <c r="E18" s="132">
        <f t="shared" si="0"/>
        <v>0</v>
      </c>
    </row>
    <row r="19" spans="2:15">
      <c r="B19" s="30" t="s">
        <v>327</v>
      </c>
      <c r="C19" s="501"/>
      <c r="D19" s="501"/>
      <c r="E19" s="132">
        <f t="shared" si="0"/>
        <v>0</v>
      </c>
    </row>
    <row r="20" spans="2:15">
      <c r="B20" s="30" t="s">
        <v>327</v>
      </c>
      <c r="C20" s="501"/>
      <c r="D20" s="501"/>
      <c r="E20" s="132">
        <f t="shared" si="0"/>
        <v>0</v>
      </c>
    </row>
    <row r="21" spans="2:15">
      <c r="B21" s="286" t="s">
        <v>328</v>
      </c>
      <c r="C21" s="502">
        <f>SUM(C11:C15)</f>
        <v>0</v>
      </c>
      <c r="D21" s="502">
        <f>SUM(D11:D15)</f>
        <v>0</v>
      </c>
      <c r="E21" s="133">
        <f t="shared" si="0"/>
        <v>0</v>
      </c>
    </row>
    <row r="22" spans="2:15">
      <c r="B22" s="286" t="s">
        <v>329</v>
      </c>
      <c r="C22" s="13">
        <f>SUM(C11:C20)</f>
        <v>0</v>
      </c>
      <c r="D22" s="13">
        <f>SUM(D11:D20)</f>
        <v>0</v>
      </c>
      <c r="E22" s="133">
        <f t="shared" si="0"/>
        <v>0</v>
      </c>
    </row>
    <row r="25" spans="2:15">
      <c r="B25" s="35" t="s">
        <v>104</v>
      </c>
      <c r="C25" s="37" t="s">
        <v>325</v>
      </c>
      <c r="D25" s="37" t="s">
        <v>326</v>
      </c>
      <c r="E25" s="91">
        <f>start_year</f>
        <v>2025</v>
      </c>
      <c r="F25" s="91">
        <f>E25+1</f>
        <v>2026</v>
      </c>
      <c r="G25" s="91">
        <f t="shared" ref="G25:I25" si="1">F25+1</f>
        <v>2027</v>
      </c>
      <c r="H25" s="91">
        <f t="shared" si="1"/>
        <v>2028</v>
      </c>
      <c r="I25" s="91">
        <f t="shared" si="1"/>
        <v>2029</v>
      </c>
    </row>
    <row r="26" spans="2:15">
      <c r="B26" s="30" t="s">
        <v>265</v>
      </c>
      <c r="C26" s="11">
        <f>SUM(E26:I26)</f>
        <v>0</v>
      </c>
      <c r="D26" s="11">
        <f t="shared" ref="D26:D37" si="2">E26+NPV(fdr_nem_áll,F26:I26)</f>
        <v>0</v>
      </c>
      <c r="E26" s="287"/>
      <c r="F26" s="287"/>
      <c r="G26" s="287"/>
      <c r="H26" s="287"/>
      <c r="I26" s="287"/>
      <c r="K26" s="78"/>
      <c r="L26" s="78"/>
      <c r="M26" s="78"/>
      <c r="N26" s="78"/>
      <c r="O26" s="78"/>
    </row>
    <row r="27" spans="2:15">
      <c r="B27" s="30" t="s">
        <v>269</v>
      </c>
      <c r="C27" s="11">
        <f t="shared" ref="C27:C37" si="3">SUM(E27:I27)</f>
        <v>0</v>
      </c>
      <c r="D27" s="11">
        <f t="shared" si="2"/>
        <v>0</v>
      </c>
      <c r="E27" s="287"/>
      <c r="F27" s="287"/>
      <c r="G27" s="287"/>
      <c r="H27" s="287"/>
      <c r="I27" s="287"/>
      <c r="K27" s="78"/>
      <c r="L27" s="78"/>
      <c r="M27" s="78"/>
      <c r="N27" s="78"/>
      <c r="O27" s="78"/>
    </row>
    <row r="28" spans="2:15" ht="27.6">
      <c r="B28" s="30" t="s">
        <v>276</v>
      </c>
      <c r="C28" s="11">
        <f t="shared" si="3"/>
        <v>0</v>
      </c>
      <c r="D28" s="11">
        <f t="shared" si="2"/>
        <v>0</v>
      </c>
      <c r="E28" s="287"/>
      <c r="F28" s="287"/>
      <c r="G28" s="287"/>
      <c r="H28" s="287"/>
      <c r="I28" s="287"/>
      <c r="K28" s="78"/>
      <c r="L28" s="78"/>
      <c r="M28" s="78"/>
      <c r="N28" s="78"/>
      <c r="O28" s="78"/>
    </row>
    <row r="29" spans="2:15">
      <c r="B29" s="30" t="s">
        <v>282</v>
      </c>
      <c r="C29" s="11">
        <f t="shared" si="3"/>
        <v>0</v>
      </c>
      <c r="D29" s="11">
        <f t="shared" si="2"/>
        <v>0</v>
      </c>
      <c r="E29" s="287"/>
      <c r="F29" s="287"/>
      <c r="G29" s="287"/>
      <c r="H29" s="287"/>
      <c r="I29" s="287"/>
      <c r="K29" s="78"/>
      <c r="L29" s="78"/>
      <c r="M29" s="78"/>
      <c r="N29" s="78"/>
      <c r="O29" s="78"/>
    </row>
    <row r="30" spans="2:15">
      <c r="B30" s="30" t="s">
        <v>286</v>
      </c>
      <c r="C30" s="11">
        <f t="shared" si="3"/>
        <v>0</v>
      </c>
      <c r="D30" s="11">
        <f t="shared" si="2"/>
        <v>0</v>
      </c>
      <c r="E30" s="287"/>
      <c r="F30" s="287"/>
      <c r="G30" s="287"/>
      <c r="H30" s="287"/>
      <c r="I30" s="287"/>
      <c r="K30" s="78"/>
      <c r="L30" s="78"/>
      <c r="M30" s="78"/>
      <c r="N30" s="78"/>
      <c r="O30" s="78"/>
    </row>
    <row r="31" spans="2:15">
      <c r="B31" s="30" t="s">
        <v>287</v>
      </c>
      <c r="C31" s="11">
        <f t="shared" si="3"/>
        <v>0</v>
      </c>
      <c r="D31" s="11">
        <f t="shared" si="2"/>
        <v>0</v>
      </c>
      <c r="E31" s="287"/>
      <c r="F31" s="287"/>
      <c r="G31" s="287"/>
      <c r="H31" s="287"/>
      <c r="I31" s="287"/>
      <c r="K31" s="78"/>
      <c r="L31" s="78"/>
      <c r="M31" s="78"/>
      <c r="N31" s="78"/>
      <c r="O31" s="78"/>
    </row>
    <row r="32" spans="2:15">
      <c r="B32" s="30" t="s">
        <v>327</v>
      </c>
      <c r="C32" s="11">
        <f t="shared" si="3"/>
        <v>0</v>
      </c>
      <c r="D32" s="11">
        <f t="shared" si="2"/>
        <v>0</v>
      </c>
      <c r="E32" s="287"/>
      <c r="F32" s="287"/>
      <c r="G32" s="287"/>
      <c r="H32" s="287"/>
      <c r="I32" s="287"/>
      <c r="K32" s="78"/>
      <c r="L32" s="78"/>
      <c r="M32" s="78"/>
      <c r="N32" s="78"/>
      <c r="O32" s="78"/>
    </row>
    <row r="33" spans="2:15">
      <c r="B33" s="30" t="s">
        <v>327</v>
      </c>
      <c r="C33" s="11">
        <f t="shared" si="3"/>
        <v>0</v>
      </c>
      <c r="D33" s="11">
        <f t="shared" si="2"/>
        <v>0</v>
      </c>
      <c r="E33" s="287"/>
      <c r="F33" s="287"/>
      <c r="G33" s="287"/>
      <c r="H33" s="287"/>
      <c r="I33" s="287"/>
      <c r="K33" s="78"/>
      <c r="L33" s="78"/>
      <c r="M33" s="78"/>
      <c r="N33" s="78"/>
      <c r="O33" s="78"/>
    </row>
    <row r="34" spans="2:15">
      <c r="B34" s="30" t="s">
        <v>327</v>
      </c>
      <c r="C34" s="11">
        <f t="shared" si="3"/>
        <v>0</v>
      </c>
      <c r="D34" s="11">
        <f t="shared" si="2"/>
        <v>0</v>
      </c>
      <c r="E34" s="287"/>
      <c r="F34" s="287"/>
      <c r="G34" s="287"/>
      <c r="H34" s="287"/>
      <c r="I34" s="287"/>
      <c r="K34" s="78"/>
      <c r="L34" s="78"/>
      <c r="M34" s="78"/>
      <c r="N34" s="78"/>
      <c r="O34" s="78"/>
    </row>
    <row r="35" spans="2:15">
      <c r="B35" s="30" t="s">
        <v>327</v>
      </c>
      <c r="C35" s="11">
        <f t="shared" si="3"/>
        <v>0</v>
      </c>
      <c r="D35" s="11">
        <f t="shared" si="2"/>
        <v>0</v>
      </c>
      <c r="E35" s="287"/>
      <c r="F35" s="287"/>
      <c r="G35" s="287"/>
      <c r="H35" s="287"/>
      <c r="I35" s="287"/>
      <c r="K35" s="78"/>
      <c r="L35" s="78"/>
      <c r="M35" s="78"/>
      <c r="N35" s="78"/>
      <c r="O35" s="78"/>
    </row>
    <row r="36" spans="2:15">
      <c r="B36" s="286" t="s">
        <v>328</v>
      </c>
      <c r="C36" s="13">
        <f t="shared" si="3"/>
        <v>0</v>
      </c>
      <c r="D36" s="13">
        <f t="shared" si="2"/>
        <v>0</v>
      </c>
      <c r="E36" s="502">
        <f>SUM(E26:E30)</f>
        <v>0</v>
      </c>
      <c r="F36" s="502">
        <f t="shared" ref="F36:I36" si="4">SUM(F26:F30)</f>
        <v>0</v>
      </c>
      <c r="G36" s="502">
        <f t="shared" si="4"/>
        <v>0</v>
      </c>
      <c r="H36" s="502">
        <f t="shared" si="4"/>
        <v>0</v>
      </c>
      <c r="I36" s="502">
        <f t="shared" si="4"/>
        <v>0</v>
      </c>
    </row>
    <row r="37" spans="2:15">
      <c r="B37" s="286" t="s">
        <v>329</v>
      </c>
      <c r="C37" s="13">
        <f t="shared" si="3"/>
        <v>0</v>
      </c>
      <c r="D37" s="13">
        <f t="shared" si="2"/>
        <v>0</v>
      </c>
      <c r="E37" s="13">
        <f>SUM(E26:E35)</f>
        <v>0</v>
      </c>
      <c r="F37" s="13">
        <f t="shared" ref="F37:I37" si="5">SUM(F26:F35)</f>
        <v>0</v>
      </c>
      <c r="G37" s="13">
        <f t="shared" si="5"/>
        <v>0</v>
      </c>
      <c r="H37" s="13">
        <f t="shared" si="5"/>
        <v>0</v>
      </c>
      <c r="I37" s="13">
        <f t="shared" si="5"/>
        <v>0</v>
      </c>
    </row>
    <row r="40" spans="2:15">
      <c r="B40" s="35" t="s">
        <v>105</v>
      </c>
      <c r="C40" s="37" t="s">
        <v>325</v>
      </c>
      <c r="D40" s="37" t="s">
        <v>326</v>
      </c>
      <c r="E40" s="91">
        <f>start_year</f>
        <v>2025</v>
      </c>
      <c r="F40" s="91">
        <f>E40+1</f>
        <v>2026</v>
      </c>
      <c r="G40" s="91">
        <f t="shared" ref="G40:I40" si="6">F40+1</f>
        <v>2027</v>
      </c>
      <c r="H40" s="91">
        <f t="shared" si="6"/>
        <v>2028</v>
      </c>
      <c r="I40" s="91">
        <f t="shared" si="6"/>
        <v>2029</v>
      </c>
    </row>
    <row r="41" spans="2:15">
      <c r="B41" s="30" t="s">
        <v>265</v>
      </c>
      <c r="C41" s="11">
        <f>SUM(E41:I41)</f>
        <v>0</v>
      </c>
      <c r="D41" s="11">
        <f t="shared" ref="D41:D52" si="7">E41+NPV(fdr_nem_áll,F41:I41)</f>
        <v>0</v>
      </c>
      <c r="E41" s="287"/>
      <c r="F41" s="287"/>
      <c r="G41" s="287"/>
      <c r="H41" s="287"/>
      <c r="I41" s="287"/>
    </row>
    <row r="42" spans="2:15">
      <c r="B42" s="30" t="s">
        <v>269</v>
      </c>
      <c r="C42" s="11">
        <f t="shared" ref="C42:C52" si="8">SUM(E42:I42)</f>
        <v>0</v>
      </c>
      <c r="D42" s="11">
        <f t="shared" si="7"/>
        <v>0</v>
      </c>
      <c r="E42" s="287"/>
      <c r="F42" s="287"/>
      <c r="G42" s="287"/>
      <c r="H42" s="287"/>
      <c r="I42" s="287"/>
    </row>
    <row r="43" spans="2:15" ht="27.6">
      <c r="B43" s="30" t="s">
        <v>276</v>
      </c>
      <c r="C43" s="11">
        <f t="shared" si="8"/>
        <v>0</v>
      </c>
      <c r="D43" s="11">
        <f t="shared" si="7"/>
        <v>0</v>
      </c>
      <c r="E43" s="287"/>
      <c r="F43" s="287"/>
      <c r="G43" s="287"/>
      <c r="H43" s="287"/>
      <c r="I43" s="287"/>
    </row>
    <row r="44" spans="2:15">
      <c r="B44" s="30" t="s">
        <v>282</v>
      </c>
      <c r="C44" s="11">
        <f t="shared" si="8"/>
        <v>0</v>
      </c>
      <c r="D44" s="11">
        <f t="shared" si="7"/>
        <v>0</v>
      </c>
      <c r="E44" s="287"/>
      <c r="F44" s="287"/>
      <c r="G44" s="287"/>
      <c r="H44" s="287"/>
      <c r="I44" s="287"/>
    </row>
    <row r="45" spans="2:15">
      <c r="B45" s="30" t="s">
        <v>286</v>
      </c>
      <c r="C45" s="11">
        <f t="shared" si="8"/>
        <v>0</v>
      </c>
      <c r="D45" s="11">
        <f t="shared" si="7"/>
        <v>0</v>
      </c>
      <c r="E45" s="287"/>
      <c r="F45" s="287"/>
      <c r="G45" s="287"/>
      <c r="H45" s="287"/>
      <c r="I45" s="287"/>
    </row>
    <row r="46" spans="2:15">
      <c r="B46" s="30" t="s">
        <v>287</v>
      </c>
      <c r="C46" s="11">
        <f t="shared" si="8"/>
        <v>0</v>
      </c>
      <c r="D46" s="11">
        <f t="shared" si="7"/>
        <v>0</v>
      </c>
      <c r="E46" s="287"/>
      <c r="F46" s="287"/>
      <c r="G46" s="287"/>
      <c r="H46" s="287"/>
      <c r="I46" s="287"/>
    </row>
    <row r="47" spans="2:15">
      <c r="B47" s="30" t="s">
        <v>327</v>
      </c>
      <c r="C47" s="11">
        <f t="shared" si="8"/>
        <v>0</v>
      </c>
      <c r="D47" s="11">
        <f t="shared" si="7"/>
        <v>0</v>
      </c>
      <c r="E47" s="287"/>
      <c r="F47" s="287"/>
      <c r="G47" s="287"/>
      <c r="H47" s="287"/>
      <c r="I47" s="287"/>
    </row>
    <row r="48" spans="2:15">
      <c r="B48" s="30" t="s">
        <v>327</v>
      </c>
      <c r="C48" s="11">
        <f t="shared" si="8"/>
        <v>0</v>
      </c>
      <c r="D48" s="11">
        <f t="shared" si="7"/>
        <v>0</v>
      </c>
      <c r="E48" s="287"/>
      <c r="F48" s="287"/>
      <c r="G48" s="287"/>
      <c r="H48" s="287"/>
      <c r="I48" s="287"/>
    </row>
    <row r="49" spans="2:9">
      <c r="B49" s="30" t="s">
        <v>327</v>
      </c>
      <c r="C49" s="11">
        <f t="shared" si="8"/>
        <v>0</v>
      </c>
      <c r="D49" s="11">
        <f t="shared" si="7"/>
        <v>0</v>
      </c>
      <c r="E49" s="287"/>
      <c r="F49" s="287"/>
      <c r="G49" s="287"/>
      <c r="H49" s="287"/>
      <c r="I49" s="287"/>
    </row>
    <row r="50" spans="2:9">
      <c r="B50" s="30" t="s">
        <v>327</v>
      </c>
      <c r="C50" s="11">
        <f t="shared" si="8"/>
        <v>0</v>
      </c>
      <c r="D50" s="11">
        <f t="shared" si="7"/>
        <v>0</v>
      </c>
      <c r="E50" s="287"/>
      <c r="F50" s="287"/>
      <c r="G50" s="287"/>
      <c r="H50" s="287"/>
      <c r="I50" s="287"/>
    </row>
    <row r="51" spans="2:9">
      <c r="B51" s="286" t="s">
        <v>328</v>
      </c>
      <c r="C51" s="13">
        <f t="shared" si="8"/>
        <v>0</v>
      </c>
      <c r="D51" s="13">
        <f t="shared" si="7"/>
        <v>0</v>
      </c>
      <c r="E51" s="502">
        <v>0</v>
      </c>
      <c r="F51" s="502">
        <v>0</v>
      </c>
      <c r="G51" s="502">
        <v>0</v>
      </c>
      <c r="H51" s="502">
        <v>0</v>
      </c>
      <c r="I51" s="502">
        <v>0</v>
      </c>
    </row>
    <row r="52" spans="2:9">
      <c r="B52" s="286" t="s">
        <v>329</v>
      </c>
      <c r="C52" s="13">
        <f t="shared" si="8"/>
        <v>0</v>
      </c>
      <c r="D52" s="13">
        <f t="shared" si="7"/>
        <v>0</v>
      </c>
      <c r="E52" s="13">
        <f>SUM(E41:E50)</f>
        <v>0</v>
      </c>
      <c r="F52" s="13">
        <f t="shared" ref="F52:I52" si="9">SUM(F41:F50)</f>
        <v>0</v>
      </c>
      <c r="G52" s="13">
        <f t="shared" si="9"/>
        <v>0</v>
      </c>
      <c r="H52" s="13">
        <f t="shared" si="9"/>
        <v>0</v>
      </c>
      <c r="I52" s="13">
        <f t="shared" si="9"/>
        <v>0</v>
      </c>
    </row>
    <row r="55" spans="2:9" ht="27.6">
      <c r="B55" s="35" t="s">
        <v>331</v>
      </c>
      <c r="C55" s="37" t="s">
        <v>325</v>
      </c>
      <c r="D55" s="37" t="s">
        <v>326</v>
      </c>
      <c r="E55" s="91">
        <f>start_year</f>
        <v>2025</v>
      </c>
      <c r="F55" s="91">
        <f>E55+1</f>
        <v>2026</v>
      </c>
      <c r="G55" s="91">
        <f t="shared" ref="G55:I55" si="10">F55+1</f>
        <v>2027</v>
      </c>
      <c r="H55" s="91">
        <f t="shared" si="10"/>
        <v>2028</v>
      </c>
      <c r="I55" s="91">
        <f t="shared" si="10"/>
        <v>2029</v>
      </c>
    </row>
    <row r="56" spans="2:9">
      <c r="B56" s="30" t="s">
        <v>265</v>
      </c>
      <c r="C56" s="11">
        <f>SUM(E56:I56)</f>
        <v>0</v>
      </c>
      <c r="D56" s="11">
        <f t="shared" ref="D56:D67" si="11">E56+NPV(fdr_nem_áll,F56:I56)</f>
        <v>0</v>
      </c>
      <c r="E56" s="11">
        <f t="shared" ref="E56:I65" si="12">E26+E41</f>
        <v>0</v>
      </c>
      <c r="F56" s="11">
        <f t="shared" si="12"/>
        <v>0</v>
      </c>
      <c r="G56" s="11">
        <f t="shared" si="12"/>
        <v>0</v>
      </c>
      <c r="H56" s="11">
        <f t="shared" si="12"/>
        <v>0</v>
      </c>
      <c r="I56" s="11">
        <f t="shared" si="12"/>
        <v>0</v>
      </c>
    </row>
    <row r="57" spans="2:9">
      <c r="B57" s="30" t="s">
        <v>269</v>
      </c>
      <c r="C57" s="11">
        <f t="shared" ref="C57:C67" si="13">SUM(E57:I57)</f>
        <v>0</v>
      </c>
      <c r="D57" s="11">
        <f t="shared" si="11"/>
        <v>0</v>
      </c>
      <c r="E57" s="11">
        <f t="shared" si="12"/>
        <v>0</v>
      </c>
      <c r="F57" s="11">
        <f t="shared" si="12"/>
        <v>0</v>
      </c>
      <c r="G57" s="11">
        <f t="shared" si="12"/>
        <v>0</v>
      </c>
      <c r="H57" s="11">
        <f t="shared" si="12"/>
        <v>0</v>
      </c>
      <c r="I57" s="11">
        <f t="shared" si="12"/>
        <v>0</v>
      </c>
    </row>
    <row r="58" spans="2:9" ht="27.6">
      <c r="B58" s="30" t="s">
        <v>276</v>
      </c>
      <c r="C58" s="11">
        <f t="shared" si="13"/>
        <v>0</v>
      </c>
      <c r="D58" s="11">
        <f t="shared" si="11"/>
        <v>0</v>
      </c>
      <c r="E58" s="11">
        <f t="shared" si="12"/>
        <v>0</v>
      </c>
      <c r="F58" s="11">
        <f t="shared" si="12"/>
        <v>0</v>
      </c>
      <c r="G58" s="11">
        <f t="shared" si="12"/>
        <v>0</v>
      </c>
      <c r="H58" s="11">
        <f t="shared" si="12"/>
        <v>0</v>
      </c>
      <c r="I58" s="11">
        <f t="shared" si="12"/>
        <v>0</v>
      </c>
    </row>
    <row r="59" spans="2:9">
      <c r="B59" s="30" t="s">
        <v>282</v>
      </c>
      <c r="C59" s="11">
        <f t="shared" si="13"/>
        <v>0</v>
      </c>
      <c r="D59" s="11">
        <f t="shared" si="11"/>
        <v>0</v>
      </c>
      <c r="E59" s="11">
        <f t="shared" si="12"/>
        <v>0</v>
      </c>
      <c r="F59" s="11">
        <f t="shared" si="12"/>
        <v>0</v>
      </c>
      <c r="G59" s="11">
        <f t="shared" si="12"/>
        <v>0</v>
      </c>
      <c r="H59" s="11">
        <f t="shared" si="12"/>
        <v>0</v>
      </c>
      <c r="I59" s="11">
        <f t="shared" si="12"/>
        <v>0</v>
      </c>
    </row>
    <row r="60" spans="2:9">
      <c r="B60" s="30" t="s">
        <v>286</v>
      </c>
      <c r="C60" s="11">
        <f t="shared" si="13"/>
        <v>0</v>
      </c>
      <c r="D60" s="11">
        <f t="shared" si="11"/>
        <v>0</v>
      </c>
      <c r="E60" s="11">
        <f t="shared" si="12"/>
        <v>0</v>
      </c>
      <c r="F60" s="11">
        <f t="shared" si="12"/>
        <v>0</v>
      </c>
      <c r="G60" s="11">
        <f t="shared" si="12"/>
        <v>0</v>
      </c>
      <c r="H60" s="11">
        <f t="shared" si="12"/>
        <v>0</v>
      </c>
      <c r="I60" s="11">
        <f t="shared" si="12"/>
        <v>0</v>
      </c>
    </row>
    <row r="61" spans="2:9">
      <c r="B61" s="30" t="s">
        <v>287</v>
      </c>
      <c r="C61" s="11">
        <f t="shared" si="13"/>
        <v>0</v>
      </c>
      <c r="D61" s="11">
        <f t="shared" si="11"/>
        <v>0</v>
      </c>
      <c r="E61" s="11">
        <f t="shared" si="12"/>
        <v>0</v>
      </c>
      <c r="F61" s="11">
        <f t="shared" si="12"/>
        <v>0</v>
      </c>
      <c r="G61" s="11">
        <f t="shared" si="12"/>
        <v>0</v>
      </c>
      <c r="H61" s="11">
        <f t="shared" si="12"/>
        <v>0</v>
      </c>
      <c r="I61" s="11">
        <f t="shared" si="12"/>
        <v>0</v>
      </c>
    </row>
    <row r="62" spans="2:9">
      <c r="B62" s="30" t="s">
        <v>327</v>
      </c>
      <c r="C62" s="11">
        <f t="shared" si="13"/>
        <v>0</v>
      </c>
      <c r="D62" s="11">
        <f t="shared" si="11"/>
        <v>0</v>
      </c>
      <c r="E62" s="11">
        <f t="shared" si="12"/>
        <v>0</v>
      </c>
      <c r="F62" s="11">
        <f t="shared" si="12"/>
        <v>0</v>
      </c>
      <c r="G62" s="11">
        <f t="shared" si="12"/>
        <v>0</v>
      </c>
      <c r="H62" s="11">
        <f t="shared" si="12"/>
        <v>0</v>
      </c>
      <c r="I62" s="11">
        <f t="shared" si="12"/>
        <v>0</v>
      </c>
    </row>
    <row r="63" spans="2:9">
      <c r="B63" s="30" t="s">
        <v>327</v>
      </c>
      <c r="C63" s="11">
        <f t="shared" si="13"/>
        <v>0</v>
      </c>
      <c r="D63" s="11">
        <f t="shared" si="11"/>
        <v>0</v>
      </c>
      <c r="E63" s="11">
        <f t="shared" si="12"/>
        <v>0</v>
      </c>
      <c r="F63" s="11">
        <f t="shared" si="12"/>
        <v>0</v>
      </c>
      <c r="G63" s="11">
        <f t="shared" si="12"/>
        <v>0</v>
      </c>
      <c r="H63" s="11">
        <f t="shared" si="12"/>
        <v>0</v>
      </c>
      <c r="I63" s="11">
        <f t="shared" si="12"/>
        <v>0</v>
      </c>
    </row>
    <row r="64" spans="2:9">
      <c r="B64" s="30" t="s">
        <v>327</v>
      </c>
      <c r="C64" s="11">
        <f t="shared" si="13"/>
        <v>0</v>
      </c>
      <c r="D64" s="11">
        <f t="shared" si="11"/>
        <v>0</v>
      </c>
      <c r="E64" s="11">
        <f t="shared" si="12"/>
        <v>0</v>
      </c>
      <c r="F64" s="11">
        <f t="shared" si="12"/>
        <v>0</v>
      </c>
      <c r="G64" s="11">
        <f t="shared" si="12"/>
        <v>0</v>
      </c>
      <c r="H64" s="11">
        <f t="shared" si="12"/>
        <v>0</v>
      </c>
      <c r="I64" s="11">
        <f t="shared" si="12"/>
        <v>0</v>
      </c>
    </row>
    <row r="65" spans="1:34">
      <c r="B65" s="30" t="s">
        <v>327</v>
      </c>
      <c r="C65" s="11">
        <f t="shared" si="13"/>
        <v>0</v>
      </c>
      <c r="D65" s="11">
        <f t="shared" si="11"/>
        <v>0</v>
      </c>
      <c r="E65" s="11">
        <f t="shared" si="12"/>
        <v>0</v>
      </c>
      <c r="F65" s="11">
        <f t="shared" si="12"/>
        <v>0</v>
      </c>
      <c r="G65" s="11">
        <f t="shared" si="12"/>
        <v>0</v>
      </c>
      <c r="H65" s="11">
        <f t="shared" si="12"/>
        <v>0</v>
      </c>
      <c r="I65" s="11">
        <f t="shared" si="12"/>
        <v>0</v>
      </c>
    </row>
    <row r="66" spans="1:34">
      <c r="B66" s="286" t="s">
        <v>328</v>
      </c>
      <c r="C66" s="13">
        <f t="shared" si="13"/>
        <v>0</v>
      </c>
      <c r="D66" s="13">
        <f t="shared" si="11"/>
        <v>0</v>
      </c>
      <c r="E66" s="13">
        <f>SUM(E56:E60,E62:E65)</f>
        <v>0</v>
      </c>
      <c r="F66" s="13">
        <f t="shared" ref="F66:I66" si="14">SUM(F56:F60,F62:F65)</f>
        <v>0</v>
      </c>
      <c r="G66" s="13">
        <f t="shared" si="14"/>
        <v>0</v>
      </c>
      <c r="H66" s="13">
        <f t="shared" si="14"/>
        <v>0</v>
      </c>
      <c r="I66" s="13">
        <f t="shared" si="14"/>
        <v>0</v>
      </c>
    </row>
    <row r="67" spans="1:34">
      <c r="B67" s="286" t="s">
        <v>329</v>
      </c>
      <c r="C67" s="13">
        <f t="shared" si="13"/>
        <v>0</v>
      </c>
      <c r="D67" s="13">
        <f t="shared" si="11"/>
        <v>0</v>
      </c>
      <c r="E67" s="13">
        <f>SUM(E56:E65)</f>
        <v>0</v>
      </c>
      <c r="F67" s="13">
        <f t="shared" ref="F67:I67" si="15">SUM(F56:F65)</f>
        <v>0</v>
      </c>
      <c r="G67" s="13">
        <f t="shared" si="15"/>
        <v>0</v>
      </c>
      <c r="H67" s="13">
        <f t="shared" si="15"/>
        <v>0</v>
      </c>
      <c r="I67" s="13">
        <f t="shared" si="15"/>
        <v>0</v>
      </c>
    </row>
    <row r="70" spans="1:34" s="83" customFormat="1">
      <c r="A70" s="493"/>
      <c r="B70" s="82" t="s">
        <v>301</v>
      </c>
    </row>
    <row r="72" spans="1:34">
      <c r="B72" s="495" t="s">
        <v>408</v>
      </c>
      <c r="C72" s="496"/>
      <c r="D72" s="496"/>
      <c r="E72" s="496"/>
      <c r="F72" s="496"/>
      <c r="G72" s="496"/>
      <c r="H72" s="496"/>
      <c r="I72" s="496"/>
      <c r="J72" s="496"/>
      <c r="K72" s="496"/>
      <c r="L72" s="496"/>
      <c r="M72" s="496"/>
      <c r="N72" s="496"/>
      <c r="O72" s="496"/>
      <c r="P72" s="496"/>
      <c r="Q72" s="496"/>
      <c r="R72" s="496"/>
      <c r="S72" s="496"/>
      <c r="T72" s="496"/>
      <c r="U72" s="496"/>
      <c r="V72" s="496"/>
      <c r="W72" s="496"/>
      <c r="X72" s="496"/>
      <c r="Y72" s="496"/>
      <c r="Z72" s="496"/>
      <c r="AA72" s="496"/>
      <c r="AB72" s="496"/>
      <c r="AC72" s="496"/>
      <c r="AD72" s="496"/>
      <c r="AE72" s="496"/>
      <c r="AF72" s="496"/>
      <c r="AG72" s="496"/>
      <c r="AH72" s="496"/>
    </row>
    <row r="74" spans="1:34">
      <c r="B74" s="37" t="s">
        <v>479</v>
      </c>
      <c r="C74" s="91" t="s">
        <v>325</v>
      </c>
      <c r="D74" s="91" t="s">
        <v>326</v>
      </c>
      <c r="E74" s="91">
        <f>start_year</f>
        <v>2025</v>
      </c>
      <c r="F74" s="91">
        <f t="shared" ref="F74:AH74" si="16">E74+1</f>
        <v>2026</v>
      </c>
      <c r="G74" s="91">
        <f t="shared" si="16"/>
        <v>2027</v>
      </c>
      <c r="H74" s="91">
        <f t="shared" si="16"/>
        <v>2028</v>
      </c>
      <c r="I74" s="91">
        <f t="shared" si="16"/>
        <v>2029</v>
      </c>
      <c r="J74" s="91">
        <f t="shared" si="16"/>
        <v>2030</v>
      </c>
      <c r="K74" s="91">
        <f t="shared" si="16"/>
        <v>2031</v>
      </c>
      <c r="L74" s="91">
        <f t="shared" si="16"/>
        <v>2032</v>
      </c>
      <c r="M74" s="91">
        <f t="shared" si="16"/>
        <v>2033</v>
      </c>
      <c r="N74" s="91">
        <f t="shared" si="16"/>
        <v>2034</v>
      </c>
      <c r="O74" s="91">
        <f t="shared" si="16"/>
        <v>2035</v>
      </c>
      <c r="P74" s="91">
        <f t="shared" si="16"/>
        <v>2036</v>
      </c>
      <c r="Q74" s="91">
        <f t="shared" si="16"/>
        <v>2037</v>
      </c>
      <c r="R74" s="91">
        <f t="shared" si="16"/>
        <v>2038</v>
      </c>
      <c r="S74" s="91">
        <f t="shared" si="16"/>
        <v>2039</v>
      </c>
      <c r="T74" s="91">
        <f t="shared" si="16"/>
        <v>2040</v>
      </c>
      <c r="U74" s="91">
        <f t="shared" si="16"/>
        <v>2041</v>
      </c>
      <c r="V74" s="91">
        <f t="shared" si="16"/>
        <v>2042</v>
      </c>
      <c r="W74" s="91">
        <f t="shared" si="16"/>
        <v>2043</v>
      </c>
      <c r="X74" s="91">
        <f t="shared" si="16"/>
        <v>2044</v>
      </c>
      <c r="Y74" s="91">
        <f t="shared" si="16"/>
        <v>2045</v>
      </c>
      <c r="Z74" s="91">
        <f t="shared" si="16"/>
        <v>2046</v>
      </c>
      <c r="AA74" s="91">
        <f t="shared" si="16"/>
        <v>2047</v>
      </c>
      <c r="AB74" s="91">
        <f t="shared" si="16"/>
        <v>2048</v>
      </c>
      <c r="AC74" s="91">
        <f t="shared" si="16"/>
        <v>2049</v>
      </c>
      <c r="AD74" s="91">
        <f t="shared" si="16"/>
        <v>2050</v>
      </c>
      <c r="AE74" s="91">
        <f t="shared" si="16"/>
        <v>2051</v>
      </c>
      <c r="AF74" s="91">
        <f t="shared" si="16"/>
        <v>2052</v>
      </c>
      <c r="AG74" s="91">
        <f t="shared" si="16"/>
        <v>2053</v>
      </c>
      <c r="AH74" s="91">
        <f t="shared" si="16"/>
        <v>2054</v>
      </c>
    </row>
    <row r="75" spans="1:34">
      <c r="B75" s="30" t="s">
        <v>337</v>
      </c>
      <c r="C75" s="11">
        <f>SUM(E75:AH75)</f>
        <v>0</v>
      </c>
      <c r="D75" s="11">
        <f>E75+NPV(fdr_nem_áll,F75:AH75)</f>
        <v>0</v>
      </c>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row>
    <row r="77" spans="1:34">
      <c r="B77" s="495" t="s">
        <v>414</v>
      </c>
      <c r="C77" s="496"/>
      <c r="D77" s="496"/>
      <c r="E77" s="496"/>
      <c r="F77" s="496"/>
      <c r="G77" s="496"/>
      <c r="H77" s="496"/>
      <c r="I77" s="496"/>
      <c r="J77" s="496"/>
      <c r="K77" s="496"/>
      <c r="L77" s="496"/>
      <c r="M77" s="496"/>
      <c r="N77" s="496"/>
      <c r="O77" s="496"/>
      <c r="P77" s="496"/>
      <c r="Q77" s="496"/>
      <c r="R77" s="496"/>
      <c r="S77" s="496"/>
      <c r="T77" s="496"/>
      <c r="U77" s="496"/>
      <c r="V77" s="496"/>
      <c r="W77" s="496"/>
      <c r="X77" s="496"/>
      <c r="Y77" s="496"/>
      <c r="Z77" s="496"/>
      <c r="AA77" s="496"/>
      <c r="AB77" s="496"/>
      <c r="AC77" s="496"/>
      <c r="AD77" s="496"/>
      <c r="AE77" s="496"/>
      <c r="AF77" s="496"/>
      <c r="AG77" s="496"/>
      <c r="AH77" s="496"/>
    </row>
    <row r="79" spans="1:34">
      <c r="B79" s="37" t="s">
        <v>479</v>
      </c>
      <c r="C79" s="91" t="s">
        <v>325</v>
      </c>
      <c r="D79" s="91" t="s">
        <v>326</v>
      </c>
      <c r="E79" s="91">
        <f>start_year</f>
        <v>2025</v>
      </c>
      <c r="F79" s="91">
        <f t="shared" ref="F79:AH79" si="17">E79+1</f>
        <v>2026</v>
      </c>
      <c r="G79" s="91">
        <f t="shared" si="17"/>
        <v>2027</v>
      </c>
      <c r="H79" s="91">
        <f t="shared" si="17"/>
        <v>2028</v>
      </c>
      <c r="I79" s="91">
        <f t="shared" si="17"/>
        <v>2029</v>
      </c>
      <c r="J79" s="91">
        <f t="shared" si="17"/>
        <v>2030</v>
      </c>
      <c r="K79" s="91">
        <f t="shared" si="17"/>
        <v>2031</v>
      </c>
      <c r="L79" s="91">
        <f t="shared" si="17"/>
        <v>2032</v>
      </c>
      <c r="M79" s="91">
        <f t="shared" si="17"/>
        <v>2033</v>
      </c>
      <c r="N79" s="91">
        <f t="shared" si="17"/>
        <v>2034</v>
      </c>
      <c r="O79" s="91">
        <f t="shared" si="17"/>
        <v>2035</v>
      </c>
      <c r="P79" s="91">
        <f t="shared" si="17"/>
        <v>2036</v>
      </c>
      <c r="Q79" s="91">
        <f t="shared" si="17"/>
        <v>2037</v>
      </c>
      <c r="R79" s="91">
        <f t="shared" si="17"/>
        <v>2038</v>
      </c>
      <c r="S79" s="91">
        <f t="shared" si="17"/>
        <v>2039</v>
      </c>
      <c r="T79" s="91">
        <f t="shared" si="17"/>
        <v>2040</v>
      </c>
      <c r="U79" s="91">
        <f t="shared" si="17"/>
        <v>2041</v>
      </c>
      <c r="V79" s="91">
        <f t="shared" si="17"/>
        <v>2042</v>
      </c>
      <c r="W79" s="91">
        <f t="shared" si="17"/>
        <v>2043</v>
      </c>
      <c r="X79" s="91">
        <f t="shared" si="17"/>
        <v>2044</v>
      </c>
      <c r="Y79" s="91">
        <f t="shared" si="17"/>
        <v>2045</v>
      </c>
      <c r="Z79" s="91">
        <f t="shared" si="17"/>
        <v>2046</v>
      </c>
      <c r="AA79" s="91">
        <f t="shared" si="17"/>
        <v>2047</v>
      </c>
      <c r="AB79" s="91">
        <f t="shared" si="17"/>
        <v>2048</v>
      </c>
      <c r="AC79" s="91">
        <f t="shared" si="17"/>
        <v>2049</v>
      </c>
      <c r="AD79" s="91">
        <f t="shared" si="17"/>
        <v>2050</v>
      </c>
      <c r="AE79" s="91">
        <f t="shared" si="17"/>
        <v>2051</v>
      </c>
      <c r="AF79" s="91">
        <f t="shared" si="17"/>
        <v>2052</v>
      </c>
      <c r="AG79" s="91">
        <f t="shared" si="17"/>
        <v>2053</v>
      </c>
      <c r="AH79" s="91">
        <f t="shared" si="17"/>
        <v>2054</v>
      </c>
    </row>
    <row r="80" spans="1:34">
      <c r="B80" s="30" t="s">
        <v>338</v>
      </c>
      <c r="C80" s="11">
        <f>SUM(E80:AH80)</f>
        <v>0</v>
      </c>
      <c r="D80" s="11">
        <f>E80+NPV(fdr_nem_áll,F80:AH80)</f>
        <v>0</v>
      </c>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row>
    <row r="83" spans="1:34" s="83" customFormat="1">
      <c r="A83" s="493"/>
      <c r="B83" s="82" t="s">
        <v>509</v>
      </c>
    </row>
    <row r="85" spans="1:34">
      <c r="B85" s="37" t="s">
        <v>479</v>
      </c>
      <c r="C85" s="91" t="s">
        <v>325</v>
      </c>
      <c r="D85" s="91" t="s">
        <v>326</v>
      </c>
      <c r="E85" s="91">
        <f>start_year</f>
        <v>2025</v>
      </c>
      <c r="F85" s="91">
        <f t="shared" ref="F85:AH85" si="18">E85+1</f>
        <v>2026</v>
      </c>
      <c r="G85" s="91">
        <f t="shared" si="18"/>
        <v>2027</v>
      </c>
      <c r="H85" s="91">
        <f t="shared" si="18"/>
        <v>2028</v>
      </c>
      <c r="I85" s="91">
        <f t="shared" si="18"/>
        <v>2029</v>
      </c>
      <c r="J85" s="91">
        <f t="shared" si="18"/>
        <v>2030</v>
      </c>
      <c r="K85" s="91">
        <f t="shared" si="18"/>
        <v>2031</v>
      </c>
      <c r="L85" s="91">
        <f t="shared" si="18"/>
        <v>2032</v>
      </c>
      <c r="M85" s="91">
        <f t="shared" si="18"/>
        <v>2033</v>
      </c>
      <c r="N85" s="91">
        <f t="shared" si="18"/>
        <v>2034</v>
      </c>
      <c r="O85" s="91">
        <f t="shared" si="18"/>
        <v>2035</v>
      </c>
      <c r="P85" s="91">
        <f t="shared" si="18"/>
        <v>2036</v>
      </c>
      <c r="Q85" s="91">
        <f t="shared" si="18"/>
        <v>2037</v>
      </c>
      <c r="R85" s="91">
        <f t="shared" si="18"/>
        <v>2038</v>
      </c>
      <c r="S85" s="91">
        <f t="shared" si="18"/>
        <v>2039</v>
      </c>
      <c r="T85" s="91">
        <f t="shared" si="18"/>
        <v>2040</v>
      </c>
      <c r="U85" s="91">
        <f t="shared" si="18"/>
        <v>2041</v>
      </c>
      <c r="V85" s="91">
        <f t="shared" si="18"/>
        <v>2042</v>
      </c>
      <c r="W85" s="91">
        <f t="shared" si="18"/>
        <v>2043</v>
      </c>
      <c r="X85" s="91">
        <f t="shared" si="18"/>
        <v>2044</v>
      </c>
      <c r="Y85" s="91">
        <f t="shared" si="18"/>
        <v>2045</v>
      </c>
      <c r="Z85" s="91">
        <f t="shared" si="18"/>
        <v>2046</v>
      </c>
      <c r="AA85" s="91">
        <f t="shared" si="18"/>
        <v>2047</v>
      </c>
      <c r="AB85" s="91">
        <f t="shared" si="18"/>
        <v>2048</v>
      </c>
      <c r="AC85" s="91">
        <f t="shared" si="18"/>
        <v>2049</v>
      </c>
      <c r="AD85" s="91">
        <f t="shared" si="18"/>
        <v>2050</v>
      </c>
      <c r="AE85" s="91">
        <f t="shared" si="18"/>
        <v>2051</v>
      </c>
      <c r="AF85" s="91">
        <f t="shared" si="18"/>
        <v>2052</v>
      </c>
      <c r="AG85" s="91">
        <f t="shared" si="18"/>
        <v>2053</v>
      </c>
      <c r="AH85" s="91">
        <f t="shared" si="18"/>
        <v>2054</v>
      </c>
    </row>
    <row r="86" spans="1:34">
      <c r="B86" s="30" t="s">
        <v>511</v>
      </c>
      <c r="C86" s="11">
        <f>SUM(E86:AH86)</f>
        <v>0</v>
      </c>
      <c r="D86" s="11">
        <f>E86+NPV(fdr_nem_áll,F86:AH86)</f>
        <v>0</v>
      </c>
      <c r="E86" s="287"/>
      <c r="F86" s="287"/>
      <c r="G86" s="287"/>
      <c r="H86" s="287"/>
      <c r="I86" s="287"/>
      <c r="J86" s="287"/>
      <c r="K86" s="287"/>
      <c r="L86" s="287"/>
      <c r="M86" s="287"/>
      <c r="N86" s="287"/>
      <c r="O86" s="287"/>
      <c r="P86" s="287"/>
      <c r="Q86" s="287"/>
      <c r="R86" s="287"/>
      <c r="S86" s="287"/>
      <c r="T86" s="287"/>
      <c r="U86" s="287"/>
      <c r="V86" s="287"/>
      <c r="W86" s="287"/>
      <c r="X86" s="287"/>
      <c r="Y86" s="287"/>
      <c r="Z86" s="287"/>
      <c r="AA86" s="287"/>
      <c r="AB86" s="287"/>
      <c r="AC86" s="287"/>
      <c r="AD86" s="287"/>
      <c r="AE86" s="287"/>
      <c r="AF86" s="287"/>
      <c r="AG86" s="287"/>
      <c r="AH86" s="287"/>
    </row>
    <row r="88" spans="1:34">
      <c r="B88" s="37" t="s">
        <v>479</v>
      </c>
      <c r="C88" s="91" t="s">
        <v>325</v>
      </c>
      <c r="D88" s="91" t="s">
        <v>326</v>
      </c>
      <c r="E88" s="91">
        <f>start_year</f>
        <v>2025</v>
      </c>
      <c r="F88" s="91">
        <f t="shared" ref="F88:AH88" si="19">E88+1</f>
        <v>2026</v>
      </c>
      <c r="G88" s="91">
        <f t="shared" si="19"/>
        <v>2027</v>
      </c>
      <c r="H88" s="91">
        <f t="shared" si="19"/>
        <v>2028</v>
      </c>
      <c r="I88" s="91">
        <f t="shared" si="19"/>
        <v>2029</v>
      </c>
      <c r="J88" s="91">
        <f t="shared" si="19"/>
        <v>2030</v>
      </c>
      <c r="K88" s="91">
        <f t="shared" si="19"/>
        <v>2031</v>
      </c>
      <c r="L88" s="91">
        <f t="shared" si="19"/>
        <v>2032</v>
      </c>
      <c r="M88" s="91">
        <f t="shared" si="19"/>
        <v>2033</v>
      </c>
      <c r="N88" s="91">
        <f t="shared" si="19"/>
        <v>2034</v>
      </c>
      <c r="O88" s="91">
        <f t="shared" si="19"/>
        <v>2035</v>
      </c>
      <c r="P88" s="91">
        <f t="shared" si="19"/>
        <v>2036</v>
      </c>
      <c r="Q88" s="91">
        <f t="shared" si="19"/>
        <v>2037</v>
      </c>
      <c r="R88" s="91">
        <f t="shared" si="19"/>
        <v>2038</v>
      </c>
      <c r="S88" s="91">
        <f t="shared" si="19"/>
        <v>2039</v>
      </c>
      <c r="T88" s="91">
        <f t="shared" si="19"/>
        <v>2040</v>
      </c>
      <c r="U88" s="91">
        <f t="shared" si="19"/>
        <v>2041</v>
      </c>
      <c r="V88" s="91">
        <f t="shared" si="19"/>
        <v>2042</v>
      </c>
      <c r="W88" s="91">
        <f t="shared" si="19"/>
        <v>2043</v>
      </c>
      <c r="X88" s="91">
        <f t="shared" si="19"/>
        <v>2044</v>
      </c>
      <c r="Y88" s="91">
        <f t="shared" si="19"/>
        <v>2045</v>
      </c>
      <c r="Z88" s="91">
        <f t="shared" si="19"/>
        <v>2046</v>
      </c>
      <c r="AA88" s="91">
        <f t="shared" si="19"/>
        <v>2047</v>
      </c>
      <c r="AB88" s="91">
        <f t="shared" si="19"/>
        <v>2048</v>
      </c>
      <c r="AC88" s="91">
        <f t="shared" si="19"/>
        <v>2049</v>
      </c>
      <c r="AD88" s="91">
        <f t="shared" si="19"/>
        <v>2050</v>
      </c>
      <c r="AE88" s="91">
        <f t="shared" si="19"/>
        <v>2051</v>
      </c>
      <c r="AF88" s="91">
        <f t="shared" si="19"/>
        <v>2052</v>
      </c>
      <c r="AG88" s="91">
        <f t="shared" si="19"/>
        <v>2053</v>
      </c>
      <c r="AH88" s="91">
        <f t="shared" si="19"/>
        <v>2054</v>
      </c>
    </row>
    <row r="89" spans="1:34">
      <c r="B89" s="30" t="s">
        <v>341</v>
      </c>
      <c r="C89" s="11">
        <f>SUM(E89:AH89)</f>
        <v>0</v>
      </c>
      <c r="D89" s="11">
        <f>E89+NPV(fdr_nem_áll,F89:AH89)</f>
        <v>0</v>
      </c>
      <c r="E89" s="287"/>
      <c r="F89" s="287"/>
      <c r="G89" s="287"/>
      <c r="H89" s="287"/>
      <c r="I89" s="287"/>
      <c r="J89" s="287"/>
      <c r="K89" s="287"/>
      <c r="L89" s="287"/>
      <c r="M89" s="287"/>
      <c r="N89" s="287"/>
      <c r="O89" s="287"/>
      <c r="P89" s="287"/>
      <c r="Q89" s="287"/>
      <c r="R89" s="287"/>
      <c r="S89" s="287"/>
      <c r="T89" s="287"/>
      <c r="U89" s="287"/>
      <c r="V89" s="287"/>
      <c r="W89" s="287"/>
      <c r="X89" s="287"/>
      <c r="Y89" s="287"/>
      <c r="Z89" s="287"/>
      <c r="AA89" s="287"/>
      <c r="AB89" s="287"/>
      <c r="AC89" s="287"/>
      <c r="AD89" s="287"/>
      <c r="AE89" s="287"/>
      <c r="AF89" s="287"/>
      <c r="AG89" s="287"/>
      <c r="AH89" s="287"/>
    </row>
    <row r="92" spans="1:34" s="83" customFormat="1">
      <c r="A92" s="493"/>
      <c r="B92" s="82" t="s">
        <v>312</v>
      </c>
    </row>
    <row r="94" spans="1:34">
      <c r="B94" s="37" t="s">
        <v>312</v>
      </c>
      <c r="C94" s="91" t="s">
        <v>325</v>
      </c>
      <c r="D94" s="91" t="s">
        <v>326</v>
      </c>
      <c r="E94" s="91">
        <f>start_year</f>
        <v>2025</v>
      </c>
      <c r="F94" s="91">
        <f t="shared" ref="F94:AH94" si="20">E94+1</f>
        <v>2026</v>
      </c>
      <c r="G94" s="91">
        <f t="shared" si="20"/>
        <v>2027</v>
      </c>
      <c r="H94" s="91">
        <f t="shared" si="20"/>
        <v>2028</v>
      </c>
      <c r="I94" s="91">
        <f t="shared" si="20"/>
        <v>2029</v>
      </c>
      <c r="J94" s="91">
        <f t="shared" si="20"/>
        <v>2030</v>
      </c>
      <c r="K94" s="91">
        <f t="shared" si="20"/>
        <v>2031</v>
      </c>
      <c r="L94" s="91">
        <f t="shared" si="20"/>
        <v>2032</v>
      </c>
      <c r="M94" s="91">
        <f t="shared" si="20"/>
        <v>2033</v>
      </c>
      <c r="N94" s="91">
        <f t="shared" si="20"/>
        <v>2034</v>
      </c>
      <c r="O94" s="91">
        <f t="shared" si="20"/>
        <v>2035</v>
      </c>
      <c r="P94" s="91">
        <f t="shared" si="20"/>
        <v>2036</v>
      </c>
      <c r="Q94" s="91">
        <f t="shared" si="20"/>
        <v>2037</v>
      </c>
      <c r="R94" s="91">
        <f t="shared" si="20"/>
        <v>2038</v>
      </c>
      <c r="S94" s="91">
        <f t="shared" si="20"/>
        <v>2039</v>
      </c>
      <c r="T94" s="91">
        <f t="shared" si="20"/>
        <v>2040</v>
      </c>
      <c r="U94" s="91">
        <f t="shared" si="20"/>
        <v>2041</v>
      </c>
      <c r="V94" s="91">
        <f t="shared" si="20"/>
        <v>2042</v>
      </c>
      <c r="W94" s="91">
        <f t="shared" si="20"/>
        <v>2043</v>
      </c>
      <c r="X94" s="91">
        <f t="shared" si="20"/>
        <v>2044</v>
      </c>
      <c r="Y94" s="91">
        <f t="shared" si="20"/>
        <v>2045</v>
      </c>
      <c r="Z94" s="91">
        <f t="shared" si="20"/>
        <v>2046</v>
      </c>
      <c r="AA94" s="91">
        <f t="shared" si="20"/>
        <v>2047</v>
      </c>
      <c r="AB94" s="91">
        <f t="shared" si="20"/>
        <v>2048</v>
      </c>
      <c r="AC94" s="91">
        <f t="shared" si="20"/>
        <v>2049</v>
      </c>
      <c r="AD94" s="91">
        <f t="shared" si="20"/>
        <v>2050</v>
      </c>
      <c r="AE94" s="91">
        <f t="shared" si="20"/>
        <v>2051</v>
      </c>
      <c r="AF94" s="91">
        <f t="shared" si="20"/>
        <v>2052</v>
      </c>
      <c r="AG94" s="91">
        <f t="shared" si="20"/>
        <v>2053</v>
      </c>
      <c r="AH94" s="91">
        <f t="shared" si="20"/>
        <v>2054</v>
      </c>
    </row>
    <row r="95" spans="1:34">
      <c r="B95" s="30" t="s">
        <v>314</v>
      </c>
      <c r="C95" s="11">
        <f>SUM(E95:AH95)</f>
        <v>0</v>
      </c>
      <c r="D95" s="11">
        <f>E95+NPV(fdr_nem_áll,F95:AH95)</f>
        <v>0</v>
      </c>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row>
    <row r="96" spans="1:34">
      <c r="B96" s="30" t="s">
        <v>315</v>
      </c>
      <c r="C96" s="11">
        <f>SUM(E96:AH96)</f>
        <v>0</v>
      </c>
      <c r="D96" s="11">
        <f>E96+NPV(fdr_nem_áll,F96:AH96)</f>
        <v>0</v>
      </c>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row>
    <row r="97" spans="1:34">
      <c r="B97" s="30" t="s">
        <v>316</v>
      </c>
      <c r="C97" s="11">
        <f>SUM(E97:AH97)</f>
        <v>0</v>
      </c>
      <c r="D97" s="11">
        <f>E97+NPV(fdr_nem_áll,F97:AH97)</f>
        <v>0</v>
      </c>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row>
    <row r="98" spans="1:34">
      <c r="B98" s="30" t="s">
        <v>317</v>
      </c>
      <c r="C98" s="11">
        <f>SUM(E98:AH98)</f>
        <v>0</v>
      </c>
      <c r="D98" s="11">
        <f>E98+NPV(fdr_nem_áll,F98:AH98)</f>
        <v>0</v>
      </c>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row>
    <row r="99" spans="1:34">
      <c r="B99" s="30" t="s">
        <v>318</v>
      </c>
      <c r="C99" s="11">
        <f>SUM(E99:AH99)</f>
        <v>0</v>
      </c>
      <c r="D99" s="11">
        <f>E99+NPV(fdr_nem_áll,F99:AH99)</f>
        <v>0</v>
      </c>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row>
    <row r="102" spans="1:34" s="83" customFormat="1">
      <c r="A102" s="493"/>
      <c r="B102" s="82" t="s">
        <v>246</v>
      </c>
    </row>
    <row r="103" spans="1:34">
      <c r="B103" s="36"/>
    </row>
    <row r="104" spans="1:34">
      <c r="B104" s="37" t="s">
        <v>246</v>
      </c>
      <c r="C104" s="91">
        <f>last_year</f>
        <v>2044</v>
      </c>
    </row>
    <row r="105" spans="1:34">
      <c r="B105" s="288" t="s">
        <v>332</v>
      </c>
      <c r="C105" s="287"/>
    </row>
    <row r="106" spans="1:34">
      <c r="B106" s="36"/>
    </row>
    <row r="108" spans="1:34" s="499" customFormat="1">
      <c r="A108" s="497"/>
      <c r="B108" s="498" t="s">
        <v>519</v>
      </c>
    </row>
    <row r="110" spans="1:34">
      <c r="B110" s="495" t="s">
        <v>520</v>
      </c>
      <c r="C110" s="496"/>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c r="AE110" s="496"/>
      <c r="AF110" s="496"/>
      <c r="AG110" s="496"/>
      <c r="AH110" s="496"/>
    </row>
    <row r="112" spans="1:34">
      <c r="B112" s="37" t="s">
        <v>335</v>
      </c>
      <c r="C112" s="91" t="s">
        <v>325</v>
      </c>
      <c r="D112" s="91" t="s">
        <v>326</v>
      </c>
      <c r="E112" s="91">
        <f>start_year</f>
        <v>2025</v>
      </c>
      <c r="F112" s="91">
        <f t="shared" ref="F112:AH112" si="21">E112+1</f>
        <v>2026</v>
      </c>
      <c r="G112" s="91">
        <f t="shared" si="21"/>
        <v>2027</v>
      </c>
      <c r="H112" s="91">
        <f t="shared" si="21"/>
        <v>2028</v>
      </c>
      <c r="I112" s="91">
        <f t="shared" si="21"/>
        <v>2029</v>
      </c>
      <c r="J112" s="91">
        <f t="shared" si="21"/>
        <v>2030</v>
      </c>
      <c r="K112" s="91">
        <f t="shared" si="21"/>
        <v>2031</v>
      </c>
      <c r="L112" s="91">
        <f t="shared" si="21"/>
        <v>2032</v>
      </c>
      <c r="M112" s="91">
        <f t="shared" si="21"/>
        <v>2033</v>
      </c>
      <c r="N112" s="91">
        <f t="shared" si="21"/>
        <v>2034</v>
      </c>
      <c r="O112" s="91">
        <f t="shared" si="21"/>
        <v>2035</v>
      </c>
      <c r="P112" s="91">
        <f t="shared" si="21"/>
        <v>2036</v>
      </c>
      <c r="Q112" s="91">
        <f t="shared" si="21"/>
        <v>2037</v>
      </c>
      <c r="R112" s="91">
        <f t="shared" si="21"/>
        <v>2038</v>
      </c>
      <c r="S112" s="91">
        <f t="shared" si="21"/>
        <v>2039</v>
      </c>
      <c r="T112" s="91">
        <f t="shared" si="21"/>
        <v>2040</v>
      </c>
      <c r="U112" s="91">
        <f t="shared" si="21"/>
        <v>2041</v>
      </c>
      <c r="V112" s="91">
        <f t="shared" si="21"/>
        <v>2042</v>
      </c>
      <c r="W112" s="91">
        <f t="shared" si="21"/>
        <v>2043</v>
      </c>
      <c r="X112" s="91">
        <f t="shared" si="21"/>
        <v>2044</v>
      </c>
      <c r="Y112" s="91">
        <f t="shared" si="21"/>
        <v>2045</v>
      </c>
      <c r="Z112" s="91">
        <f t="shared" si="21"/>
        <v>2046</v>
      </c>
      <c r="AA112" s="91">
        <f t="shared" si="21"/>
        <v>2047</v>
      </c>
      <c r="AB112" s="91">
        <f t="shared" si="21"/>
        <v>2048</v>
      </c>
      <c r="AC112" s="91">
        <f t="shared" si="21"/>
        <v>2049</v>
      </c>
      <c r="AD112" s="91">
        <f t="shared" si="21"/>
        <v>2050</v>
      </c>
      <c r="AE112" s="91">
        <f t="shared" si="21"/>
        <v>2051</v>
      </c>
      <c r="AF112" s="91">
        <f t="shared" si="21"/>
        <v>2052</v>
      </c>
      <c r="AG112" s="91">
        <f t="shared" si="21"/>
        <v>2053</v>
      </c>
      <c r="AH112" s="91">
        <f t="shared" si="21"/>
        <v>2054</v>
      </c>
    </row>
    <row r="113" spans="1:34">
      <c r="B113" s="30" t="s">
        <v>336</v>
      </c>
      <c r="C113" s="11">
        <f t="shared" ref="C113:C118" si="22">SUM(E113:AH113)</f>
        <v>0</v>
      </c>
      <c r="D113" s="11">
        <f t="shared" ref="D113:D118" si="23">E113+NPV(fdr_nem_áll,F113:AH113)</f>
        <v>0</v>
      </c>
      <c r="E113" s="85">
        <f>E67</f>
        <v>0</v>
      </c>
      <c r="F113" s="85">
        <f t="shared" ref="F113:I113" si="24">F67</f>
        <v>0</v>
      </c>
      <c r="G113" s="85">
        <f t="shared" si="24"/>
        <v>0</v>
      </c>
      <c r="H113" s="85">
        <f t="shared" si="24"/>
        <v>0</v>
      </c>
      <c r="I113" s="85">
        <f t="shared" si="24"/>
        <v>0</v>
      </c>
      <c r="J113" s="85">
        <v>0</v>
      </c>
      <c r="K113" s="85">
        <v>0</v>
      </c>
      <c r="L113" s="85">
        <v>0</v>
      </c>
      <c r="M113" s="85">
        <v>0</v>
      </c>
      <c r="N113" s="85">
        <v>0</v>
      </c>
      <c r="O113" s="85">
        <v>0</v>
      </c>
      <c r="P113" s="85">
        <v>0</v>
      </c>
      <c r="Q113" s="85">
        <v>0</v>
      </c>
      <c r="R113" s="85">
        <v>0</v>
      </c>
      <c r="S113" s="85">
        <v>0</v>
      </c>
      <c r="T113" s="85">
        <v>0</v>
      </c>
      <c r="U113" s="85">
        <v>0</v>
      </c>
      <c r="V113" s="85">
        <v>0</v>
      </c>
      <c r="W113" s="85">
        <v>0</v>
      </c>
      <c r="X113" s="85">
        <v>0</v>
      </c>
      <c r="Y113" s="85">
        <v>0</v>
      </c>
      <c r="Z113" s="85">
        <v>0</v>
      </c>
      <c r="AA113" s="85">
        <v>0</v>
      </c>
      <c r="AB113" s="85">
        <v>0</v>
      </c>
      <c r="AC113" s="85">
        <v>0</v>
      </c>
      <c r="AD113" s="85">
        <v>0</v>
      </c>
      <c r="AE113" s="85">
        <v>0</v>
      </c>
      <c r="AF113" s="85">
        <v>0</v>
      </c>
      <c r="AG113" s="85">
        <v>0</v>
      </c>
      <c r="AH113" s="85">
        <v>0</v>
      </c>
    </row>
    <row r="114" spans="1:34">
      <c r="B114" s="30" t="s">
        <v>301</v>
      </c>
      <c r="C114" s="11">
        <f t="shared" si="22"/>
        <v>0</v>
      </c>
      <c r="D114" s="11">
        <f t="shared" si="23"/>
        <v>0</v>
      </c>
      <c r="E114" s="85">
        <f>SUM(E115:E116)</f>
        <v>0</v>
      </c>
      <c r="F114" s="85">
        <f t="shared" ref="F114:AH114" si="25">SUM(F115:F116)</f>
        <v>0</v>
      </c>
      <c r="G114" s="85">
        <f t="shared" si="25"/>
        <v>0</v>
      </c>
      <c r="H114" s="85">
        <f t="shared" si="25"/>
        <v>0</v>
      </c>
      <c r="I114" s="85">
        <f t="shared" si="25"/>
        <v>0</v>
      </c>
      <c r="J114" s="85">
        <f t="shared" si="25"/>
        <v>0</v>
      </c>
      <c r="K114" s="85">
        <f t="shared" si="25"/>
        <v>0</v>
      </c>
      <c r="L114" s="85">
        <f t="shared" si="25"/>
        <v>0</v>
      </c>
      <c r="M114" s="85">
        <f t="shared" si="25"/>
        <v>0</v>
      </c>
      <c r="N114" s="85">
        <f t="shared" si="25"/>
        <v>0</v>
      </c>
      <c r="O114" s="85">
        <f t="shared" si="25"/>
        <v>0</v>
      </c>
      <c r="P114" s="85">
        <f t="shared" si="25"/>
        <v>0</v>
      </c>
      <c r="Q114" s="85">
        <f t="shared" si="25"/>
        <v>0</v>
      </c>
      <c r="R114" s="85">
        <f t="shared" si="25"/>
        <v>0</v>
      </c>
      <c r="S114" s="85">
        <f t="shared" si="25"/>
        <v>0</v>
      </c>
      <c r="T114" s="85">
        <f t="shared" si="25"/>
        <v>0</v>
      </c>
      <c r="U114" s="85">
        <f t="shared" si="25"/>
        <v>0</v>
      </c>
      <c r="V114" s="85">
        <f t="shared" si="25"/>
        <v>0</v>
      </c>
      <c r="W114" s="85">
        <f t="shared" si="25"/>
        <v>0</v>
      </c>
      <c r="X114" s="85">
        <f t="shared" si="25"/>
        <v>0</v>
      </c>
      <c r="Y114" s="85">
        <f t="shared" si="25"/>
        <v>0</v>
      </c>
      <c r="Z114" s="85">
        <f t="shared" si="25"/>
        <v>0</v>
      </c>
      <c r="AA114" s="85">
        <f t="shared" si="25"/>
        <v>0</v>
      </c>
      <c r="AB114" s="85">
        <f t="shared" si="25"/>
        <v>0</v>
      </c>
      <c r="AC114" s="85">
        <f t="shared" si="25"/>
        <v>0</v>
      </c>
      <c r="AD114" s="85">
        <f t="shared" si="25"/>
        <v>0</v>
      </c>
      <c r="AE114" s="85">
        <f t="shared" si="25"/>
        <v>0</v>
      </c>
      <c r="AF114" s="85">
        <f t="shared" si="25"/>
        <v>0</v>
      </c>
      <c r="AG114" s="85">
        <f t="shared" si="25"/>
        <v>0</v>
      </c>
      <c r="AH114" s="85">
        <f t="shared" si="25"/>
        <v>0</v>
      </c>
    </row>
    <row r="115" spans="1:34" ht="14.4">
      <c r="B115" s="42" t="s">
        <v>337</v>
      </c>
      <c r="C115" s="11">
        <f t="shared" si="22"/>
        <v>0</v>
      </c>
      <c r="D115" s="11">
        <f t="shared" si="23"/>
        <v>0</v>
      </c>
      <c r="E115" s="93">
        <f>E75</f>
        <v>0</v>
      </c>
      <c r="F115" s="93">
        <f t="shared" ref="F115:AH115" si="26">F75</f>
        <v>0</v>
      </c>
      <c r="G115" s="93">
        <f t="shared" si="26"/>
        <v>0</v>
      </c>
      <c r="H115" s="93">
        <f t="shared" si="26"/>
        <v>0</v>
      </c>
      <c r="I115" s="93">
        <f t="shared" si="26"/>
        <v>0</v>
      </c>
      <c r="J115" s="93">
        <f t="shared" si="26"/>
        <v>0</v>
      </c>
      <c r="K115" s="93">
        <f t="shared" si="26"/>
        <v>0</v>
      </c>
      <c r="L115" s="93">
        <f t="shared" si="26"/>
        <v>0</v>
      </c>
      <c r="M115" s="93">
        <f t="shared" si="26"/>
        <v>0</v>
      </c>
      <c r="N115" s="93">
        <f t="shared" si="26"/>
        <v>0</v>
      </c>
      <c r="O115" s="93">
        <f t="shared" si="26"/>
        <v>0</v>
      </c>
      <c r="P115" s="93">
        <f t="shared" si="26"/>
        <v>0</v>
      </c>
      <c r="Q115" s="93">
        <f t="shared" si="26"/>
        <v>0</v>
      </c>
      <c r="R115" s="93">
        <f t="shared" si="26"/>
        <v>0</v>
      </c>
      <c r="S115" s="93">
        <f t="shared" si="26"/>
        <v>0</v>
      </c>
      <c r="T115" s="93">
        <f t="shared" si="26"/>
        <v>0</v>
      </c>
      <c r="U115" s="93">
        <f t="shared" si="26"/>
        <v>0</v>
      </c>
      <c r="V115" s="93">
        <f t="shared" si="26"/>
        <v>0</v>
      </c>
      <c r="W115" s="93">
        <f t="shared" si="26"/>
        <v>0</v>
      </c>
      <c r="X115" s="93">
        <f t="shared" si="26"/>
        <v>0</v>
      </c>
      <c r="Y115" s="93">
        <f t="shared" si="26"/>
        <v>0</v>
      </c>
      <c r="Z115" s="93">
        <f t="shared" si="26"/>
        <v>0</v>
      </c>
      <c r="AA115" s="93">
        <f t="shared" si="26"/>
        <v>0</v>
      </c>
      <c r="AB115" s="93">
        <f t="shared" si="26"/>
        <v>0</v>
      </c>
      <c r="AC115" s="93">
        <f t="shared" si="26"/>
        <v>0</v>
      </c>
      <c r="AD115" s="93">
        <f t="shared" si="26"/>
        <v>0</v>
      </c>
      <c r="AE115" s="93">
        <f t="shared" si="26"/>
        <v>0</v>
      </c>
      <c r="AF115" s="93">
        <f t="shared" si="26"/>
        <v>0</v>
      </c>
      <c r="AG115" s="93">
        <f t="shared" si="26"/>
        <v>0</v>
      </c>
      <c r="AH115" s="93">
        <f t="shared" si="26"/>
        <v>0</v>
      </c>
    </row>
    <row r="116" spans="1:34" ht="14.4">
      <c r="B116" s="42" t="s">
        <v>338</v>
      </c>
      <c r="C116" s="11">
        <f t="shared" si="22"/>
        <v>0</v>
      </c>
      <c r="D116" s="11">
        <f t="shared" si="23"/>
        <v>0</v>
      </c>
      <c r="E116" s="93">
        <f>E80</f>
        <v>0</v>
      </c>
      <c r="F116" s="93">
        <f t="shared" ref="F116:AH116" si="27">F80</f>
        <v>0</v>
      </c>
      <c r="G116" s="93">
        <f t="shared" si="27"/>
        <v>0</v>
      </c>
      <c r="H116" s="93">
        <f t="shared" si="27"/>
        <v>0</v>
      </c>
      <c r="I116" s="93">
        <f t="shared" si="27"/>
        <v>0</v>
      </c>
      <c r="J116" s="93">
        <f t="shared" si="27"/>
        <v>0</v>
      </c>
      <c r="K116" s="93">
        <f t="shared" si="27"/>
        <v>0</v>
      </c>
      <c r="L116" s="93">
        <f t="shared" si="27"/>
        <v>0</v>
      </c>
      <c r="M116" s="93">
        <f t="shared" si="27"/>
        <v>0</v>
      </c>
      <c r="N116" s="93">
        <f t="shared" si="27"/>
        <v>0</v>
      </c>
      <c r="O116" s="93">
        <f t="shared" si="27"/>
        <v>0</v>
      </c>
      <c r="P116" s="93">
        <f t="shared" si="27"/>
        <v>0</v>
      </c>
      <c r="Q116" s="93">
        <f t="shared" si="27"/>
        <v>0</v>
      </c>
      <c r="R116" s="93">
        <f t="shared" si="27"/>
        <v>0</v>
      </c>
      <c r="S116" s="93">
        <f t="shared" si="27"/>
        <v>0</v>
      </c>
      <c r="T116" s="93">
        <f t="shared" si="27"/>
        <v>0</v>
      </c>
      <c r="U116" s="93">
        <f t="shared" si="27"/>
        <v>0</v>
      </c>
      <c r="V116" s="93">
        <f t="shared" si="27"/>
        <v>0</v>
      </c>
      <c r="W116" s="93">
        <f t="shared" si="27"/>
        <v>0</v>
      </c>
      <c r="X116" s="93">
        <f t="shared" si="27"/>
        <v>0</v>
      </c>
      <c r="Y116" s="93">
        <f t="shared" si="27"/>
        <v>0</v>
      </c>
      <c r="Z116" s="93">
        <f t="shared" si="27"/>
        <v>0</v>
      </c>
      <c r="AA116" s="93">
        <f t="shared" si="27"/>
        <v>0</v>
      </c>
      <c r="AB116" s="93">
        <f t="shared" si="27"/>
        <v>0</v>
      </c>
      <c r="AC116" s="93">
        <f t="shared" si="27"/>
        <v>0</v>
      </c>
      <c r="AD116" s="93">
        <f t="shared" si="27"/>
        <v>0</v>
      </c>
      <c r="AE116" s="93">
        <f t="shared" si="27"/>
        <v>0</v>
      </c>
      <c r="AF116" s="93">
        <f t="shared" si="27"/>
        <v>0</v>
      </c>
      <c r="AG116" s="93">
        <f t="shared" si="27"/>
        <v>0</v>
      </c>
      <c r="AH116" s="93">
        <f t="shared" si="27"/>
        <v>0</v>
      </c>
    </row>
    <row r="117" spans="1:34">
      <c r="B117" s="30" t="s">
        <v>246</v>
      </c>
      <c r="C117" s="11">
        <f t="shared" si="22"/>
        <v>0</v>
      </c>
      <c r="D117" s="11">
        <f t="shared" si="23"/>
        <v>0</v>
      </c>
      <c r="E117" s="85">
        <f>IF(E112=$C$104,$C$105,0)</f>
        <v>0</v>
      </c>
      <c r="F117" s="85">
        <f t="shared" ref="F117:AH117" si="28">IF(F112=$C$104,$C$105,0)</f>
        <v>0</v>
      </c>
      <c r="G117" s="85">
        <f t="shared" si="28"/>
        <v>0</v>
      </c>
      <c r="H117" s="85">
        <f t="shared" si="28"/>
        <v>0</v>
      </c>
      <c r="I117" s="85">
        <f t="shared" si="28"/>
        <v>0</v>
      </c>
      <c r="J117" s="85">
        <f t="shared" si="28"/>
        <v>0</v>
      </c>
      <c r="K117" s="85">
        <f t="shared" si="28"/>
        <v>0</v>
      </c>
      <c r="L117" s="85">
        <f t="shared" si="28"/>
        <v>0</v>
      </c>
      <c r="M117" s="85">
        <f t="shared" si="28"/>
        <v>0</v>
      </c>
      <c r="N117" s="85">
        <f t="shared" si="28"/>
        <v>0</v>
      </c>
      <c r="O117" s="85">
        <f t="shared" si="28"/>
        <v>0</v>
      </c>
      <c r="P117" s="85">
        <f t="shared" si="28"/>
        <v>0</v>
      </c>
      <c r="Q117" s="85">
        <f t="shared" si="28"/>
        <v>0</v>
      </c>
      <c r="R117" s="85">
        <f t="shared" si="28"/>
        <v>0</v>
      </c>
      <c r="S117" s="85">
        <f t="shared" si="28"/>
        <v>0</v>
      </c>
      <c r="T117" s="85">
        <f t="shared" si="28"/>
        <v>0</v>
      </c>
      <c r="U117" s="85">
        <f t="shared" si="28"/>
        <v>0</v>
      </c>
      <c r="V117" s="85">
        <f t="shared" si="28"/>
        <v>0</v>
      </c>
      <c r="W117" s="85">
        <f t="shared" si="28"/>
        <v>0</v>
      </c>
      <c r="X117" s="85">
        <f t="shared" si="28"/>
        <v>0</v>
      </c>
      <c r="Y117" s="85">
        <f t="shared" si="28"/>
        <v>0</v>
      </c>
      <c r="Z117" s="85">
        <f t="shared" si="28"/>
        <v>0</v>
      </c>
      <c r="AA117" s="85">
        <f t="shared" si="28"/>
        <v>0</v>
      </c>
      <c r="AB117" s="85">
        <f t="shared" si="28"/>
        <v>0</v>
      </c>
      <c r="AC117" s="85">
        <f t="shared" si="28"/>
        <v>0</v>
      </c>
      <c r="AD117" s="85">
        <f t="shared" si="28"/>
        <v>0</v>
      </c>
      <c r="AE117" s="85">
        <f t="shared" si="28"/>
        <v>0</v>
      </c>
      <c r="AF117" s="85">
        <f t="shared" si="28"/>
        <v>0</v>
      </c>
      <c r="AG117" s="85">
        <f t="shared" si="28"/>
        <v>0</v>
      </c>
      <c r="AH117" s="85">
        <f t="shared" si="28"/>
        <v>0</v>
      </c>
    </row>
    <row r="118" spans="1:34">
      <c r="B118" s="43" t="s">
        <v>288</v>
      </c>
      <c r="C118" s="11">
        <f t="shared" si="22"/>
        <v>0</v>
      </c>
      <c r="D118" s="11">
        <f t="shared" si="23"/>
        <v>0</v>
      </c>
      <c r="E118" s="94">
        <f>SUM(E113:E114)-E117</f>
        <v>0</v>
      </c>
      <c r="F118" s="94">
        <f t="shared" ref="F118:AH118" si="29">SUM(F113:F114)-F117</f>
        <v>0</v>
      </c>
      <c r="G118" s="94">
        <f t="shared" si="29"/>
        <v>0</v>
      </c>
      <c r="H118" s="94">
        <f t="shared" si="29"/>
        <v>0</v>
      </c>
      <c r="I118" s="94">
        <f t="shared" si="29"/>
        <v>0</v>
      </c>
      <c r="J118" s="94">
        <f t="shared" si="29"/>
        <v>0</v>
      </c>
      <c r="K118" s="94">
        <f t="shared" si="29"/>
        <v>0</v>
      </c>
      <c r="L118" s="94">
        <f t="shared" si="29"/>
        <v>0</v>
      </c>
      <c r="M118" s="94">
        <f t="shared" si="29"/>
        <v>0</v>
      </c>
      <c r="N118" s="94">
        <f t="shared" si="29"/>
        <v>0</v>
      </c>
      <c r="O118" s="94">
        <f t="shared" si="29"/>
        <v>0</v>
      </c>
      <c r="P118" s="94">
        <f t="shared" si="29"/>
        <v>0</v>
      </c>
      <c r="Q118" s="94">
        <f t="shared" si="29"/>
        <v>0</v>
      </c>
      <c r="R118" s="94">
        <f t="shared" si="29"/>
        <v>0</v>
      </c>
      <c r="S118" s="94">
        <f t="shared" si="29"/>
        <v>0</v>
      </c>
      <c r="T118" s="94">
        <f t="shared" si="29"/>
        <v>0</v>
      </c>
      <c r="U118" s="94">
        <f t="shared" si="29"/>
        <v>0</v>
      </c>
      <c r="V118" s="94">
        <f t="shared" si="29"/>
        <v>0</v>
      </c>
      <c r="W118" s="94">
        <f t="shared" si="29"/>
        <v>0</v>
      </c>
      <c r="X118" s="94">
        <f t="shared" si="29"/>
        <v>0</v>
      </c>
      <c r="Y118" s="94">
        <f t="shared" si="29"/>
        <v>0</v>
      </c>
      <c r="Z118" s="94">
        <f t="shared" si="29"/>
        <v>0</v>
      </c>
      <c r="AA118" s="94">
        <f t="shared" si="29"/>
        <v>0</v>
      </c>
      <c r="AB118" s="94">
        <f t="shared" si="29"/>
        <v>0</v>
      </c>
      <c r="AC118" s="94">
        <f t="shared" si="29"/>
        <v>0</v>
      </c>
      <c r="AD118" s="94">
        <f t="shared" si="29"/>
        <v>0</v>
      </c>
      <c r="AE118" s="94">
        <f t="shared" si="29"/>
        <v>0</v>
      </c>
      <c r="AF118" s="94">
        <f t="shared" si="29"/>
        <v>0</v>
      </c>
      <c r="AG118" s="94">
        <f t="shared" si="29"/>
        <v>0</v>
      </c>
      <c r="AH118" s="94">
        <f t="shared" si="29"/>
        <v>0</v>
      </c>
    </row>
    <row r="121" spans="1:34">
      <c r="B121" s="495" t="s">
        <v>523</v>
      </c>
      <c r="C121" s="496"/>
      <c r="D121" s="496"/>
      <c r="E121" s="496"/>
      <c r="F121" s="496"/>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c r="AE121" s="496"/>
      <c r="AF121" s="496"/>
      <c r="AG121" s="496"/>
      <c r="AH121" s="496"/>
    </row>
    <row r="123" spans="1:34">
      <c r="B123" s="37" t="s">
        <v>335</v>
      </c>
      <c r="C123" s="91" t="s">
        <v>524</v>
      </c>
      <c r="D123" s="91" t="s">
        <v>514</v>
      </c>
      <c r="E123" s="91" t="s">
        <v>525</v>
      </c>
    </row>
    <row r="124" spans="1:34">
      <c r="B124" s="30" t="s">
        <v>530</v>
      </c>
      <c r="C124" s="488"/>
      <c r="D124" s="541">
        <f>C37</f>
        <v>0</v>
      </c>
      <c r="E124" s="51">
        <f>D124/eur</f>
        <v>0</v>
      </c>
    </row>
    <row r="125" spans="1:34">
      <c r="B125" s="30" t="s">
        <v>541</v>
      </c>
      <c r="C125" s="488"/>
      <c r="D125" s="541">
        <f>C52</f>
        <v>0</v>
      </c>
      <c r="E125" s="51">
        <f>D125/eur</f>
        <v>0</v>
      </c>
    </row>
    <row r="126" spans="1:34" ht="27.6">
      <c r="B126" s="30" t="s">
        <v>542</v>
      </c>
      <c r="C126" s="504"/>
      <c r="D126" s="31"/>
      <c r="E126" s="488"/>
    </row>
    <row r="127" spans="1:34">
      <c r="A127" s="66"/>
      <c r="B127" s="30" t="s">
        <v>543</v>
      </c>
      <c r="C127" s="488"/>
      <c r="D127" s="541">
        <f>D124*C126</f>
        <v>0</v>
      </c>
      <c r="E127" s="51">
        <f>D127/eur</f>
        <v>0</v>
      </c>
    </row>
    <row r="128" spans="1:34">
      <c r="B128" s="30" t="s">
        <v>118</v>
      </c>
      <c r="C128" s="504"/>
      <c r="D128" s="31"/>
      <c r="E128" s="488"/>
    </row>
    <row r="129" spans="2:34">
      <c r="B129" s="30" t="s">
        <v>119</v>
      </c>
      <c r="C129" s="504"/>
      <c r="D129" s="31"/>
      <c r="E129" s="488"/>
    </row>
    <row r="130" spans="2:34">
      <c r="B130" s="30" t="s">
        <v>533</v>
      </c>
      <c r="C130" s="488"/>
      <c r="D130" s="541">
        <f>D127*C128</f>
        <v>0</v>
      </c>
      <c r="E130" s="51">
        <f>D130/eur</f>
        <v>0</v>
      </c>
    </row>
    <row r="131" spans="2:34">
      <c r="B131" s="30" t="s">
        <v>534</v>
      </c>
      <c r="C131" s="488"/>
      <c r="D131" s="541">
        <f>D127*C129</f>
        <v>0</v>
      </c>
      <c r="E131" s="51">
        <f>D131/eur</f>
        <v>0</v>
      </c>
    </row>
    <row r="132" spans="2:34">
      <c r="B132" s="30" t="s">
        <v>544</v>
      </c>
      <c r="C132" s="488"/>
      <c r="D132" s="541">
        <f>D124-D127+D125</f>
        <v>0</v>
      </c>
      <c r="E132" s="51">
        <f>D132/eur</f>
        <v>0</v>
      </c>
    </row>
    <row r="133" spans="2:34">
      <c r="B133" s="30" t="s">
        <v>536</v>
      </c>
      <c r="C133" s="488"/>
      <c r="D133" s="541">
        <f>SUM(D131:D132)</f>
        <v>0</v>
      </c>
      <c r="E133" s="51">
        <f>D133/eur</f>
        <v>0</v>
      </c>
    </row>
    <row r="136" spans="2:34">
      <c r="B136" s="495" t="s">
        <v>537</v>
      </c>
      <c r="C136" s="496"/>
      <c r="D136" s="496"/>
      <c r="E136" s="496"/>
      <c r="F136" s="496"/>
      <c r="G136" s="496"/>
      <c r="H136" s="496"/>
      <c r="I136" s="496"/>
      <c r="J136" s="496"/>
      <c r="K136" s="496"/>
      <c r="L136" s="496"/>
      <c r="M136" s="496"/>
      <c r="N136" s="496"/>
      <c r="O136" s="496"/>
      <c r="P136" s="496"/>
      <c r="Q136" s="496"/>
      <c r="R136" s="496"/>
      <c r="S136" s="496"/>
      <c r="T136" s="496"/>
      <c r="U136" s="496"/>
      <c r="V136" s="496"/>
      <c r="W136" s="496"/>
      <c r="X136" s="496"/>
      <c r="Y136" s="496"/>
      <c r="Z136" s="496"/>
      <c r="AA136" s="496"/>
      <c r="AB136" s="496"/>
      <c r="AC136" s="496"/>
      <c r="AD136" s="496"/>
      <c r="AE136" s="496"/>
      <c r="AF136" s="496"/>
      <c r="AG136" s="496"/>
      <c r="AH136" s="496"/>
    </row>
    <row r="140" spans="2:34">
      <c r="B140" s="37" t="s">
        <v>370</v>
      </c>
      <c r="C140" s="91">
        <f>start_year</f>
        <v>2025</v>
      </c>
      <c r="D140" s="91">
        <f t="shared" ref="D140:AF140" si="30">C140+1</f>
        <v>2026</v>
      </c>
      <c r="E140" s="91">
        <f t="shared" si="30"/>
        <v>2027</v>
      </c>
      <c r="F140" s="91">
        <f t="shared" si="30"/>
        <v>2028</v>
      </c>
      <c r="G140" s="91">
        <f t="shared" si="30"/>
        <v>2029</v>
      </c>
      <c r="H140" s="91">
        <f t="shared" si="30"/>
        <v>2030</v>
      </c>
      <c r="I140" s="91">
        <f t="shared" si="30"/>
        <v>2031</v>
      </c>
      <c r="J140" s="91">
        <f t="shared" si="30"/>
        <v>2032</v>
      </c>
      <c r="K140" s="91">
        <f t="shared" si="30"/>
        <v>2033</v>
      </c>
      <c r="L140" s="91">
        <f t="shared" si="30"/>
        <v>2034</v>
      </c>
      <c r="M140" s="91">
        <f t="shared" si="30"/>
        <v>2035</v>
      </c>
      <c r="N140" s="91">
        <f t="shared" si="30"/>
        <v>2036</v>
      </c>
      <c r="O140" s="91">
        <f t="shared" si="30"/>
        <v>2037</v>
      </c>
      <c r="P140" s="91">
        <f t="shared" si="30"/>
        <v>2038</v>
      </c>
      <c r="Q140" s="91">
        <f t="shared" si="30"/>
        <v>2039</v>
      </c>
      <c r="R140" s="91">
        <f t="shared" si="30"/>
        <v>2040</v>
      </c>
      <c r="S140" s="91">
        <f t="shared" si="30"/>
        <v>2041</v>
      </c>
      <c r="T140" s="91">
        <f t="shared" si="30"/>
        <v>2042</v>
      </c>
      <c r="U140" s="91">
        <f t="shared" si="30"/>
        <v>2043</v>
      </c>
      <c r="V140" s="91">
        <f t="shared" si="30"/>
        <v>2044</v>
      </c>
      <c r="W140" s="91">
        <f t="shared" si="30"/>
        <v>2045</v>
      </c>
      <c r="X140" s="91">
        <f t="shared" si="30"/>
        <v>2046</v>
      </c>
      <c r="Y140" s="91">
        <f t="shared" si="30"/>
        <v>2047</v>
      </c>
      <c r="Z140" s="91">
        <f t="shared" si="30"/>
        <v>2048</v>
      </c>
      <c r="AA140" s="91">
        <f t="shared" si="30"/>
        <v>2049</v>
      </c>
      <c r="AB140" s="91">
        <f t="shared" si="30"/>
        <v>2050</v>
      </c>
      <c r="AC140" s="91">
        <f t="shared" si="30"/>
        <v>2051</v>
      </c>
      <c r="AD140" s="91">
        <f t="shared" si="30"/>
        <v>2052</v>
      </c>
      <c r="AE140" s="91">
        <f t="shared" si="30"/>
        <v>2053</v>
      </c>
      <c r="AF140" s="91">
        <f t="shared" si="30"/>
        <v>2054</v>
      </c>
    </row>
    <row r="141" spans="2:34">
      <c r="B141" s="30" t="s">
        <v>379</v>
      </c>
      <c r="C141" s="85">
        <f>E113</f>
        <v>0</v>
      </c>
      <c r="D141" s="85">
        <f t="shared" ref="D141:AF141" si="31">F113</f>
        <v>0</v>
      </c>
      <c r="E141" s="85">
        <f t="shared" si="31"/>
        <v>0</v>
      </c>
      <c r="F141" s="85">
        <f t="shared" si="31"/>
        <v>0</v>
      </c>
      <c r="G141" s="85">
        <f t="shared" si="31"/>
        <v>0</v>
      </c>
      <c r="H141" s="85">
        <f t="shared" si="31"/>
        <v>0</v>
      </c>
      <c r="I141" s="85">
        <f t="shared" si="31"/>
        <v>0</v>
      </c>
      <c r="J141" s="85">
        <f t="shared" si="31"/>
        <v>0</v>
      </c>
      <c r="K141" s="85">
        <f t="shared" si="31"/>
        <v>0</v>
      </c>
      <c r="L141" s="85">
        <f t="shared" si="31"/>
        <v>0</v>
      </c>
      <c r="M141" s="85">
        <f t="shared" si="31"/>
        <v>0</v>
      </c>
      <c r="N141" s="85">
        <f t="shared" si="31"/>
        <v>0</v>
      </c>
      <c r="O141" s="85">
        <f t="shared" si="31"/>
        <v>0</v>
      </c>
      <c r="P141" s="85">
        <f t="shared" si="31"/>
        <v>0</v>
      </c>
      <c r="Q141" s="85">
        <f t="shared" si="31"/>
        <v>0</v>
      </c>
      <c r="R141" s="85">
        <f t="shared" si="31"/>
        <v>0</v>
      </c>
      <c r="S141" s="85">
        <f t="shared" si="31"/>
        <v>0</v>
      </c>
      <c r="T141" s="85">
        <f t="shared" si="31"/>
        <v>0</v>
      </c>
      <c r="U141" s="85">
        <f t="shared" si="31"/>
        <v>0</v>
      </c>
      <c r="V141" s="85">
        <f t="shared" si="31"/>
        <v>0</v>
      </c>
      <c r="W141" s="85">
        <f t="shared" si="31"/>
        <v>0</v>
      </c>
      <c r="X141" s="85">
        <f t="shared" si="31"/>
        <v>0</v>
      </c>
      <c r="Y141" s="85">
        <f t="shared" si="31"/>
        <v>0</v>
      </c>
      <c r="Z141" s="85">
        <f t="shared" si="31"/>
        <v>0</v>
      </c>
      <c r="AA141" s="85">
        <f t="shared" si="31"/>
        <v>0</v>
      </c>
      <c r="AB141" s="85">
        <f t="shared" si="31"/>
        <v>0</v>
      </c>
      <c r="AC141" s="85">
        <f t="shared" si="31"/>
        <v>0</v>
      </c>
      <c r="AD141" s="85">
        <f t="shared" si="31"/>
        <v>0</v>
      </c>
      <c r="AE141" s="85">
        <f t="shared" si="31"/>
        <v>0</v>
      </c>
      <c r="AF141" s="85">
        <f t="shared" si="31"/>
        <v>0</v>
      </c>
    </row>
    <row r="142" spans="2:34">
      <c r="B142" s="30" t="s">
        <v>380</v>
      </c>
      <c r="C142" s="85">
        <f>E114</f>
        <v>0</v>
      </c>
      <c r="D142" s="85">
        <f t="shared" ref="D142:AF142" si="32">F114</f>
        <v>0</v>
      </c>
      <c r="E142" s="85">
        <f t="shared" si="32"/>
        <v>0</v>
      </c>
      <c r="F142" s="85">
        <f t="shared" si="32"/>
        <v>0</v>
      </c>
      <c r="G142" s="85">
        <f t="shared" si="32"/>
        <v>0</v>
      </c>
      <c r="H142" s="85">
        <f t="shared" si="32"/>
        <v>0</v>
      </c>
      <c r="I142" s="85">
        <f t="shared" si="32"/>
        <v>0</v>
      </c>
      <c r="J142" s="85">
        <f t="shared" si="32"/>
        <v>0</v>
      </c>
      <c r="K142" s="85">
        <f t="shared" si="32"/>
        <v>0</v>
      </c>
      <c r="L142" s="85">
        <f t="shared" si="32"/>
        <v>0</v>
      </c>
      <c r="M142" s="85">
        <f t="shared" si="32"/>
        <v>0</v>
      </c>
      <c r="N142" s="85">
        <f t="shared" si="32"/>
        <v>0</v>
      </c>
      <c r="O142" s="85">
        <f t="shared" si="32"/>
        <v>0</v>
      </c>
      <c r="P142" s="85">
        <f t="shared" si="32"/>
        <v>0</v>
      </c>
      <c r="Q142" s="85">
        <f t="shared" si="32"/>
        <v>0</v>
      </c>
      <c r="R142" s="85">
        <f t="shared" si="32"/>
        <v>0</v>
      </c>
      <c r="S142" s="85">
        <f t="shared" si="32"/>
        <v>0</v>
      </c>
      <c r="T142" s="85">
        <f t="shared" si="32"/>
        <v>0</v>
      </c>
      <c r="U142" s="85">
        <f t="shared" si="32"/>
        <v>0</v>
      </c>
      <c r="V142" s="85">
        <f t="shared" si="32"/>
        <v>0</v>
      </c>
      <c r="W142" s="85">
        <f t="shared" si="32"/>
        <v>0</v>
      </c>
      <c r="X142" s="85">
        <f t="shared" si="32"/>
        <v>0</v>
      </c>
      <c r="Y142" s="85">
        <f t="shared" si="32"/>
        <v>0</v>
      </c>
      <c r="Z142" s="85">
        <f t="shared" si="32"/>
        <v>0</v>
      </c>
      <c r="AA142" s="85">
        <f t="shared" si="32"/>
        <v>0</v>
      </c>
      <c r="AB142" s="85">
        <f t="shared" si="32"/>
        <v>0</v>
      </c>
      <c r="AC142" s="85">
        <f t="shared" si="32"/>
        <v>0</v>
      </c>
      <c r="AD142" s="85">
        <f t="shared" si="32"/>
        <v>0</v>
      </c>
      <c r="AE142" s="85">
        <f t="shared" si="32"/>
        <v>0</v>
      </c>
      <c r="AF142" s="85">
        <f t="shared" si="32"/>
        <v>0</v>
      </c>
    </row>
    <row r="143" spans="2:34">
      <c r="B143" s="30" t="s">
        <v>381</v>
      </c>
      <c r="C143" s="85">
        <f>E97</f>
        <v>0</v>
      </c>
      <c r="D143" s="85">
        <f t="shared" ref="D143:AF143" si="33">F97</f>
        <v>0</v>
      </c>
      <c r="E143" s="85">
        <f t="shared" si="33"/>
        <v>0</v>
      </c>
      <c r="F143" s="85">
        <f t="shared" si="33"/>
        <v>0</v>
      </c>
      <c r="G143" s="85">
        <f t="shared" si="33"/>
        <v>0</v>
      </c>
      <c r="H143" s="85">
        <f t="shared" si="33"/>
        <v>0</v>
      </c>
      <c r="I143" s="85">
        <f t="shared" si="33"/>
        <v>0</v>
      </c>
      <c r="J143" s="85">
        <f t="shared" si="33"/>
        <v>0</v>
      </c>
      <c r="K143" s="85">
        <f t="shared" si="33"/>
        <v>0</v>
      </c>
      <c r="L143" s="85">
        <f t="shared" si="33"/>
        <v>0</v>
      </c>
      <c r="M143" s="85">
        <f t="shared" si="33"/>
        <v>0</v>
      </c>
      <c r="N143" s="85">
        <f t="shared" si="33"/>
        <v>0</v>
      </c>
      <c r="O143" s="85">
        <f t="shared" si="33"/>
        <v>0</v>
      </c>
      <c r="P143" s="85">
        <f t="shared" si="33"/>
        <v>0</v>
      </c>
      <c r="Q143" s="85">
        <f t="shared" si="33"/>
        <v>0</v>
      </c>
      <c r="R143" s="85">
        <f t="shared" si="33"/>
        <v>0</v>
      </c>
      <c r="S143" s="85">
        <f t="shared" si="33"/>
        <v>0</v>
      </c>
      <c r="T143" s="85">
        <f t="shared" si="33"/>
        <v>0</v>
      </c>
      <c r="U143" s="85">
        <f t="shared" si="33"/>
        <v>0</v>
      </c>
      <c r="V143" s="85">
        <f t="shared" si="33"/>
        <v>0</v>
      </c>
      <c r="W143" s="85">
        <f t="shared" si="33"/>
        <v>0</v>
      </c>
      <c r="X143" s="85">
        <f t="shared" si="33"/>
        <v>0</v>
      </c>
      <c r="Y143" s="85">
        <f t="shared" si="33"/>
        <v>0</v>
      </c>
      <c r="Z143" s="85">
        <f t="shared" si="33"/>
        <v>0</v>
      </c>
      <c r="AA143" s="85">
        <f t="shared" si="33"/>
        <v>0</v>
      </c>
      <c r="AB143" s="85">
        <f t="shared" si="33"/>
        <v>0</v>
      </c>
      <c r="AC143" s="85">
        <f t="shared" si="33"/>
        <v>0</v>
      </c>
      <c r="AD143" s="85">
        <f t="shared" si="33"/>
        <v>0</v>
      </c>
      <c r="AE143" s="85">
        <f t="shared" si="33"/>
        <v>0</v>
      </c>
      <c r="AF143" s="85">
        <f t="shared" si="33"/>
        <v>0</v>
      </c>
    </row>
    <row r="144" spans="2:34">
      <c r="B144" s="30" t="s">
        <v>382</v>
      </c>
      <c r="C144" s="85">
        <f>E98</f>
        <v>0</v>
      </c>
      <c r="D144" s="85">
        <f t="shared" ref="D144:AF144" si="34">F98</f>
        <v>0</v>
      </c>
      <c r="E144" s="85">
        <f t="shared" si="34"/>
        <v>0</v>
      </c>
      <c r="F144" s="85">
        <f t="shared" si="34"/>
        <v>0</v>
      </c>
      <c r="G144" s="85">
        <f t="shared" si="34"/>
        <v>0</v>
      </c>
      <c r="H144" s="85">
        <f t="shared" si="34"/>
        <v>0</v>
      </c>
      <c r="I144" s="85">
        <f t="shared" si="34"/>
        <v>0</v>
      </c>
      <c r="J144" s="85">
        <f t="shared" si="34"/>
        <v>0</v>
      </c>
      <c r="K144" s="85">
        <f t="shared" si="34"/>
        <v>0</v>
      </c>
      <c r="L144" s="85">
        <f t="shared" si="34"/>
        <v>0</v>
      </c>
      <c r="M144" s="85">
        <f t="shared" si="34"/>
        <v>0</v>
      </c>
      <c r="N144" s="85">
        <f t="shared" si="34"/>
        <v>0</v>
      </c>
      <c r="O144" s="85">
        <f t="shared" si="34"/>
        <v>0</v>
      </c>
      <c r="P144" s="85">
        <f t="shared" si="34"/>
        <v>0</v>
      </c>
      <c r="Q144" s="85">
        <f t="shared" si="34"/>
        <v>0</v>
      </c>
      <c r="R144" s="85">
        <f t="shared" si="34"/>
        <v>0</v>
      </c>
      <c r="S144" s="85">
        <f t="shared" si="34"/>
        <v>0</v>
      </c>
      <c r="T144" s="85">
        <f t="shared" si="34"/>
        <v>0</v>
      </c>
      <c r="U144" s="85">
        <f t="shared" si="34"/>
        <v>0</v>
      </c>
      <c r="V144" s="85">
        <f t="shared" si="34"/>
        <v>0</v>
      </c>
      <c r="W144" s="85">
        <f t="shared" si="34"/>
        <v>0</v>
      </c>
      <c r="X144" s="85">
        <f t="shared" si="34"/>
        <v>0</v>
      </c>
      <c r="Y144" s="85">
        <f t="shared" si="34"/>
        <v>0</v>
      </c>
      <c r="Z144" s="85">
        <f t="shared" si="34"/>
        <v>0</v>
      </c>
      <c r="AA144" s="85">
        <f t="shared" si="34"/>
        <v>0</v>
      </c>
      <c r="AB144" s="85">
        <f t="shared" si="34"/>
        <v>0</v>
      </c>
      <c r="AC144" s="85">
        <f t="shared" si="34"/>
        <v>0</v>
      </c>
      <c r="AD144" s="85">
        <f t="shared" si="34"/>
        <v>0</v>
      </c>
      <c r="AE144" s="85">
        <f t="shared" si="34"/>
        <v>0</v>
      </c>
      <c r="AF144" s="85">
        <f t="shared" si="34"/>
        <v>0</v>
      </c>
    </row>
    <row r="145" spans="2:32">
      <c r="B145" s="30" t="s">
        <v>383</v>
      </c>
      <c r="C145" s="287"/>
      <c r="D145" s="287"/>
      <c r="E145" s="287"/>
      <c r="F145" s="287"/>
      <c r="G145" s="287"/>
      <c r="H145" s="287"/>
      <c r="I145" s="287"/>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row>
    <row r="146" spans="2:32">
      <c r="B146" s="35" t="s">
        <v>384</v>
      </c>
      <c r="C146" s="94">
        <f>SUM(C141:C145)</f>
        <v>0</v>
      </c>
      <c r="D146" s="94">
        <f t="shared" ref="D146:AF146" si="35">SUM(D141:D145)</f>
        <v>0</v>
      </c>
      <c r="E146" s="94">
        <f t="shared" si="35"/>
        <v>0</v>
      </c>
      <c r="F146" s="94">
        <f t="shared" si="35"/>
        <v>0</v>
      </c>
      <c r="G146" s="94">
        <f t="shared" si="35"/>
        <v>0</v>
      </c>
      <c r="H146" s="94">
        <f t="shared" si="35"/>
        <v>0</v>
      </c>
      <c r="I146" s="94">
        <f t="shared" si="35"/>
        <v>0</v>
      </c>
      <c r="J146" s="94">
        <f t="shared" si="35"/>
        <v>0</v>
      </c>
      <c r="K146" s="94">
        <f t="shared" si="35"/>
        <v>0</v>
      </c>
      <c r="L146" s="94">
        <f t="shared" si="35"/>
        <v>0</v>
      </c>
      <c r="M146" s="94">
        <f t="shared" si="35"/>
        <v>0</v>
      </c>
      <c r="N146" s="94">
        <f t="shared" si="35"/>
        <v>0</v>
      </c>
      <c r="O146" s="94">
        <f t="shared" si="35"/>
        <v>0</v>
      </c>
      <c r="P146" s="94">
        <f t="shared" si="35"/>
        <v>0</v>
      </c>
      <c r="Q146" s="94">
        <f t="shared" si="35"/>
        <v>0</v>
      </c>
      <c r="R146" s="94">
        <f t="shared" si="35"/>
        <v>0</v>
      </c>
      <c r="S146" s="94">
        <f t="shared" si="35"/>
        <v>0</v>
      </c>
      <c r="T146" s="94">
        <f t="shared" si="35"/>
        <v>0</v>
      </c>
      <c r="U146" s="94">
        <f t="shared" si="35"/>
        <v>0</v>
      </c>
      <c r="V146" s="94">
        <f t="shared" si="35"/>
        <v>0</v>
      </c>
      <c r="W146" s="94">
        <f t="shared" si="35"/>
        <v>0</v>
      </c>
      <c r="X146" s="94">
        <f t="shared" si="35"/>
        <v>0</v>
      </c>
      <c r="Y146" s="94">
        <f t="shared" si="35"/>
        <v>0</v>
      </c>
      <c r="Z146" s="94">
        <f t="shared" si="35"/>
        <v>0</v>
      </c>
      <c r="AA146" s="94">
        <f t="shared" si="35"/>
        <v>0</v>
      </c>
      <c r="AB146" s="94">
        <f t="shared" si="35"/>
        <v>0</v>
      </c>
      <c r="AC146" s="94">
        <f t="shared" si="35"/>
        <v>0</v>
      </c>
      <c r="AD146" s="94">
        <f t="shared" si="35"/>
        <v>0</v>
      </c>
      <c r="AE146" s="94">
        <f t="shared" si="35"/>
        <v>0</v>
      </c>
      <c r="AF146" s="94">
        <f t="shared" si="35"/>
        <v>0</v>
      </c>
    </row>
    <row r="147" spans="2:32">
      <c r="B147" s="30" t="s">
        <v>385</v>
      </c>
      <c r="C147" s="85">
        <f>E89</f>
        <v>0</v>
      </c>
      <c r="D147" s="85">
        <f t="shared" ref="D147:AF147" si="36">F89</f>
        <v>0</v>
      </c>
      <c r="E147" s="85">
        <f t="shared" si="36"/>
        <v>0</v>
      </c>
      <c r="F147" s="85">
        <f t="shared" si="36"/>
        <v>0</v>
      </c>
      <c r="G147" s="85">
        <f t="shared" si="36"/>
        <v>0</v>
      </c>
      <c r="H147" s="85">
        <f t="shared" si="36"/>
        <v>0</v>
      </c>
      <c r="I147" s="85">
        <f t="shared" si="36"/>
        <v>0</v>
      </c>
      <c r="J147" s="85">
        <f t="shared" si="36"/>
        <v>0</v>
      </c>
      <c r="K147" s="85">
        <f t="shared" si="36"/>
        <v>0</v>
      </c>
      <c r="L147" s="85">
        <f t="shared" si="36"/>
        <v>0</v>
      </c>
      <c r="M147" s="85">
        <f t="shared" si="36"/>
        <v>0</v>
      </c>
      <c r="N147" s="85">
        <f t="shared" si="36"/>
        <v>0</v>
      </c>
      <c r="O147" s="85">
        <f t="shared" si="36"/>
        <v>0</v>
      </c>
      <c r="P147" s="85">
        <f t="shared" si="36"/>
        <v>0</v>
      </c>
      <c r="Q147" s="85">
        <f t="shared" si="36"/>
        <v>0</v>
      </c>
      <c r="R147" s="85">
        <f t="shared" si="36"/>
        <v>0</v>
      </c>
      <c r="S147" s="85">
        <f t="shared" si="36"/>
        <v>0</v>
      </c>
      <c r="T147" s="85">
        <f t="shared" si="36"/>
        <v>0</v>
      </c>
      <c r="U147" s="85">
        <f t="shared" si="36"/>
        <v>0</v>
      </c>
      <c r="V147" s="85">
        <f t="shared" si="36"/>
        <v>0</v>
      </c>
      <c r="W147" s="85">
        <f t="shared" si="36"/>
        <v>0</v>
      </c>
      <c r="X147" s="85">
        <f t="shared" si="36"/>
        <v>0</v>
      </c>
      <c r="Y147" s="85">
        <f t="shared" si="36"/>
        <v>0</v>
      </c>
      <c r="Z147" s="85">
        <f t="shared" si="36"/>
        <v>0</v>
      </c>
      <c r="AA147" s="85">
        <f t="shared" si="36"/>
        <v>0</v>
      </c>
      <c r="AB147" s="85">
        <f t="shared" si="36"/>
        <v>0</v>
      </c>
      <c r="AC147" s="85">
        <f t="shared" si="36"/>
        <v>0</v>
      </c>
      <c r="AD147" s="85">
        <f t="shared" si="36"/>
        <v>0</v>
      </c>
      <c r="AE147" s="85">
        <f t="shared" si="36"/>
        <v>0</v>
      </c>
      <c r="AF147" s="85">
        <f t="shared" si="36"/>
        <v>0</v>
      </c>
    </row>
    <row r="148" spans="2:32">
      <c r="B148" s="30" t="s">
        <v>386</v>
      </c>
      <c r="C148" s="85">
        <f>E86+C164</f>
        <v>0</v>
      </c>
      <c r="D148" s="85">
        <f t="shared" ref="D148:AF148" si="37">F86+D164</f>
        <v>0</v>
      </c>
      <c r="E148" s="85">
        <f t="shared" si="37"/>
        <v>0</v>
      </c>
      <c r="F148" s="85">
        <f t="shared" si="37"/>
        <v>0</v>
      </c>
      <c r="G148" s="85">
        <f t="shared" si="37"/>
        <v>0</v>
      </c>
      <c r="H148" s="85">
        <f t="shared" si="37"/>
        <v>0</v>
      </c>
      <c r="I148" s="85">
        <f t="shared" si="37"/>
        <v>0</v>
      </c>
      <c r="J148" s="85">
        <f t="shared" si="37"/>
        <v>0</v>
      </c>
      <c r="K148" s="85">
        <f t="shared" si="37"/>
        <v>0</v>
      </c>
      <c r="L148" s="85">
        <f t="shared" si="37"/>
        <v>0</v>
      </c>
      <c r="M148" s="85">
        <f t="shared" si="37"/>
        <v>0</v>
      </c>
      <c r="N148" s="85">
        <f t="shared" si="37"/>
        <v>0</v>
      </c>
      <c r="O148" s="85">
        <f t="shared" si="37"/>
        <v>0</v>
      </c>
      <c r="P148" s="85">
        <f t="shared" si="37"/>
        <v>0</v>
      </c>
      <c r="Q148" s="85">
        <f t="shared" si="37"/>
        <v>0</v>
      </c>
      <c r="R148" s="85">
        <f t="shared" si="37"/>
        <v>0</v>
      </c>
      <c r="S148" s="85">
        <f t="shared" si="37"/>
        <v>0</v>
      </c>
      <c r="T148" s="85">
        <f t="shared" si="37"/>
        <v>0</v>
      </c>
      <c r="U148" s="85">
        <f t="shared" si="37"/>
        <v>0</v>
      </c>
      <c r="V148" s="85">
        <f t="shared" si="37"/>
        <v>0</v>
      </c>
      <c r="W148" s="85">
        <f t="shared" si="37"/>
        <v>0</v>
      </c>
      <c r="X148" s="85">
        <f t="shared" si="37"/>
        <v>0</v>
      </c>
      <c r="Y148" s="85">
        <f t="shared" si="37"/>
        <v>0</v>
      </c>
      <c r="Z148" s="85">
        <f t="shared" si="37"/>
        <v>0</v>
      </c>
      <c r="AA148" s="85">
        <f t="shared" si="37"/>
        <v>0</v>
      </c>
      <c r="AB148" s="85">
        <f t="shared" si="37"/>
        <v>0</v>
      </c>
      <c r="AC148" s="85">
        <f t="shared" si="37"/>
        <v>0</v>
      </c>
      <c r="AD148" s="85">
        <f t="shared" si="37"/>
        <v>0</v>
      </c>
      <c r="AE148" s="85">
        <f t="shared" si="37"/>
        <v>0</v>
      </c>
      <c r="AF148" s="85">
        <f t="shared" si="37"/>
        <v>0</v>
      </c>
    </row>
    <row r="149" spans="2:32">
      <c r="B149" s="30" t="s">
        <v>387</v>
      </c>
      <c r="C149" s="85">
        <f>E37*$C$126*$C$128</f>
        <v>0</v>
      </c>
      <c r="D149" s="85">
        <f t="shared" ref="D149:G149" si="38">F37*$C$126*$C$128</f>
        <v>0</v>
      </c>
      <c r="E149" s="85">
        <f t="shared" si="38"/>
        <v>0</v>
      </c>
      <c r="F149" s="85">
        <f t="shared" si="38"/>
        <v>0</v>
      </c>
      <c r="G149" s="85">
        <f t="shared" si="38"/>
        <v>0</v>
      </c>
      <c r="H149" s="85">
        <v>0</v>
      </c>
      <c r="I149" s="85">
        <v>0</v>
      </c>
      <c r="J149" s="85">
        <v>0</v>
      </c>
      <c r="K149" s="85">
        <v>0</v>
      </c>
      <c r="L149" s="85">
        <v>0</v>
      </c>
      <c r="M149" s="85">
        <v>0</v>
      </c>
      <c r="N149" s="85">
        <v>0</v>
      </c>
      <c r="O149" s="85">
        <v>0</v>
      </c>
      <c r="P149" s="85">
        <v>0</v>
      </c>
      <c r="Q149" s="85">
        <v>0</v>
      </c>
      <c r="R149" s="85">
        <v>0</v>
      </c>
      <c r="S149" s="85">
        <v>0</v>
      </c>
      <c r="T149" s="85">
        <v>0</v>
      </c>
      <c r="U149" s="85">
        <v>0</v>
      </c>
      <c r="V149" s="85">
        <v>0</v>
      </c>
      <c r="W149" s="85">
        <v>0</v>
      </c>
      <c r="X149" s="85">
        <v>0</v>
      </c>
      <c r="Y149" s="85">
        <v>0</v>
      </c>
      <c r="Z149" s="85">
        <v>0</v>
      </c>
      <c r="AA149" s="85">
        <v>0</v>
      </c>
      <c r="AB149" s="85">
        <v>0</v>
      </c>
      <c r="AC149" s="85">
        <v>0</v>
      </c>
      <c r="AD149" s="85">
        <v>0</v>
      </c>
      <c r="AE149" s="85">
        <v>0</v>
      </c>
      <c r="AF149" s="85">
        <v>0</v>
      </c>
    </row>
    <row r="150" spans="2:32">
      <c r="B150" s="505" t="s">
        <v>388</v>
      </c>
      <c r="C150" s="98">
        <f>SUM(C151:C152)</f>
        <v>0</v>
      </c>
      <c r="D150" s="98">
        <f>SUM(D151:D152)</f>
        <v>0</v>
      </c>
      <c r="E150" s="98">
        <f t="shared" ref="E150:AF150" si="39">SUM(E151:E152)</f>
        <v>0</v>
      </c>
      <c r="F150" s="98">
        <f t="shared" si="39"/>
        <v>0</v>
      </c>
      <c r="G150" s="98">
        <f t="shared" si="39"/>
        <v>0</v>
      </c>
      <c r="H150" s="98">
        <f t="shared" si="39"/>
        <v>0</v>
      </c>
      <c r="I150" s="98">
        <f t="shared" si="39"/>
        <v>0</v>
      </c>
      <c r="J150" s="98">
        <f t="shared" si="39"/>
        <v>0</v>
      </c>
      <c r="K150" s="98">
        <f t="shared" si="39"/>
        <v>0</v>
      </c>
      <c r="L150" s="98">
        <f t="shared" si="39"/>
        <v>0</v>
      </c>
      <c r="M150" s="98">
        <f t="shared" si="39"/>
        <v>0</v>
      </c>
      <c r="N150" s="98">
        <f t="shared" si="39"/>
        <v>0</v>
      </c>
      <c r="O150" s="98">
        <f t="shared" si="39"/>
        <v>0</v>
      </c>
      <c r="P150" s="98">
        <f t="shared" si="39"/>
        <v>0</v>
      </c>
      <c r="Q150" s="98">
        <f t="shared" si="39"/>
        <v>0</v>
      </c>
      <c r="R150" s="98">
        <f t="shared" si="39"/>
        <v>0</v>
      </c>
      <c r="S150" s="98">
        <f t="shared" si="39"/>
        <v>0</v>
      </c>
      <c r="T150" s="98">
        <f t="shared" si="39"/>
        <v>0</v>
      </c>
      <c r="U150" s="98">
        <f t="shared" si="39"/>
        <v>0</v>
      </c>
      <c r="V150" s="98">
        <f t="shared" si="39"/>
        <v>0</v>
      </c>
      <c r="W150" s="98">
        <f t="shared" si="39"/>
        <v>0</v>
      </c>
      <c r="X150" s="98">
        <f t="shared" si="39"/>
        <v>0</v>
      </c>
      <c r="Y150" s="98">
        <f t="shared" si="39"/>
        <v>0</v>
      </c>
      <c r="Z150" s="98">
        <f t="shared" si="39"/>
        <v>0</v>
      </c>
      <c r="AA150" s="98">
        <f t="shared" si="39"/>
        <v>0</v>
      </c>
      <c r="AB150" s="98">
        <f t="shared" si="39"/>
        <v>0</v>
      </c>
      <c r="AC150" s="98">
        <f t="shared" si="39"/>
        <v>0</v>
      </c>
      <c r="AD150" s="98">
        <f t="shared" si="39"/>
        <v>0</v>
      </c>
      <c r="AE150" s="98">
        <f t="shared" si="39"/>
        <v>0</v>
      </c>
      <c r="AF150" s="98">
        <f t="shared" si="39"/>
        <v>0</v>
      </c>
    </row>
    <row r="151" spans="2:32">
      <c r="B151" s="30" t="s">
        <v>389</v>
      </c>
      <c r="C151" s="85">
        <f>C141-C149</f>
        <v>0</v>
      </c>
      <c r="D151" s="85">
        <f t="shared" ref="D151:G151" si="40">D141-D149</f>
        <v>0</v>
      </c>
      <c r="E151" s="85">
        <f t="shared" si="40"/>
        <v>0</v>
      </c>
      <c r="F151" s="85">
        <f t="shared" si="40"/>
        <v>0</v>
      </c>
      <c r="G151" s="85">
        <f t="shared" si="40"/>
        <v>0</v>
      </c>
      <c r="H151" s="85">
        <v>0</v>
      </c>
      <c r="I151" s="85">
        <v>0</v>
      </c>
      <c r="J151" s="85">
        <v>0</v>
      </c>
      <c r="K151" s="85">
        <v>0</v>
      </c>
      <c r="L151" s="85">
        <v>0</v>
      </c>
      <c r="M151" s="85">
        <v>0</v>
      </c>
      <c r="N151" s="85">
        <v>0</v>
      </c>
      <c r="O151" s="85">
        <v>0</v>
      </c>
      <c r="P151" s="85">
        <v>0</v>
      </c>
      <c r="Q151" s="85">
        <v>0</v>
      </c>
      <c r="R151" s="85">
        <v>0</v>
      </c>
      <c r="S151" s="85">
        <v>0</v>
      </c>
      <c r="T151" s="85">
        <v>0</v>
      </c>
      <c r="U151" s="85">
        <v>0</v>
      </c>
      <c r="V151" s="85">
        <v>0</v>
      </c>
      <c r="W151" s="85">
        <v>0</v>
      </c>
      <c r="X151" s="85">
        <v>0</v>
      </c>
      <c r="Y151" s="85">
        <v>0</v>
      </c>
      <c r="Z151" s="85">
        <v>0</v>
      </c>
      <c r="AA151" s="85">
        <v>0</v>
      </c>
      <c r="AB151" s="85">
        <v>0</v>
      </c>
      <c r="AC151" s="85">
        <v>0</v>
      </c>
      <c r="AD151" s="85">
        <v>0</v>
      </c>
      <c r="AE151" s="85">
        <v>0</v>
      </c>
      <c r="AF151" s="85">
        <v>0</v>
      </c>
    </row>
    <row r="152" spans="2:32">
      <c r="B152" s="505" t="s">
        <v>390</v>
      </c>
      <c r="C152" s="98">
        <f>SUM(C153:C154)</f>
        <v>0</v>
      </c>
      <c r="D152" s="98">
        <f>SUM(D153:D154)</f>
        <v>0</v>
      </c>
      <c r="E152" s="98">
        <f t="shared" ref="E152:AF152" si="41">SUM(E153:E154)</f>
        <v>0</v>
      </c>
      <c r="F152" s="98">
        <f t="shared" si="41"/>
        <v>0</v>
      </c>
      <c r="G152" s="98">
        <f t="shared" si="41"/>
        <v>0</v>
      </c>
      <c r="H152" s="98">
        <f t="shared" si="41"/>
        <v>0</v>
      </c>
      <c r="I152" s="98">
        <f t="shared" si="41"/>
        <v>0</v>
      </c>
      <c r="J152" s="98">
        <f t="shared" si="41"/>
        <v>0</v>
      </c>
      <c r="K152" s="98">
        <f t="shared" si="41"/>
        <v>0</v>
      </c>
      <c r="L152" s="98">
        <f t="shared" si="41"/>
        <v>0</v>
      </c>
      <c r="M152" s="98">
        <f t="shared" si="41"/>
        <v>0</v>
      </c>
      <c r="N152" s="98">
        <f t="shared" si="41"/>
        <v>0</v>
      </c>
      <c r="O152" s="98">
        <f t="shared" si="41"/>
        <v>0</v>
      </c>
      <c r="P152" s="98">
        <f t="shared" si="41"/>
        <v>0</v>
      </c>
      <c r="Q152" s="98">
        <f t="shared" si="41"/>
        <v>0</v>
      </c>
      <c r="R152" s="98">
        <f t="shared" si="41"/>
        <v>0</v>
      </c>
      <c r="S152" s="98">
        <f t="shared" si="41"/>
        <v>0</v>
      </c>
      <c r="T152" s="98">
        <f t="shared" si="41"/>
        <v>0</v>
      </c>
      <c r="U152" s="98">
        <f t="shared" si="41"/>
        <v>0</v>
      </c>
      <c r="V152" s="98">
        <f t="shared" si="41"/>
        <v>0</v>
      </c>
      <c r="W152" s="98">
        <f t="shared" si="41"/>
        <v>0</v>
      </c>
      <c r="X152" s="98">
        <f t="shared" si="41"/>
        <v>0</v>
      </c>
      <c r="Y152" s="98">
        <f t="shared" si="41"/>
        <v>0</v>
      </c>
      <c r="Z152" s="98">
        <f t="shared" si="41"/>
        <v>0</v>
      </c>
      <c r="AA152" s="98">
        <f t="shared" si="41"/>
        <v>0</v>
      </c>
      <c r="AB152" s="98">
        <f t="shared" si="41"/>
        <v>0</v>
      </c>
      <c r="AC152" s="98">
        <f t="shared" si="41"/>
        <v>0</v>
      </c>
      <c r="AD152" s="98">
        <f t="shared" si="41"/>
        <v>0</v>
      </c>
      <c r="AE152" s="98">
        <f t="shared" si="41"/>
        <v>0</v>
      </c>
      <c r="AF152" s="98">
        <f t="shared" si="41"/>
        <v>0</v>
      </c>
    </row>
    <row r="153" spans="2:32">
      <c r="B153" s="30" t="s">
        <v>391</v>
      </c>
      <c r="C153" s="85">
        <f>E95</f>
        <v>0</v>
      </c>
      <c r="D153" s="85">
        <f t="shared" ref="D153:AF153" si="42">F95</f>
        <v>0</v>
      </c>
      <c r="E153" s="85">
        <f t="shared" si="42"/>
        <v>0</v>
      </c>
      <c r="F153" s="85">
        <f t="shared" si="42"/>
        <v>0</v>
      </c>
      <c r="G153" s="85">
        <f t="shared" si="42"/>
        <v>0</v>
      </c>
      <c r="H153" s="85">
        <f t="shared" si="42"/>
        <v>0</v>
      </c>
      <c r="I153" s="85">
        <f t="shared" si="42"/>
        <v>0</v>
      </c>
      <c r="J153" s="85">
        <f t="shared" si="42"/>
        <v>0</v>
      </c>
      <c r="K153" s="85">
        <f t="shared" si="42"/>
        <v>0</v>
      </c>
      <c r="L153" s="85">
        <f t="shared" si="42"/>
        <v>0</v>
      </c>
      <c r="M153" s="85">
        <f t="shared" si="42"/>
        <v>0</v>
      </c>
      <c r="N153" s="85">
        <f t="shared" si="42"/>
        <v>0</v>
      </c>
      <c r="O153" s="85">
        <f t="shared" si="42"/>
        <v>0</v>
      </c>
      <c r="P153" s="85">
        <f t="shared" si="42"/>
        <v>0</v>
      </c>
      <c r="Q153" s="85">
        <f t="shared" si="42"/>
        <v>0</v>
      </c>
      <c r="R153" s="85">
        <f t="shared" si="42"/>
        <v>0</v>
      </c>
      <c r="S153" s="85">
        <f t="shared" si="42"/>
        <v>0</v>
      </c>
      <c r="T153" s="85">
        <f t="shared" si="42"/>
        <v>0</v>
      </c>
      <c r="U153" s="85">
        <f t="shared" si="42"/>
        <v>0</v>
      </c>
      <c r="V153" s="85">
        <f t="shared" si="42"/>
        <v>0</v>
      </c>
      <c r="W153" s="85">
        <f t="shared" si="42"/>
        <v>0</v>
      </c>
      <c r="X153" s="85">
        <f t="shared" si="42"/>
        <v>0</v>
      </c>
      <c r="Y153" s="85">
        <f t="shared" si="42"/>
        <v>0</v>
      </c>
      <c r="Z153" s="85">
        <f t="shared" si="42"/>
        <v>0</v>
      </c>
      <c r="AA153" s="85">
        <f t="shared" si="42"/>
        <v>0</v>
      </c>
      <c r="AB153" s="85">
        <f t="shared" si="42"/>
        <v>0</v>
      </c>
      <c r="AC153" s="85">
        <f t="shared" si="42"/>
        <v>0</v>
      </c>
      <c r="AD153" s="85">
        <f t="shared" si="42"/>
        <v>0</v>
      </c>
      <c r="AE153" s="85">
        <f t="shared" si="42"/>
        <v>0</v>
      </c>
      <c r="AF153" s="85">
        <f t="shared" si="42"/>
        <v>0</v>
      </c>
    </row>
    <row r="154" spans="2:32">
      <c r="B154" s="505" t="s">
        <v>392</v>
      </c>
      <c r="C154" s="98">
        <f>SUM(C155:C156)</f>
        <v>0</v>
      </c>
      <c r="D154" s="98">
        <f>SUM(D155:D156)</f>
        <v>0</v>
      </c>
      <c r="E154" s="98">
        <f t="shared" ref="E154:AF154" si="43">SUM(E155:E156)</f>
        <v>0</v>
      </c>
      <c r="F154" s="98">
        <f t="shared" si="43"/>
        <v>0</v>
      </c>
      <c r="G154" s="98">
        <f t="shared" si="43"/>
        <v>0</v>
      </c>
      <c r="H154" s="98">
        <f t="shared" si="43"/>
        <v>0</v>
      </c>
      <c r="I154" s="98">
        <f t="shared" si="43"/>
        <v>0</v>
      </c>
      <c r="J154" s="98">
        <f t="shared" si="43"/>
        <v>0</v>
      </c>
      <c r="K154" s="98">
        <f t="shared" si="43"/>
        <v>0</v>
      </c>
      <c r="L154" s="98">
        <f t="shared" si="43"/>
        <v>0</v>
      </c>
      <c r="M154" s="98">
        <f t="shared" si="43"/>
        <v>0</v>
      </c>
      <c r="N154" s="98">
        <f t="shared" si="43"/>
        <v>0</v>
      </c>
      <c r="O154" s="98">
        <f t="shared" si="43"/>
        <v>0</v>
      </c>
      <c r="P154" s="98">
        <f t="shared" si="43"/>
        <v>0</v>
      </c>
      <c r="Q154" s="98">
        <f t="shared" si="43"/>
        <v>0</v>
      </c>
      <c r="R154" s="98">
        <f t="shared" si="43"/>
        <v>0</v>
      </c>
      <c r="S154" s="98">
        <f t="shared" si="43"/>
        <v>0</v>
      </c>
      <c r="T154" s="98">
        <f t="shared" si="43"/>
        <v>0</v>
      </c>
      <c r="U154" s="98">
        <f t="shared" si="43"/>
        <v>0</v>
      </c>
      <c r="V154" s="98">
        <f t="shared" si="43"/>
        <v>0</v>
      </c>
      <c r="W154" s="98">
        <f t="shared" si="43"/>
        <v>0</v>
      </c>
      <c r="X154" s="98">
        <f t="shared" si="43"/>
        <v>0</v>
      </c>
      <c r="Y154" s="98">
        <f t="shared" si="43"/>
        <v>0</v>
      </c>
      <c r="Z154" s="98">
        <f t="shared" si="43"/>
        <v>0</v>
      </c>
      <c r="AA154" s="98">
        <f t="shared" si="43"/>
        <v>0</v>
      </c>
      <c r="AB154" s="98">
        <f t="shared" si="43"/>
        <v>0</v>
      </c>
      <c r="AC154" s="98">
        <f t="shared" si="43"/>
        <v>0</v>
      </c>
      <c r="AD154" s="98">
        <f t="shared" si="43"/>
        <v>0</v>
      </c>
      <c r="AE154" s="98">
        <f t="shared" si="43"/>
        <v>0</v>
      </c>
      <c r="AF154" s="98">
        <f t="shared" si="43"/>
        <v>0</v>
      </c>
    </row>
    <row r="155" spans="2:32">
      <c r="B155" s="30" t="s">
        <v>393</v>
      </c>
      <c r="C155" s="85">
        <f>E96</f>
        <v>0</v>
      </c>
      <c r="D155" s="85">
        <f t="shared" ref="D155:AF155" si="44">F96</f>
        <v>0</v>
      </c>
      <c r="E155" s="85">
        <f t="shared" si="44"/>
        <v>0</v>
      </c>
      <c r="F155" s="85">
        <f t="shared" si="44"/>
        <v>0</v>
      </c>
      <c r="G155" s="85">
        <f t="shared" si="44"/>
        <v>0</v>
      </c>
      <c r="H155" s="85">
        <f t="shared" si="44"/>
        <v>0</v>
      </c>
      <c r="I155" s="85">
        <f t="shared" si="44"/>
        <v>0</v>
      </c>
      <c r="J155" s="85">
        <f t="shared" si="44"/>
        <v>0</v>
      </c>
      <c r="K155" s="85">
        <f t="shared" si="44"/>
        <v>0</v>
      </c>
      <c r="L155" s="85">
        <f t="shared" si="44"/>
        <v>0</v>
      </c>
      <c r="M155" s="85">
        <f t="shared" si="44"/>
        <v>0</v>
      </c>
      <c r="N155" s="85">
        <f t="shared" si="44"/>
        <v>0</v>
      </c>
      <c r="O155" s="85">
        <f t="shared" si="44"/>
        <v>0</v>
      </c>
      <c r="P155" s="85">
        <f t="shared" si="44"/>
        <v>0</v>
      </c>
      <c r="Q155" s="85">
        <f t="shared" si="44"/>
        <v>0</v>
      </c>
      <c r="R155" s="85">
        <f t="shared" si="44"/>
        <v>0</v>
      </c>
      <c r="S155" s="85">
        <f t="shared" si="44"/>
        <v>0</v>
      </c>
      <c r="T155" s="85">
        <f t="shared" si="44"/>
        <v>0</v>
      </c>
      <c r="U155" s="85">
        <f t="shared" si="44"/>
        <v>0</v>
      </c>
      <c r="V155" s="85">
        <f t="shared" si="44"/>
        <v>0</v>
      </c>
      <c r="W155" s="85">
        <f t="shared" si="44"/>
        <v>0</v>
      </c>
      <c r="X155" s="85">
        <f t="shared" si="44"/>
        <v>0</v>
      </c>
      <c r="Y155" s="85">
        <f t="shared" si="44"/>
        <v>0</v>
      </c>
      <c r="Z155" s="85">
        <f t="shared" si="44"/>
        <v>0</v>
      </c>
      <c r="AA155" s="85">
        <f t="shared" si="44"/>
        <v>0</v>
      </c>
      <c r="AB155" s="85">
        <f t="shared" si="44"/>
        <v>0</v>
      </c>
      <c r="AC155" s="85">
        <f t="shared" si="44"/>
        <v>0</v>
      </c>
      <c r="AD155" s="85">
        <f t="shared" si="44"/>
        <v>0</v>
      </c>
      <c r="AE155" s="85">
        <f t="shared" si="44"/>
        <v>0</v>
      </c>
      <c r="AF155" s="85">
        <f t="shared" si="44"/>
        <v>0</v>
      </c>
    </row>
    <row r="156" spans="2:32">
      <c r="B156" s="30" t="s">
        <v>394</v>
      </c>
      <c r="C156" s="85">
        <f>E99</f>
        <v>0</v>
      </c>
      <c r="D156" s="85">
        <f t="shared" ref="D156:AF156" si="45">F99</f>
        <v>0</v>
      </c>
      <c r="E156" s="85">
        <f t="shared" si="45"/>
        <v>0</v>
      </c>
      <c r="F156" s="85">
        <f t="shared" si="45"/>
        <v>0</v>
      </c>
      <c r="G156" s="85">
        <f t="shared" si="45"/>
        <v>0</v>
      </c>
      <c r="H156" s="85">
        <f t="shared" si="45"/>
        <v>0</v>
      </c>
      <c r="I156" s="85">
        <f t="shared" si="45"/>
        <v>0</v>
      </c>
      <c r="J156" s="85">
        <f t="shared" si="45"/>
        <v>0</v>
      </c>
      <c r="K156" s="85">
        <f t="shared" si="45"/>
        <v>0</v>
      </c>
      <c r="L156" s="85">
        <f t="shared" si="45"/>
        <v>0</v>
      </c>
      <c r="M156" s="85">
        <f t="shared" si="45"/>
        <v>0</v>
      </c>
      <c r="N156" s="85">
        <f t="shared" si="45"/>
        <v>0</v>
      </c>
      <c r="O156" s="85">
        <f t="shared" si="45"/>
        <v>0</v>
      </c>
      <c r="P156" s="85">
        <f t="shared" si="45"/>
        <v>0</v>
      </c>
      <c r="Q156" s="85">
        <f t="shared" si="45"/>
        <v>0</v>
      </c>
      <c r="R156" s="85">
        <f t="shared" si="45"/>
        <v>0</v>
      </c>
      <c r="S156" s="85">
        <f t="shared" si="45"/>
        <v>0</v>
      </c>
      <c r="T156" s="85">
        <f t="shared" si="45"/>
        <v>0</v>
      </c>
      <c r="U156" s="85">
        <f t="shared" si="45"/>
        <v>0</v>
      </c>
      <c r="V156" s="85">
        <f t="shared" si="45"/>
        <v>0</v>
      </c>
      <c r="W156" s="85">
        <f t="shared" si="45"/>
        <v>0</v>
      </c>
      <c r="X156" s="85">
        <f t="shared" si="45"/>
        <v>0</v>
      </c>
      <c r="Y156" s="85">
        <f t="shared" si="45"/>
        <v>0</v>
      </c>
      <c r="Z156" s="85">
        <f t="shared" si="45"/>
        <v>0</v>
      </c>
      <c r="AA156" s="85">
        <f t="shared" si="45"/>
        <v>0</v>
      </c>
      <c r="AB156" s="85">
        <f t="shared" si="45"/>
        <v>0</v>
      </c>
      <c r="AC156" s="85">
        <f t="shared" si="45"/>
        <v>0</v>
      </c>
      <c r="AD156" s="85">
        <f t="shared" si="45"/>
        <v>0</v>
      </c>
      <c r="AE156" s="85">
        <f t="shared" si="45"/>
        <v>0</v>
      </c>
      <c r="AF156" s="85">
        <f t="shared" si="45"/>
        <v>0</v>
      </c>
    </row>
    <row r="157" spans="2:32">
      <c r="B157" s="30" t="s">
        <v>395</v>
      </c>
      <c r="C157" s="85">
        <f>E117</f>
        <v>0</v>
      </c>
      <c r="D157" s="85">
        <f t="shared" ref="D157:AF157" si="46">F117</f>
        <v>0</v>
      </c>
      <c r="E157" s="85">
        <f t="shared" si="46"/>
        <v>0</v>
      </c>
      <c r="F157" s="85">
        <f t="shared" si="46"/>
        <v>0</v>
      </c>
      <c r="G157" s="85">
        <f t="shared" si="46"/>
        <v>0</v>
      </c>
      <c r="H157" s="85">
        <f t="shared" si="46"/>
        <v>0</v>
      </c>
      <c r="I157" s="85">
        <f t="shared" si="46"/>
        <v>0</v>
      </c>
      <c r="J157" s="85">
        <f t="shared" si="46"/>
        <v>0</v>
      </c>
      <c r="K157" s="85">
        <f t="shared" si="46"/>
        <v>0</v>
      </c>
      <c r="L157" s="85">
        <f t="shared" si="46"/>
        <v>0</v>
      </c>
      <c r="M157" s="85">
        <f t="shared" si="46"/>
        <v>0</v>
      </c>
      <c r="N157" s="85">
        <f t="shared" si="46"/>
        <v>0</v>
      </c>
      <c r="O157" s="85">
        <f t="shared" si="46"/>
        <v>0</v>
      </c>
      <c r="P157" s="85">
        <f t="shared" si="46"/>
        <v>0</v>
      </c>
      <c r="Q157" s="85">
        <f t="shared" si="46"/>
        <v>0</v>
      </c>
      <c r="R157" s="85">
        <f t="shared" si="46"/>
        <v>0</v>
      </c>
      <c r="S157" s="85">
        <f t="shared" si="46"/>
        <v>0</v>
      </c>
      <c r="T157" s="85">
        <f t="shared" si="46"/>
        <v>0</v>
      </c>
      <c r="U157" s="85">
        <f t="shared" si="46"/>
        <v>0</v>
      </c>
      <c r="V157" s="85">
        <f t="shared" si="46"/>
        <v>0</v>
      </c>
      <c r="W157" s="85">
        <f t="shared" si="46"/>
        <v>0</v>
      </c>
      <c r="X157" s="85">
        <f t="shared" si="46"/>
        <v>0</v>
      </c>
      <c r="Y157" s="85">
        <f t="shared" si="46"/>
        <v>0</v>
      </c>
      <c r="Z157" s="85">
        <f t="shared" si="46"/>
        <v>0</v>
      </c>
      <c r="AA157" s="85">
        <f t="shared" si="46"/>
        <v>0</v>
      </c>
      <c r="AB157" s="85">
        <f t="shared" si="46"/>
        <v>0</v>
      </c>
      <c r="AC157" s="85">
        <f t="shared" si="46"/>
        <v>0</v>
      </c>
      <c r="AD157" s="85">
        <f t="shared" si="46"/>
        <v>0</v>
      </c>
      <c r="AE157" s="85">
        <f t="shared" si="46"/>
        <v>0</v>
      </c>
      <c r="AF157" s="85">
        <f t="shared" si="46"/>
        <v>0</v>
      </c>
    </row>
    <row r="158" spans="2:32">
      <c r="B158" s="35" t="s">
        <v>396</v>
      </c>
      <c r="C158" s="94">
        <f>SUM(C147:C150)</f>
        <v>0</v>
      </c>
      <c r="D158" s="94">
        <f>SUM(D147:D150)</f>
        <v>0</v>
      </c>
      <c r="E158" s="94">
        <f t="shared" ref="E158:AF158" si="47">SUM(E147:E150)</f>
        <v>0</v>
      </c>
      <c r="F158" s="94">
        <f t="shared" si="47"/>
        <v>0</v>
      </c>
      <c r="G158" s="94">
        <f t="shared" si="47"/>
        <v>0</v>
      </c>
      <c r="H158" s="94">
        <f t="shared" si="47"/>
        <v>0</v>
      </c>
      <c r="I158" s="94">
        <f t="shared" si="47"/>
        <v>0</v>
      </c>
      <c r="J158" s="94">
        <f t="shared" si="47"/>
        <v>0</v>
      </c>
      <c r="K158" s="94">
        <f t="shared" si="47"/>
        <v>0</v>
      </c>
      <c r="L158" s="94">
        <f t="shared" si="47"/>
        <v>0</v>
      </c>
      <c r="M158" s="94">
        <f t="shared" si="47"/>
        <v>0</v>
      </c>
      <c r="N158" s="94">
        <f t="shared" si="47"/>
        <v>0</v>
      </c>
      <c r="O158" s="94">
        <f t="shared" si="47"/>
        <v>0</v>
      </c>
      <c r="P158" s="94">
        <f t="shared" si="47"/>
        <v>0</v>
      </c>
      <c r="Q158" s="94">
        <f t="shared" si="47"/>
        <v>0</v>
      </c>
      <c r="R158" s="94">
        <f t="shared" si="47"/>
        <v>0</v>
      </c>
      <c r="S158" s="94">
        <f t="shared" si="47"/>
        <v>0</v>
      </c>
      <c r="T158" s="94">
        <f t="shared" si="47"/>
        <v>0</v>
      </c>
      <c r="U158" s="94">
        <f t="shared" si="47"/>
        <v>0</v>
      </c>
      <c r="V158" s="94">
        <f t="shared" si="47"/>
        <v>0</v>
      </c>
      <c r="W158" s="94">
        <f t="shared" si="47"/>
        <v>0</v>
      </c>
      <c r="X158" s="94">
        <f t="shared" si="47"/>
        <v>0</v>
      </c>
      <c r="Y158" s="94">
        <f t="shared" si="47"/>
        <v>0</v>
      </c>
      <c r="Z158" s="94">
        <f t="shared" si="47"/>
        <v>0</v>
      </c>
      <c r="AA158" s="94">
        <f t="shared" si="47"/>
        <v>0</v>
      </c>
      <c r="AB158" s="94">
        <f t="shared" si="47"/>
        <v>0</v>
      </c>
      <c r="AC158" s="94">
        <f t="shared" si="47"/>
        <v>0</v>
      </c>
      <c r="AD158" s="94">
        <f t="shared" si="47"/>
        <v>0</v>
      </c>
      <c r="AE158" s="94">
        <f t="shared" si="47"/>
        <v>0</v>
      </c>
      <c r="AF158" s="94">
        <f t="shared" si="47"/>
        <v>0</v>
      </c>
    </row>
    <row r="159" spans="2:32">
      <c r="B159" s="35" t="s">
        <v>397</v>
      </c>
      <c r="C159" s="94">
        <f>C158-C146</f>
        <v>0</v>
      </c>
      <c r="D159" s="94">
        <f>D158-D146</f>
        <v>0</v>
      </c>
      <c r="E159" s="94">
        <f t="shared" ref="E159:AF159" si="48">E158-E146</f>
        <v>0</v>
      </c>
      <c r="F159" s="94">
        <f t="shared" si="48"/>
        <v>0</v>
      </c>
      <c r="G159" s="94">
        <f t="shared" si="48"/>
        <v>0</v>
      </c>
      <c r="H159" s="94">
        <f t="shared" si="48"/>
        <v>0</v>
      </c>
      <c r="I159" s="94">
        <f t="shared" si="48"/>
        <v>0</v>
      </c>
      <c r="J159" s="94">
        <f t="shared" si="48"/>
        <v>0</v>
      </c>
      <c r="K159" s="94">
        <f t="shared" si="48"/>
        <v>0</v>
      </c>
      <c r="L159" s="94">
        <f t="shared" si="48"/>
        <v>0</v>
      </c>
      <c r="M159" s="94">
        <f t="shared" si="48"/>
        <v>0</v>
      </c>
      <c r="N159" s="94">
        <f t="shared" si="48"/>
        <v>0</v>
      </c>
      <c r="O159" s="94">
        <f t="shared" si="48"/>
        <v>0</v>
      </c>
      <c r="P159" s="94">
        <f t="shared" si="48"/>
        <v>0</v>
      </c>
      <c r="Q159" s="94">
        <f t="shared" si="48"/>
        <v>0</v>
      </c>
      <c r="R159" s="94">
        <f t="shared" si="48"/>
        <v>0</v>
      </c>
      <c r="S159" s="94">
        <f t="shared" si="48"/>
        <v>0</v>
      </c>
      <c r="T159" s="94">
        <f t="shared" si="48"/>
        <v>0</v>
      </c>
      <c r="U159" s="94">
        <f t="shared" si="48"/>
        <v>0</v>
      </c>
      <c r="V159" s="94">
        <f t="shared" si="48"/>
        <v>0</v>
      </c>
      <c r="W159" s="94">
        <f t="shared" si="48"/>
        <v>0</v>
      </c>
      <c r="X159" s="94">
        <f t="shared" si="48"/>
        <v>0</v>
      </c>
      <c r="Y159" s="94">
        <f t="shared" si="48"/>
        <v>0</v>
      </c>
      <c r="Z159" s="94">
        <f t="shared" si="48"/>
        <v>0</v>
      </c>
      <c r="AA159" s="94">
        <f t="shared" si="48"/>
        <v>0</v>
      </c>
      <c r="AB159" s="94">
        <f t="shared" si="48"/>
        <v>0</v>
      </c>
      <c r="AC159" s="94">
        <f t="shared" si="48"/>
        <v>0</v>
      </c>
      <c r="AD159" s="94">
        <f t="shared" si="48"/>
        <v>0</v>
      </c>
      <c r="AE159" s="94">
        <f t="shared" si="48"/>
        <v>0</v>
      </c>
      <c r="AF159" s="94">
        <f t="shared" si="48"/>
        <v>0</v>
      </c>
    </row>
    <row r="160" spans="2:32">
      <c r="B160" s="35" t="s">
        <v>398</v>
      </c>
      <c r="C160" s="94">
        <f>C159</f>
        <v>0</v>
      </c>
      <c r="D160" s="94">
        <f>C160+D159</f>
        <v>0</v>
      </c>
      <c r="E160" s="94">
        <f t="shared" ref="E160:AF160" si="49">D160+E159</f>
        <v>0</v>
      </c>
      <c r="F160" s="94">
        <f t="shared" si="49"/>
        <v>0</v>
      </c>
      <c r="G160" s="94">
        <f t="shared" si="49"/>
        <v>0</v>
      </c>
      <c r="H160" s="94">
        <f t="shared" si="49"/>
        <v>0</v>
      </c>
      <c r="I160" s="94">
        <f t="shared" si="49"/>
        <v>0</v>
      </c>
      <c r="J160" s="94">
        <f t="shared" si="49"/>
        <v>0</v>
      </c>
      <c r="K160" s="94">
        <f t="shared" si="49"/>
        <v>0</v>
      </c>
      <c r="L160" s="94">
        <f t="shared" si="49"/>
        <v>0</v>
      </c>
      <c r="M160" s="94">
        <f t="shared" si="49"/>
        <v>0</v>
      </c>
      <c r="N160" s="94">
        <f t="shared" si="49"/>
        <v>0</v>
      </c>
      <c r="O160" s="94">
        <f t="shared" si="49"/>
        <v>0</v>
      </c>
      <c r="P160" s="94">
        <f t="shared" si="49"/>
        <v>0</v>
      </c>
      <c r="Q160" s="94">
        <f t="shared" si="49"/>
        <v>0</v>
      </c>
      <c r="R160" s="94">
        <f t="shared" si="49"/>
        <v>0</v>
      </c>
      <c r="S160" s="94">
        <f t="shared" si="49"/>
        <v>0</v>
      </c>
      <c r="T160" s="94">
        <f t="shared" si="49"/>
        <v>0</v>
      </c>
      <c r="U160" s="94">
        <f t="shared" si="49"/>
        <v>0</v>
      </c>
      <c r="V160" s="94">
        <f t="shared" si="49"/>
        <v>0</v>
      </c>
      <c r="W160" s="94">
        <f t="shared" si="49"/>
        <v>0</v>
      </c>
      <c r="X160" s="94">
        <f t="shared" si="49"/>
        <v>0</v>
      </c>
      <c r="Y160" s="94">
        <f t="shared" si="49"/>
        <v>0</v>
      </c>
      <c r="Z160" s="94">
        <f t="shared" si="49"/>
        <v>0</v>
      </c>
      <c r="AA160" s="94">
        <f t="shared" si="49"/>
        <v>0</v>
      </c>
      <c r="AB160" s="94">
        <f t="shared" si="49"/>
        <v>0</v>
      </c>
      <c r="AC160" s="94">
        <f t="shared" si="49"/>
        <v>0</v>
      </c>
      <c r="AD160" s="94">
        <f t="shared" si="49"/>
        <v>0</v>
      </c>
      <c r="AE160" s="94">
        <f t="shared" si="49"/>
        <v>0</v>
      </c>
      <c r="AF160" s="94">
        <f t="shared" si="49"/>
        <v>0</v>
      </c>
    </row>
    <row r="161" spans="2:32">
      <c r="B161" s="1"/>
    </row>
    <row r="162" spans="2:32">
      <c r="B162" s="154" t="s">
        <v>373</v>
      </c>
      <c r="C162" s="489">
        <f>C147+E86-C142</f>
        <v>0</v>
      </c>
      <c r="D162" s="489">
        <f t="shared" ref="D162:AF162" si="50">D147+F86-D142</f>
        <v>0</v>
      </c>
      <c r="E162" s="489">
        <f t="shared" si="50"/>
        <v>0</v>
      </c>
      <c r="F162" s="489">
        <f t="shared" si="50"/>
        <v>0</v>
      </c>
      <c r="G162" s="489">
        <f t="shared" si="50"/>
        <v>0</v>
      </c>
      <c r="H162" s="489">
        <f t="shared" si="50"/>
        <v>0</v>
      </c>
      <c r="I162" s="489">
        <f t="shared" si="50"/>
        <v>0</v>
      </c>
      <c r="J162" s="489">
        <f t="shared" si="50"/>
        <v>0</v>
      </c>
      <c r="K162" s="489">
        <f t="shared" si="50"/>
        <v>0</v>
      </c>
      <c r="L162" s="489">
        <f t="shared" si="50"/>
        <v>0</v>
      </c>
      <c r="M162" s="489">
        <f t="shared" si="50"/>
        <v>0</v>
      </c>
      <c r="N162" s="489">
        <f t="shared" si="50"/>
        <v>0</v>
      </c>
      <c r="O162" s="489">
        <f t="shared" si="50"/>
        <v>0</v>
      </c>
      <c r="P162" s="489">
        <f t="shared" si="50"/>
        <v>0</v>
      </c>
      <c r="Q162" s="489">
        <f t="shared" si="50"/>
        <v>0</v>
      </c>
      <c r="R162" s="489">
        <f t="shared" si="50"/>
        <v>0</v>
      </c>
      <c r="S162" s="489">
        <f t="shared" si="50"/>
        <v>0</v>
      </c>
      <c r="T162" s="489">
        <f t="shared" si="50"/>
        <v>0</v>
      </c>
      <c r="U162" s="489">
        <f t="shared" si="50"/>
        <v>0</v>
      </c>
      <c r="V162" s="489">
        <f t="shared" si="50"/>
        <v>0</v>
      </c>
      <c r="W162" s="489">
        <f t="shared" si="50"/>
        <v>0</v>
      </c>
      <c r="X162" s="489">
        <f t="shared" si="50"/>
        <v>0</v>
      </c>
      <c r="Y162" s="489">
        <f t="shared" si="50"/>
        <v>0</v>
      </c>
      <c r="Z162" s="489">
        <f t="shared" si="50"/>
        <v>0</v>
      </c>
      <c r="AA162" s="489">
        <f t="shared" si="50"/>
        <v>0</v>
      </c>
      <c r="AB162" s="489">
        <f t="shared" si="50"/>
        <v>0</v>
      </c>
      <c r="AC162" s="489">
        <f t="shared" si="50"/>
        <v>0</v>
      </c>
      <c r="AD162" s="489">
        <f t="shared" si="50"/>
        <v>0</v>
      </c>
      <c r="AE162" s="489">
        <f t="shared" si="50"/>
        <v>0</v>
      </c>
      <c r="AF162" s="489">
        <f t="shared" si="50"/>
        <v>0</v>
      </c>
    </row>
    <row r="163" spans="2:32">
      <c r="B163" s="154" t="s">
        <v>374</v>
      </c>
      <c r="C163" s="489">
        <f>C162</f>
        <v>0</v>
      </c>
      <c r="D163" s="489">
        <f>C163+D162+C164</f>
        <v>0</v>
      </c>
      <c r="E163" s="489">
        <f t="shared" ref="E163:AF163" si="51">D163+E162+D164</f>
        <v>0</v>
      </c>
      <c r="F163" s="489">
        <f t="shared" si="51"/>
        <v>0</v>
      </c>
      <c r="G163" s="489">
        <f t="shared" si="51"/>
        <v>0</v>
      </c>
      <c r="H163" s="489">
        <f t="shared" si="51"/>
        <v>0</v>
      </c>
      <c r="I163" s="489">
        <f t="shared" si="51"/>
        <v>0</v>
      </c>
      <c r="J163" s="489">
        <f t="shared" si="51"/>
        <v>0</v>
      </c>
      <c r="K163" s="489">
        <f t="shared" si="51"/>
        <v>0</v>
      </c>
      <c r="L163" s="489">
        <f t="shared" si="51"/>
        <v>0</v>
      </c>
      <c r="M163" s="489">
        <f t="shared" si="51"/>
        <v>0</v>
      </c>
      <c r="N163" s="489">
        <f t="shared" si="51"/>
        <v>0</v>
      </c>
      <c r="O163" s="489">
        <f t="shared" si="51"/>
        <v>0</v>
      </c>
      <c r="P163" s="489">
        <f t="shared" si="51"/>
        <v>0</v>
      </c>
      <c r="Q163" s="489">
        <f t="shared" si="51"/>
        <v>0</v>
      </c>
      <c r="R163" s="489">
        <f t="shared" si="51"/>
        <v>0</v>
      </c>
      <c r="S163" s="489">
        <f t="shared" si="51"/>
        <v>0</v>
      </c>
      <c r="T163" s="489">
        <f t="shared" si="51"/>
        <v>0</v>
      </c>
      <c r="U163" s="489">
        <f t="shared" si="51"/>
        <v>0</v>
      </c>
      <c r="V163" s="489">
        <f t="shared" si="51"/>
        <v>0</v>
      </c>
      <c r="W163" s="489">
        <f t="shared" si="51"/>
        <v>0</v>
      </c>
      <c r="X163" s="489">
        <f t="shared" si="51"/>
        <v>0</v>
      </c>
      <c r="Y163" s="489">
        <f t="shared" si="51"/>
        <v>0</v>
      </c>
      <c r="Z163" s="489">
        <f t="shared" si="51"/>
        <v>0</v>
      </c>
      <c r="AA163" s="489">
        <f t="shared" si="51"/>
        <v>0</v>
      </c>
      <c r="AB163" s="489">
        <f t="shared" si="51"/>
        <v>0</v>
      </c>
      <c r="AC163" s="489">
        <f t="shared" si="51"/>
        <v>0</v>
      </c>
      <c r="AD163" s="489">
        <f t="shared" si="51"/>
        <v>0</v>
      </c>
      <c r="AE163" s="489">
        <f t="shared" si="51"/>
        <v>0</v>
      </c>
      <c r="AF163" s="489">
        <f t="shared" si="51"/>
        <v>0</v>
      </c>
    </row>
    <row r="164" spans="2:32">
      <c r="B164" s="154" t="s">
        <v>375</v>
      </c>
      <c r="C164" s="490">
        <f>IF(C163&lt;0,C163*-1,0)</f>
        <v>0</v>
      </c>
      <c r="D164" s="490">
        <f>IF(D163&lt;0,D163*-1,0)</f>
        <v>0</v>
      </c>
      <c r="E164" s="490">
        <f t="shared" ref="E164:AF164" si="52">IF(E163&lt;0,E163*-1,0)</f>
        <v>0</v>
      </c>
      <c r="F164" s="490">
        <f t="shared" si="52"/>
        <v>0</v>
      </c>
      <c r="G164" s="490">
        <f t="shared" si="52"/>
        <v>0</v>
      </c>
      <c r="H164" s="490">
        <f t="shared" si="52"/>
        <v>0</v>
      </c>
      <c r="I164" s="490">
        <f t="shared" si="52"/>
        <v>0</v>
      </c>
      <c r="J164" s="490">
        <f t="shared" si="52"/>
        <v>0</v>
      </c>
      <c r="K164" s="490">
        <f t="shared" si="52"/>
        <v>0</v>
      </c>
      <c r="L164" s="490">
        <f t="shared" si="52"/>
        <v>0</v>
      </c>
      <c r="M164" s="490">
        <f t="shared" si="52"/>
        <v>0</v>
      </c>
      <c r="N164" s="490">
        <f t="shared" si="52"/>
        <v>0</v>
      </c>
      <c r="O164" s="490">
        <f t="shared" si="52"/>
        <v>0</v>
      </c>
      <c r="P164" s="490">
        <f t="shared" si="52"/>
        <v>0</v>
      </c>
      <c r="Q164" s="490">
        <f t="shared" si="52"/>
        <v>0</v>
      </c>
      <c r="R164" s="490">
        <f t="shared" si="52"/>
        <v>0</v>
      </c>
      <c r="S164" s="490">
        <f t="shared" si="52"/>
        <v>0</v>
      </c>
      <c r="T164" s="490">
        <f t="shared" si="52"/>
        <v>0</v>
      </c>
      <c r="U164" s="490">
        <f t="shared" si="52"/>
        <v>0</v>
      </c>
      <c r="V164" s="490">
        <f t="shared" si="52"/>
        <v>0</v>
      </c>
      <c r="W164" s="490">
        <f t="shared" si="52"/>
        <v>0</v>
      </c>
      <c r="X164" s="490">
        <f t="shared" si="52"/>
        <v>0</v>
      </c>
      <c r="Y164" s="490">
        <f t="shared" si="52"/>
        <v>0</v>
      </c>
      <c r="Z164" s="490">
        <f t="shared" si="52"/>
        <v>0</v>
      </c>
      <c r="AA164" s="490">
        <f t="shared" si="52"/>
        <v>0</v>
      </c>
      <c r="AB164" s="490">
        <f t="shared" si="52"/>
        <v>0</v>
      </c>
      <c r="AC164" s="490">
        <f t="shared" si="52"/>
        <v>0</v>
      </c>
      <c r="AD164" s="490">
        <f t="shared" si="52"/>
        <v>0</v>
      </c>
      <c r="AE164" s="490">
        <f t="shared" si="52"/>
        <v>0</v>
      </c>
      <c r="AF164" s="490">
        <f t="shared" si="52"/>
        <v>0</v>
      </c>
    </row>
    <row r="166" spans="2:32" ht="14.4" thickBot="1"/>
    <row r="167" spans="2:32" ht="14.4" thickBot="1">
      <c r="B167" s="500" t="s">
        <v>545</v>
      </c>
    </row>
    <row r="168" spans="2:32" ht="14.4" thickBot="1"/>
    <row r="169" spans="2:32">
      <c r="B169" s="298" t="s">
        <v>190</v>
      </c>
    </row>
    <row r="170" spans="2:32" ht="83.4" thickBot="1">
      <c r="B170" s="299" t="s">
        <v>539</v>
      </c>
    </row>
    <row r="171" spans="2:32" ht="14.4" thickBot="1"/>
    <row r="172" spans="2:32">
      <c r="B172" s="300" t="s">
        <v>189</v>
      </c>
      <c r="C172" s="301" t="s">
        <v>192</v>
      </c>
      <c r="D172" s="578" t="s">
        <v>377</v>
      </c>
      <c r="E172" s="578"/>
      <c r="F172" s="579"/>
    </row>
    <row r="173" spans="2:32" ht="28.2" thickBot="1">
      <c r="B173" s="302" t="s">
        <v>378</v>
      </c>
      <c r="C173" s="553"/>
      <c r="D173" s="580"/>
      <c r="E173" s="580"/>
      <c r="F173" s="581"/>
    </row>
  </sheetData>
  <sheetProtection algorithmName="SHA-512" hashValue="iiqSr/kmAoX8KCL3iaErx4PQ4BSQ5fgLAgQ1TomXKC0PGlJyWzlIfTyR/uYyhqO18ShXThGRGB0sZIq8pnFNQg==" saltValue="HqEiJdVbJoBb44ToUhDTpw==" spinCount="100000" sheet="1" objects="1" scenarios="1"/>
  <mergeCells count="2">
    <mergeCell ref="D172:F172"/>
    <mergeCell ref="D173:F173"/>
  </mergeCells>
  <conditionalFormatting sqref="C141:AF144 C146:AF160">
    <cfRule type="expression" dxfId="167" priority="74">
      <formula>NOT(ISBLANK(C$140))</formula>
    </cfRule>
  </conditionalFormatting>
  <conditionalFormatting sqref="C162:AF163 D164:AF164">
    <cfRule type="expression" dxfId="166" priority="12">
      <formula>NOT(ISBLANK(C$267))</formula>
    </cfRule>
  </conditionalFormatting>
  <conditionalFormatting sqref="C164:AF164">
    <cfRule type="expression" dxfId="165" priority="10">
      <formula>NOT(ISBLANK(C$277))</formula>
    </cfRule>
  </conditionalFormatting>
  <conditionalFormatting sqref="D145:AF145">
    <cfRule type="expression" dxfId="164" priority="11">
      <formula>NOT(ISBLANK(D$85))</formula>
    </cfRule>
  </conditionalFormatting>
  <conditionalFormatting sqref="E113:AH118">
    <cfRule type="expression" dxfId="163" priority="81">
      <formula>NOT(ISBLANK(E$112))</formula>
    </cfRule>
  </conditionalFormatting>
  <conditionalFormatting sqref="F75:AH75">
    <cfRule type="expression" dxfId="162" priority="1">
      <formula>NOT(ISBLANK(F$85))</formula>
    </cfRule>
  </conditionalFormatting>
  <conditionalFormatting sqref="F80:AH80">
    <cfRule type="expression" dxfId="161" priority="2">
      <formula>NOT(ISBLANK(F$85))</formula>
    </cfRule>
  </conditionalFormatting>
  <conditionalFormatting sqref="F86:AH86">
    <cfRule type="expression" dxfId="160" priority="3">
      <formula>NOT(ISBLANK(F$85))</formula>
    </cfRule>
  </conditionalFormatting>
  <conditionalFormatting sqref="F89:AH89">
    <cfRule type="expression" dxfId="159" priority="4">
      <formula>NOT(ISBLANK(F$85))</formula>
    </cfRule>
  </conditionalFormatting>
  <conditionalFormatting sqref="F95:AH99">
    <cfRule type="expression" dxfId="158" priority="5">
      <formula>NOT(ISBLANK(F$85))</formula>
    </cfRule>
  </conditionalFormatting>
  <dataValidations disablePrompts="1" count="1">
    <dataValidation type="list" allowBlank="1" showInputMessage="1" showErrorMessage="1" sqref="C173" xr:uid="{56287D74-8458-4E39-AEAC-7434F0AF3C89}">
      <formula1>i_n_list</formula1>
    </dataValidation>
  </dataValidation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9EB7F-B4F9-400F-AD21-21EABB9EE9E4}">
  <sheetPr codeName="Munka22">
    <tabColor theme="8" tint="0.59999389629810485"/>
  </sheetPr>
  <dimension ref="A1:AH186"/>
  <sheetViews>
    <sheetView topLeftCell="A156" zoomScale="70" zoomScaleNormal="70" workbookViewId="0">
      <selection activeCell="C177" sqref="C177:AF177"/>
    </sheetView>
  </sheetViews>
  <sheetFormatPr defaultColWidth="9.19921875" defaultRowHeight="13.8"/>
  <cols>
    <col min="1" max="1" width="9.19921875" style="47"/>
    <col min="2" max="2" width="62.19921875" style="47" customWidth="1"/>
    <col min="3" max="34" width="18.69921875" style="47" customWidth="1"/>
    <col min="35" max="16384" width="9.19921875" style="47"/>
  </cols>
  <sheetData>
    <row r="1" spans="1:5" ht="14.4" thickBot="1"/>
    <row r="2" spans="1:5" ht="14.4" thickBot="1">
      <c r="B2" s="5" t="s">
        <v>546</v>
      </c>
    </row>
    <row r="3" spans="1:5" ht="14.4" thickBot="1">
      <c r="B3" s="1"/>
    </row>
    <row r="4" spans="1:5" ht="185.4" thickBot="1">
      <c r="B4" s="500" t="s">
        <v>547</v>
      </c>
    </row>
    <row r="5" spans="1:5">
      <c r="B5" s="1"/>
    </row>
    <row r="6" spans="1:5">
      <c r="B6" s="1"/>
    </row>
    <row r="7" spans="1:5" s="83" customFormat="1">
      <c r="A7" s="493"/>
      <c r="B7" s="6" t="s">
        <v>489</v>
      </c>
    </row>
    <row r="8" spans="1:5">
      <c r="B8" s="1"/>
    </row>
    <row r="9" spans="1:5">
      <c r="B9" s="1"/>
    </row>
    <row r="10" spans="1:5" ht="27.6">
      <c r="B10" s="8" t="s">
        <v>288</v>
      </c>
      <c r="C10" s="503" t="s">
        <v>506</v>
      </c>
      <c r="D10" s="503" t="s">
        <v>507</v>
      </c>
      <c r="E10" s="503" t="s">
        <v>508</v>
      </c>
    </row>
    <row r="11" spans="1:5">
      <c r="B11" s="10" t="s">
        <v>265</v>
      </c>
      <c r="C11" s="501"/>
      <c r="D11" s="501"/>
      <c r="E11" s="132">
        <f t="shared" ref="E11:E22" si="0">SUM(C11:D11)</f>
        <v>0</v>
      </c>
    </row>
    <row r="12" spans="1:5">
      <c r="B12" s="10" t="s">
        <v>269</v>
      </c>
      <c r="C12" s="501"/>
      <c r="D12" s="501"/>
      <c r="E12" s="132">
        <f t="shared" si="0"/>
        <v>0</v>
      </c>
    </row>
    <row r="13" spans="1:5">
      <c r="B13" s="10" t="s">
        <v>276</v>
      </c>
      <c r="C13" s="501"/>
      <c r="D13" s="501"/>
      <c r="E13" s="132">
        <f t="shared" si="0"/>
        <v>0</v>
      </c>
    </row>
    <row r="14" spans="1:5">
      <c r="B14" s="10" t="s">
        <v>282</v>
      </c>
      <c r="C14" s="501"/>
      <c r="D14" s="501"/>
      <c r="E14" s="132">
        <f t="shared" si="0"/>
        <v>0</v>
      </c>
    </row>
    <row r="15" spans="1:5">
      <c r="B15" s="10" t="s">
        <v>286</v>
      </c>
      <c r="C15" s="501"/>
      <c r="D15" s="501"/>
      <c r="E15" s="132">
        <f t="shared" si="0"/>
        <v>0</v>
      </c>
    </row>
    <row r="16" spans="1:5">
      <c r="B16" s="10" t="s">
        <v>287</v>
      </c>
      <c r="C16" s="501"/>
      <c r="D16" s="501"/>
      <c r="E16" s="132">
        <f t="shared" si="0"/>
        <v>0</v>
      </c>
    </row>
    <row r="17" spans="2:9">
      <c r="B17" s="10" t="s">
        <v>327</v>
      </c>
      <c r="C17" s="501"/>
      <c r="D17" s="501"/>
      <c r="E17" s="132">
        <f t="shared" si="0"/>
        <v>0</v>
      </c>
    </row>
    <row r="18" spans="2:9">
      <c r="B18" s="10" t="s">
        <v>327</v>
      </c>
      <c r="C18" s="501"/>
      <c r="D18" s="501"/>
      <c r="E18" s="132">
        <f t="shared" si="0"/>
        <v>0</v>
      </c>
    </row>
    <row r="19" spans="2:9">
      <c r="B19" s="10" t="s">
        <v>327</v>
      </c>
      <c r="C19" s="501"/>
      <c r="D19" s="501"/>
      <c r="E19" s="132">
        <f t="shared" si="0"/>
        <v>0</v>
      </c>
    </row>
    <row r="20" spans="2:9">
      <c r="B20" s="10" t="s">
        <v>327</v>
      </c>
      <c r="C20" s="501"/>
      <c r="D20" s="501"/>
      <c r="E20" s="132">
        <f t="shared" si="0"/>
        <v>0</v>
      </c>
    </row>
    <row r="21" spans="2:9">
      <c r="B21" s="510" t="s">
        <v>328</v>
      </c>
      <c r="C21" s="502">
        <f>SUM(C11:C15)</f>
        <v>0</v>
      </c>
      <c r="D21" s="502">
        <f>SUM(D11:D15)</f>
        <v>0</v>
      </c>
      <c r="E21" s="133">
        <f t="shared" si="0"/>
        <v>0</v>
      </c>
    </row>
    <row r="22" spans="2:9">
      <c r="B22" s="510" t="s">
        <v>329</v>
      </c>
      <c r="C22" s="13">
        <f>SUM(C11:C20)</f>
        <v>0</v>
      </c>
      <c r="D22" s="13">
        <f>SUM(D11:D20)</f>
        <v>0</v>
      </c>
      <c r="E22" s="133">
        <f t="shared" si="0"/>
        <v>0</v>
      </c>
    </row>
    <row r="23" spans="2:9">
      <c r="B23" s="1"/>
    </row>
    <row r="24" spans="2:9">
      <c r="B24" s="1"/>
    </row>
    <row r="25" spans="2:9">
      <c r="B25" s="8" t="s">
        <v>104</v>
      </c>
      <c r="C25" s="14" t="s">
        <v>325</v>
      </c>
      <c r="D25" s="14" t="s">
        <v>326</v>
      </c>
      <c r="E25" s="491">
        <f>start_year</f>
        <v>2025</v>
      </c>
      <c r="F25" s="491">
        <f>E25+1</f>
        <v>2026</v>
      </c>
      <c r="G25" s="491">
        <f t="shared" ref="G25:I25" si="1">F25+1</f>
        <v>2027</v>
      </c>
      <c r="H25" s="491">
        <f t="shared" si="1"/>
        <v>2028</v>
      </c>
      <c r="I25" s="491">
        <f t="shared" si="1"/>
        <v>2029</v>
      </c>
    </row>
    <row r="26" spans="2:9">
      <c r="B26" s="10" t="s">
        <v>265</v>
      </c>
      <c r="C26" s="11">
        <f>SUM(E26:I26)</f>
        <v>0</v>
      </c>
      <c r="D26" s="11">
        <f>E26+NPV([0]!fdr_áll,F26:I26)</f>
        <v>0</v>
      </c>
      <c r="E26" s="287"/>
      <c r="F26" s="287"/>
      <c r="G26" s="287"/>
      <c r="H26" s="287"/>
      <c r="I26" s="287"/>
    </row>
    <row r="27" spans="2:9">
      <c r="B27" s="10" t="s">
        <v>269</v>
      </c>
      <c r="C27" s="11">
        <f t="shared" ref="C27:C37" si="2">SUM(E27:I27)</f>
        <v>0</v>
      </c>
      <c r="D27" s="11">
        <f>E27+NPV([0]!fdr_áll,F27:I27)</f>
        <v>0</v>
      </c>
      <c r="E27" s="287"/>
      <c r="F27" s="287"/>
      <c r="G27" s="287"/>
      <c r="H27" s="287"/>
      <c r="I27" s="287"/>
    </row>
    <row r="28" spans="2:9">
      <c r="B28" s="10" t="s">
        <v>276</v>
      </c>
      <c r="C28" s="11">
        <f t="shared" si="2"/>
        <v>0</v>
      </c>
      <c r="D28" s="11">
        <f>E28+NPV([0]!fdr_áll,F28:I28)</f>
        <v>0</v>
      </c>
      <c r="E28" s="287"/>
      <c r="F28" s="287"/>
      <c r="G28" s="287"/>
      <c r="H28" s="287"/>
      <c r="I28" s="287"/>
    </row>
    <row r="29" spans="2:9">
      <c r="B29" s="10" t="s">
        <v>282</v>
      </c>
      <c r="C29" s="11">
        <f t="shared" si="2"/>
        <v>0</v>
      </c>
      <c r="D29" s="11">
        <f>E29+NPV([0]!fdr_áll,F29:I29)</f>
        <v>0</v>
      </c>
      <c r="E29" s="287"/>
      <c r="F29" s="287"/>
      <c r="G29" s="287"/>
      <c r="H29" s="287"/>
      <c r="I29" s="287"/>
    </row>
    <row r="30" spans="2:9">
      <c r="B30" s="10" t="s">
        <v>286</v>
      </c>
      <c r="C30" s="11">
        <f t="shared" si="2"/>
        <v>0</v>
      </c>
      <c r="D30" s="11">
        <f>E30+NPV([0]!fdr_áll,F30:I30)</f>
        <v>0</v>
      </c>
      <c r="E30" s="287"/>
      <c r="F30" s="287"/>
      <c r="G30" s="287"/>
      <c r="H30" s="287"/>
      <c r="I30" s="287"/>
    </row>
    <row r="31" spans="2:9">
      <c r="B31" s="10" t="s">
        <v>287</v>
      </c>
      <c r="C31" s="11">
        <f t="shared" si="2"/>
        <v>0</v>
      </c>
      <c r="D31" s="11">
        <f>E31+NPV([0]!fdr_áll,F31:I31)</f>
        <v>0</v>
      </c>
      <c r="E31" s="287"/>
      <c r="F31" s="287"/>
      <c r="G31" s="287"/>
      <c r="H31" s="287"/>
      <c r="I31" s="287"/>
    </row>
    <row r="32" spans="2:9">
      <c r="B32" s="10" t="s">
        <v>327</v>
      </c>
      <c r="C32" s="11">
        <f t="shared" si="2"/>
        <v>0</v>
      </c>
      <c r="D32" s="11">
        <f>E32+NPV([0]!fdr_áll,F32:I32)</f>
        <v>0</v>
      </c>
      <c r="E32" s="287"/>
      <c r="F32" s="287"/>
      <c r="G32" s="287"/>
      <c r="H32" s="287"/>
      <c r="I32" s="287"/>
    </row>
    <row r="33" spans="2:9">
      <c r="B33" s="10" t="s">
        <v>327</v>
      </c>
      <c r="C33" s="11">
        <f t="shared" si="2"/>
        <v>0</v>
      </c>
      <c r="D33" s="11">
        <f>E33+NPV([0]!fdr_áll,F33:I33)</f>
        <v>0</v>
      </c>
      <c r="E33" s="287"/>
      <c r="F33" s="287"/>
      <c r="G33" s="287"/>
      <c r="H33" s="287"/>
      <c r="I33" s="287"/>
    </row>
    <row r="34" spans="2:9">
      <c r="B34" s="10" t="s">
        <v>327</v>
      </c>
      <c r="C34" s="11">
        <f t="shared" si="2"/>
        <v>0</v>
      </c>
      <c r="D34" s="11">
        <f>E34+NPV([0]!fdr_áll,F34:I34)</f>
        <v>0</v>
      </c>
      <c r="E34" s="287"/>
      <c r="F34" s="287"/>
      <c r="G34" s="287"/>
      <c r="H34" s="287"/>
      <c r="I34" s="287"/>
    </row>
    <row r="35" spans="2:9">
      <c r="B35" s="10" t="s">
        <v>327</v>
      </c>
      <c r="C35" s="11">
        <f t="shared" si="2"/>
        <v>0</v>
      </c>
      <c r="D35" s="11">
        <f>E35+NPV([0]!fdr_áll,F35:I35)</f>
        <v>0</v>
      </c>
      <c r="E35" s="287"/>
      <c r="F35" s="287"/>
      <c r="G35" s="287"/>
      <c r="H35" s="287"/>
      <c r="I35" s="287"/>
    </row>
    <row r="36" spans="2:9">
      <c r="B36" s="510" t="s">
        <v>328</v>
      </c>
      <c r="C36" s="13">
        <f t="shared" si="2"/>
        <v>0</v>
      </c>
      <c r="D36" s="13">
        <f>E36+NPV([0]!fdr_áll,F36:I36)</f>
        <v>0</v>
      </c>
      <c r="E36" s="502">
        <f>SUM(E26:E30)</f>
        <v>0</v>
      </c>
      <c r="F36" s="502">
        <f t="shared" ref="F36:I36" si="3">SUM(F26:F30)</f>
        <v>0</v>
      </c>
      <c r="G36" s="502">
        <f t="shared" si="3"/>
        <v>0</v>
      </c>
      <c r="H36" s="502">
        <f t="shared" si="3"/>
        <v>0</v>
      </c>
      <c r="I36" s="502">
        <f t="shared" si="3"/>
        <v>0</v>
      </c>
    </row>
    <row r="37" spans="2:9">
      <c r="B37" s="510" t="s">
        <v>329</v>
      </c>
      <c r="C37" s="13">
        <f t="shared" si="2"/>
        <v>0</v>
      </c>
      <c r="D37" s="13">
        <f>E37+NPV([0]!fdr_áll,F37:I37)</f>
        <v>0</v>
      </c>
      <c r="E37" s="13">
        <f>SUM(E26:E35)</f>
        <v>0</v>
      </c>
      <c r="F37" s="13">
        <f t="shared" ref="F37:I37" si="4">SUM(F26:F35)</f>
        <v>0</v>
      </c>
      <c r="G37" s="13">
        <f t="shared" si="4"/>
        <v>0</v>
      </c>
      <c r="H37" s="13">
        <f t="shared" si="4"/>
        <v>0</v>
      </c>
      <c r="I37" s="13">
        <f t="shared" si="4"/>
        <v>0</v>
      </c>
    </row>
    <row r="38" spans="2:9">
      <c r="B38" s="1"/>
    </row>
    <row r="39" spans="2:9">
      <c r="B39" s="1"/>
    </row>
    <row r="40" spans="2:9">
      <c r="B40" s="8" t="s">
        <v>105</v>
      </c>
      <c r="C40" s="14" t="s">
        <v>325</v>
      </c>
      <c r="D40" s="14" t="s">
        <v>326</v>
      </c>
      <c r="E40" s="491">
        <f>start_year</f>
        <v>2025</v>
      </c>
      <c r="F40" s="491">
        <f>E40+1</f>
        <v>2026</v>
      </c>
      <c r="G40" s="491">
        <f t="shared" ref="G40:I40" si="5">F40+1</f>
        <v>2027</v>
      </c>
      <c r="H40" s="491">
        <f t="shared" si="5"/>
        <v>2028</v>
      </c>
      <c r="I40" s="491">
        <f t="shared" si="5"/>
        <v>2029</v>
      </c>
    </row>
    <row r="41" spans="2:9">
      <c r="B41" s="10" t="s">
        <v>265</v>
      </c>
      <c r="C41" s="11">
        <f>SUM(E41:I41)</f>
        <v>0</v>
      </c>
      <c r="D41" s="11">
        <f>E41+NPV([0]!fdr_áll,F41:I41)</f>
        <v>0</v>
      </c>
      <c r="E41" s="287"/>
      <c r="F41" s="287"/>
      <c r="G41" s="287"/>
      <c r="H41" s="287"/>
      <c r="I41" s="287"/>
    </row>
    <row r="42" spans="2:9">
      <c r="B42" s="10" t="s">
        <v>269</v>
      </c>
      <c r="C42" s="11">
        <f t="shared" ref="C42:C52" si="6">SUM(E42:I42)</f>
        <v>0</v>
      </c>
      <c r="D42" s="11">
        <f>E42+NPV([0]!fdr_áll,F42:I42)</f>
        <v>0</v>
      </c>
      <c r="E42" s="287"/>
      <c r="F42" s="287"/>
      <c r="G42" s="287"/>
      <c r="H42" s="287"/>
      <c r="I42" s="287"/>
    </row>
    <row r="43" spans="2:9">
      <c r="B43" s="10" t="s">
        <v>276</v>
      </c>
      <c r="C43" s="11">
        <f t="shared" si="6"/>
        <v>0</v>
      </c>
      <c r="D43" s="11">
        <f>E43+NPV([0]!fdr_áll,F43:I43)</f>
        <v>0</v>
      </c>
      <c r="E43" s="287"/>
      <c r="F43" s="287"/>
      <c r="G43" s="287"/>
      <c r="H43" s="287"/>
      <c r="I43" s="287"/>
    </row>
    <row r="44" spans="2:9">
      <c r="B44" s="10" t="s">
        <v>282</v>
      </c>
      <c r="C44" s="11">
        <f t="shared" si="6"/>
        <v>0</v>
      </c>
      <c r="D44" s="11">
        <f>E44+NPV([0]!fdr_áll,F44:I44)</f>
        <v>0</v>
      </c>
      <c r="E44" s="287"/>
      <c r="F44" s="287"/>
      <c r="G44" s="287"/>
      <c r="H44" s="287"/>
      <c r="I44" s="287"/>
    </row>
    <row r="45" spans="2:9">
      <c r="B45" s="10" t="s">
        <v>286</v>
      </c>
      <c r="C45" s="11">
        <f t="shared" si="6"/>
        <v>0</v>
      </c>
      <c r="D45" s="11">
        <f>E45+NPV([0]!fdr_áll,F45:I45)</f>
        <v>0</v>
      </c>
      <c r="E45" s="287"/>
      <c r="F45" s="287"/>
      <c r="G45" s="287"/>
      <c r="H45" s="287"/>
      <c r="I45" s="287"/>
    </row>
    <row r="46" spans="2:9">
      <c r="B46" s="10" t="s">
        <v>287</v>
      </c>
      <c r="C46" s="11">
        <f t="shared" si="6"/>
        <v>0</v>
      </c>
      <c r="D46" s="11">
        <f>E46+NPV([0]!fdr_áll,F46:I46)</f>
        <v>0</v>
      </c>
      <c r="E46" s="287"/>
      <c r="F46" s="287"/>
      <c r="G46" s="287"/>
      <c r="H46" s="287"/>
      <c r="I46" s="287"/>
    </row>
    <row r="47" spans="2:9">
      <c r="B47" s="10" t="s">
        <v>327</v>
      </c>
      <c r="C47" s="11">
        <f t="shared" si="6"/>
        <v>0</v>
      </c>
      <c r="D47" s="11">
        <f>E47+NPV([0]!fdr_áll,F47:I47)</f>
        <v>0</v>
      </c>
      <c r="E47" s="287"/>
      <c r="F47" s="287"/>
      <c r="G47" s="287"/>
      <c r="H47" s="287"/>
      <c r="I47" s="287"/>
    </row>
    <row r="48" spans="2:9">
      <c r="B48" s="10" t="s">
        <v>327</v>
      </c>
      <c r="C48" s="11">
        <f t="shared" si="6"/>
        <v>0</v>
      </c>
      <c r="D48" s="11">
        <f>E48+NPV([0]!fdr_áll,F48:I48)</f>
        <v>0</v>
      </c>
      <c r="E48" s="287"/>
      <c r="F48" s="287"/>
      <c r="G48" s="287"/>
      <c r="H48" s="287"/>
      <c r="I48" s="287"/>
    </row>
    <row r="49" spans="2:9">
      <c r="B49" s="10" t="s">
        <v>327</v>
      </c>
      <c r="C49" s="11">
        <f t="shared" si="6"/>
        <v>0</v>
      </c>
      <c r="D49" s="11">
        <f>E49+NPV([0]!fdr_áll,F49:I49)</f>
        <v>0</v>
      </c>
      <c r="E49" s="287"/>
      <c r="F49" s="287"/>
      <c r="G49" s="287"/>
      <c r="H49" s="287"/>
      <c r="I49" s="287"/>
    </row>
    <row r="50" spans="2:9">
      <c r="B50" s="10" t="s">
        <v>327</v>
      </c>
      <c r="C50" s="11">
        <f t="shared" si="6"/>
        <v>0</v>
      </c>
      <c r="D50" s="11">
        <f>E50+NPV([0]!fdr_áll,F50:I50)</f>
        <v>0</v>
      </c>
      <c r="E50" s="287"/>
      <c r="F50" s="287"/>
      <c r="G50" s="287"/>
      <c r="H50" s="287"/>
      <c r="I50" s="287"/>
    </row>
    <row r="51" spans="2:9">
      <c r="B51" s="510" t="s">
        <v>328</v>
      </c>
      <c r="C51" s="13">
        <f t="shared" si="6"/>
        <v>0</v>
      </c>
      <c r="D51" s="13">
        <f>E51+NPV([0]!fdr_áll,F51:I51)</f>
        <v>0</v>
      </c>
      <c r="E51" s="502">
        <f>SUM(E41:E45)</f>
        <v>0</v>
      </c>
      <c r="F51" s="502">
        <f t="shared" ref="F51:I51" si="7">SUM(F41:F45)</f>
        <v>0</v>
      </c>
      <c r="G51" s="502">
        <f t="shared" si="7"/>
        <v>0</v>
      </c>
      <c r="H51" s="502">
        <f t="shared" si="7"/>
        <v>0</v>
      </c>
      <c r="I51" s="502">
        <f t="shared" si="7"/>
        <v>0</v>
      </c>
    </row>
    <row r="52" spans="2:9">
      <c r="B52" s="510" t="s">
        <v>329</v>
      </c>
      <c r="C52" s="13">
        <f t="shared" si="6"/>
        <v>0</v>
      </c>
      <c r="D52" s="13">
        <f>E52+NPV([0]!fdr_áll,F52:I52)</f>
        <v>0</v>
      </c>
      <c r="E52" s="13">
        <f>SUM(E41:E50)</f>
        <v>0</v>
      </c>
      <c r="F52" s="13">
        <f t="shared" ref="F52:I52" si="8">SUM(F41:F50)</f>
        <v>0</v>
      </c>
      <c r="G52" s="13">
        <f t="shared" si="8"/>
        <v>0</v>
      </c>
      <c r="H52" s="13">
        <f t="shared" si="8"/>
        <v>0</v>
      </c>
      <c r="I52" s="13">
        <f t="shared" si="8"/>
        <v>0</v>
      </c>
    </row>
    <row r="53" spans="2:9">
      <c r="B53" s="1"/>
    </row>
    <row r="54" spans="2:9">
      <c r="B54" s="1"/>
    </row>
    <row r="55" spans="2:9">
      <c r="B55" s="8" t="s">
        <v>331</v>
      </c>
      <c r="C55" s="14" t="s">
        <v>325</v>
      </c>
      <c r="D55" s="14" t="s">
        <v>326</v>
      </c>
      <c r="E55" s="491">
        <f>start_year</f>
        <v>2025</v>
      </c>
      <c r="F55" s="491">
        <f>E55+1</f>
        <v>2026</v>
      </c>
      <c r="G55" s="491">
        <f t="shared" ref="G55:I55" si="9">F55+1</f>
        <v>2027</v>
      </c>
      <c r="H55" s="491">
        <f t="shared" si="9"/>
        <v>2028</v>
      </c>
      <c r="I55" s="491">
        <f t="shared" si="9"/>
        <v>2029</v>
      </c>
    </row>
    <row r="56" spans="2:9">
      <c r="B56" s="10" t="s">
        <v>265</v>
      </c>
      <c r="C56" s="11">
        <f>SUM(E56:I56)</f>
        <v>0</v>
      </c>
      <c r="D56" s="11">
        <f t="shared" ref="D56:D67" si="10">E56+NPV(fdr_áll,F56:I56)</f>
        <v>0</v>
      </c>
      <c r="E56" s="11">
        <f t="shared" ref="E56:I65" si="11">E26+E41</f>
        <v>0</v>
      </c>
      <c r="F56" s="11">
        <f t="shared" si="11"/>
        <v>0</v>
      </c>
      <c r="G56" s="11">
        <f t="shared" si="11"/>
        <v>0</v>
      </c>
      <c r="H56" s="11">
        <f t="shared" si="11"/>
        <v>0</v>
      </c>
      <c r="I56" s="11">
        <f t="shared" si="11"/>
        <v>0</v>
      </c>
    </row>
    <row r="57" spans="2:9">
      <c r="B57" s="10" t="s">
        <v>269</v>
      </c>
      <c r="C57" s="11">
        <f t="shared" ref="C57:C67" si="12">SUM(E57:I57)</f>
        <v>0</v>
      </c>
      <c r="D57" s="11">
        <f t="shared" si="10"/>
        <v>0</v>
      </c>
      <c r="E57" s="11">
        <f t="shared" si="11"/>
        <v>0</v>
      </c>
      <c r="F57" s="11">
        <f t="shared" si="11"/>
        <v>0</v>
      </c>
      <c r="G57" s="11">
        <f t="shared" si="11"/>
        <v>0</v>
      </c>
      <c r="H57" s="11">
        <f t="shared" si="11"/>
        <v>0</v>
      </c>
      <c r="I57" s="11">
        <f t="shared" si="11"/>
        <v>0</v>
      </c>
    </row>
    <row r="58" spans="2:9">
      <c r="B58" s="10" t="s">
        <v>276</v>
      </c>
      <c r="C58" s="11">
        <f t="shared" si="12"/>
        <v>0</v>
      </c>
      <c r="D58" s="11">
        <f t="shared" si="10"/>
        <v>0</v>
      </c>
      <c r="E58" s="11">
        <f t="shared" si="11"/>
        <v>0</v>
      </c>
      <c r="F58" s="11">
        <f t="shared" si="11"/>
        <v>0</v>
      </c>
      <c r="G58" s="11">
        <f t="shared" si="11"/>
        <v>0</v>
      </c>
      <c r="H58" s="11">
        <f t="shared" si="11"/>
        <v>0</v>
      </c>
      <c r="I58" s="11">
        <f t="shared" si="11"/>
        <v>0</v>
      </c>
    </row>
    <row r="59" spans="2:9">
      <c r="B59" s="10" t="s">
        <v>282</v>
      </c>
      <c r="C59" s="11">
        <f t="shared" si="12"/>
        <v>0</v>
      </c>
      <c r="D59" s="11">
        <f t="shared" si="10"/>
        <v>0</v>
      </c>
      <c r="E59" s="11">
        <f t="shared" si="11"/>
        <v>0</v>
      </c>
      <c r="F59" s="11">
        <f t="shared" si="11"/>
        <v>0</v>
      </c>
      <c r="G59" s="11">
        <f t="shared" si="11"/>
        <v>0</v>
      </c>
      <c r="H59" s="11">
        <f t="shared" si="11"/>
        <v>0</v>
      </c>
      <c r="I59" s="11">
        <f t="shared" si="11"/>
        <v>0</v>
      </c>
    </row>
    <row r="60" spans="2:9">
      <c r="B60" s="10" t="s">
        <v>286</v>
      </c>
      <c r="C60" s="11">
        <f t="shared" si="12"/>
        <v>0</v>
      </c>
      <c r="D60" s="11">
        <f t="shared" si="10"/>
        <v>0</v>
      </c>
      <c r="E60" s="11">
        <f t="shared" si="11"/>
        <v>0</v>
      </c>
      <c r="F60" s="11">
        <f t="shared" si="11"/>
        <v>0</v>
      </c>
      <c r="G60" s="11">
        <f t="shared" si="11"/>
        <v>0</v>
      </c>
      <c r="H60" s="11">
        <f t="shared" si="11"/>
        <v>0</v>
      </c>
      <c r="I60" s="11">
        <f t="shared" si="11"/>
        <v>0</v>
      </c>
    </row>
    <row r="61" spans="2:9">
      <c r="B61" s="10" t="s">
        <v>287</v>
      </c>
      <c r="C61" s="11">
        <f t="shared" si="12"/>
        <v>0</v>
      </c>
      <c r="D61" s="11">
        <f t="shared" si="10"/>
        <v>0</v>
      </c>
      <c r="E61" s="11">
        <f t="shared" si="11"/>
        <v>0</v>
      </c>
      <c r="F61" s="11">
        <f t="shared" si="11"/>
        <v>0</v>
      </c>
      <c r="G61" s="11">
        <f t="shared" si="11"/>
        <v>0</v>
      </c>
      <c r="H61" s="11">
        <f t="shared" si="11"/>
        <v>0</v>
      </c>
      <c r="I61" s="11">
        <f t="shared" si="11"/>
        <v>0</v>
      </c>
    </row>
    <row r="62" spans="2:9">
      <c r="B62" s="10" t="s">
        <v>327</v>
      </c>
      <c r="C62" s="11">
        <f t="shared" si="12"/>
        <v>0</v>
      </c>
      <c r="D62" s="11">
        <f t="shared" si="10"/>
        <v>0</v>
      </c>
      <c r="E62" s="11">
        <f t="shared" si="11"/>
        <v>0</v>
      </c>
      <c r="F62" s="11">
        <f t="shared" si="11"/>
        <v>0</v>
      </c>
      <c r="G62" s="11">
        <f t="shared" si="11"/>
        <v>0</v>
      </c>
      <c r="H62" s="11">
        <f t="shared" si="11"/>
        <v>0</v>
      </c>
      <c r="I62" s="11">
        <f t="shared" si="11"/>
        <v>0</v>
      </c>
    </row>
    <row r="63" spans="2:9">
      <c r="B63" s="10" t="s">
        <v>327</v>
      </c>
      <c r="C63" s="11">
        <f t="shared" si="12"/>
        <v>0</v>
      </c>
      <c r="D63" s="11">
        <f t="shared" si="10"/>
        <v>0</v>
      </c>
      <c r="E63" s="11">
        <f t="shared" si="11"/>
        <v>0</v>
      </c>
      <c r="F63" s="11">
        <f t="shared" si="11"/>
        <v>0</v>
      </c>
      <c r="G63" s="11">
        <f t="shared" si="11"/>
        <v>0</v>
      </c>
      <c r="H63" s="11">
        <f t="shared" si="11"/>
        <v>0</v>
      </c>
      <c r="I63" s="11">
        <f t="shared" si="11"/>
        <v>0</v>
      </c>
    </row>
    <row r="64" spans="2:9">
      <c r="B64" s="10" t="s">
        <v>327</v>
      </c>
      <c r="C64" s="11">
        <f t="shared" si="12"/>
        <v>0</v>
      </c>
      <c r="D64" s="11">
        <f t="shared" si="10"/>
        <v>0</v>
      </c>
      <c r="E64" s="11">
        <f t="shared" si="11"/>
        <v>0</v>
      </c>
      <c r="F64" s="11">
        <f t="shared" si="11"/>
        <v>0</v>
      </c>
      <c r="G64" s="11">
        <f t="shared" si="11"/>
        <v>0</v>
      </c>
      <c r="H64" s="11">
        <f t="shared" si="11"/>
        <v>0</v>
      </c>
      <c r="I64" s="11">
        <f t="shared" si="11"/>
        <v>0</v>
      </c>
    </row>
    <row r="65" spans="1:34">
      <c r="B65" s="10" t="s">
        <v>327</v>
      </c>
      <c r="C65" s="11">
        <f t="shared" si="12"/>
        <v>0</v>
      </c>
      <c r="D65" s="11">
        <f t="shared" si="10"/>
        <v>0</v>
      </c>
      <c r="E65" s="11">
        <f t="shared" si="11"/>
        <v>0</v>
      </c>
      <c r="F65" s="11">
        <f t="shared" si="11"/>
        <v>0</v>
      </c>
      <c r="G65" s="11">
        <f t="shared" si="11"/>
        <v>0</v>
      </c>
      <c r="H65" s="11">
        <f t="shared" si="11"/>
        <v>0</v>
      </c>
      <c r="I65" s="11">
        <f t="shared" si="11"/>
        <v>0</v>
      </c>
    </row>
    <row r="66" spans="1:34">
      <c r="B66" s="510" t="s">
        <v>328</v>
      </c>
      <c r="C66" s="13">
        <f t="shared" si="12"/>
        <v>0</v>
      </c>
      <c r="D66" s="13">
        <f t="shared" si="10"/>
        <v>0</v>
      </c>
      <c r="E66" s="13">
        <f>SUM(E56:E60,E62:E65)</f>
        <v>0</v>
      </c>
      <c r="F66" s="13">
        <f t="shared" ref="F66:I66" si="13">SUM(F56:F60,F62:F65)</f>
        <v>0</v>
      </c>
      <c r="G66" s="13">
        <f t="shared" si="13"/>
        <v>0</v>
      </c>
      <c r="H66" s="13">
        <f t="shared" si="13"/>
        <v>0</v>
      </c>
      <c r="I66" s="13">
        <f t="shared" si="13"/>
        <v>0</v>
      </c>
    </row>
    <row r="67" spans="1:34">
      <c r="B67" s="510" t="s">
        <v>329</v>
      </c>
      <c r="C67" s="13">
        <f t="shared" si="12"/>
        <v>0</v>
      </c>
      <c r="D67" s="13">
        <f t="shared" si="10"/>
        <v>0</v>
      </c>
      <c r="E67" s="13">
        <f>SUM(E56:E65)</f>
        <v>0</v>
      </c>
      <c r="F67" s="13">
        <f t="shared" ref="F67:I67" si="14">SUM(F56:F65)</f>
        <v>0</v>
      </c>
      <c r="G67" s="13">
        <f t="shared" si="14"/>
        <v>0</v>
      </c>
      <c r="H67" s="13">
        <f t="shared" si="14"/>
        <v>0</v>
      </c>
      <c r="I67" s="13">
        <f t="shared" si="14"/>
        <v>0</v>
      </c>
    </row>
    <row r="68" spans="1:34">
      <c r="B68" s="1"/>
    </row>
    <row r="69" spans="1:34">
      <c r="B69" s="1"/>
    </row>
    <row r="70" spans="1:34" s="83" customFormat="1">
      <c r="A70" s="493"/>
      <c r="B70" s="6" t="s">
        <v>301</v>
      </c>
    </row>
    <row r="71" spans="1:34">
      <c r="B71" s="1"/>
    </row>
    <row r="72" spans="1:34">
      <c r="B72" s="39" t="s">
        <v>408</v>
      </c>
      <c r="C72" s="496"/>
      <c r="D72" s="496"/>
      <c r="E72" s="496"/>
      <c r="F72" s="496"/>
      <c r="G72" s="496"/>
      <c r="H72" s="496"/>
      <c r="I72" s="496"/>
      <c r="J72" s="496"/>
      <c r="K72" s="496"/>
      <c r="L72" s="496"/>
      <c r="M72" s="496"/>
      <c r="N72" s="496"/>
      <c r="O72" s="496"/>
      <c r="P72" s="496"/>
      <c r="Q72" s="496"/>
      <c r="R72" s="496"/>
      <c r="S72" s="496"/>
      <c r="T72" s="496"/>
      <c r="U72" s="496"/>
      <c r="V72" s="496"/>
      <c r="W72" s="496"/>
      <c r="X72" s="496"/>
      <c r="Y72" s="496"/>
      <c r="Z72" s="496"/>
      <c r="AA72" s="496"/>
      <c r="AB72" s="496"/>
      <c r="AC72" s="496"/>
      <c r="AD72" s="496"/>
      <c r="AE72" s="496"/>
      <c r="AF72" s="496"/>
      <c r="AG72" s="496"/>
      <c r="AH72" s="496"/>
    </row>
    <row r="73" spans="1:34">
      <c r="B73" s="1"/>
    </row>
    <row r="74" spans="1:34">
      <c r="B74" s="14" t="s">
        <v>479</v>
      </c>
      <c r="C74" s="14" t="s">
        <v>325</v>
      </c>
      <c r="D74" s="14" t="s">
        <v>326</v>
      </c>
      <c r="E74" s="491">
        <f>start_year</f>
        <v>2025</v>
      </c>
      <c r="F74" s="491">
        <f>E74+1</f>
        <v>2026</v>
      </c>
      <c r="G74" s="491">
        <f t="shared" ref="G74:AH74" si="15">F74+1</f>
        <v>2027</v>
      </c>
      <c r="H74" s="491">
        <f t="shared" si="15"/>
        <v>2028</v>
      </c>
      <c r="I74" s="491">
        <f t="shared" si="15"/>
        <v>2029</v>
      </c>
      <c r="J74" s="491">
        <f t="shared" si="15"/>
        <v>2030</v>
      </c>
      <c r="K74" s="491">
        <f t="shared" si="15"/>
        <v>2031</v>
      </c>
      <c r="L74" s="491">
        <f t="shared" si="15"/>
        <v>2032</v>
      </c>
      <c r="M74" s="491">
        <f t="shared" si="15"/>
        <v>2033</v>
      </c>
      <c r="N74" s="491">
        <f t="shared" si="15"/>
        <v>2034</v>
      </c>
      <c r="O74" s="491">
        <f t="shared" si="15"/>
        <v>2035</v>
      </c>
      <c r="P74" s="491">
        <f t="shared" si="15"/>
        <v>2036</v>
      </c>
      <c r="Q74" s="491">
        <f t="shared" si="15"/>
        <v>2037</v>
      </c>
      <c r="R74" s="491">
        <f t="shared" si="15"/>
        <v>2038</v>
      </c>
      <c r="S74" s="491">
        <f t="shared" si="15"/>
        <v>2039</v>
      </c>
      <c r="T74" s="491">
        <f t="shared" si="15"/>
        <v>2040</v>
      </c>
      <c r="U74" s="491">
        <f t="shared" si="15"/>
        <v>2041</v>
      </c>
      <c r="V74" s="491">
        <f t="shared" si="15"/>
        <v>2042</v>
      </c>
      <c r="W74" s="491">
        <f t="shared" si="15"/>
        <v>2043</v>
      </c>
      <c r="X74" s="491">
        <f t="shared" si="15"/>
        <v>2044</v>
      </c>
      <c r="Y74" s="491">
        <f t="shared" si="15"/>
        <v>2045</v>
      </c>
      <c r="Z74" s="491">
        <f t="shared" si="15"/>
        <v>2046</v>
      </c>
      <c r="AA74" s="491">
        <f t="shared" si="15"/>
        <v>2047</v>
      </c>
      <c r="AB74" s="491">
        <f t="shared" si="15"/>
        <v>2048</v>
      </c>
      <c r="AC74" s="491">
        <f t="shared" si="15"/>
        <v>2049</v>
      </c>
      <c r="AD74" s="491">
        <f t="shared" si="15"/>
        <v>2050</v>
      </c>
      <c r="AE74" s="491">
        <f t="shared" si="15"/>
        <v>2051</v>
      </c>
      <c r="AF74" s="491">
        <f t="shared" si="15"/>
        <v>2052</v>
      </c>
      <c r="AG74" s="491">
        <f t="shared" si="15"/>
        <v>2053</v>
      </c>
      <c r="AH74" s="491">
        <f t="shared" si="15"/>
        <v>2054</v>
      </c>
    </row>
    <row r="75" spans="1:34">
      <c r="B75" s="10" t="s">
        <v>337</v>
      </c>
      <c r="C75" s="11">
        <f>SUM(E75:AH75)</f>
        <v>0</v>
      </c>
      <c r="D75" s="11">
        <f>E75+NPV(fdr_áll,F75:AH75)</f>
        <v>0</v>
      </c>
      <c r="E75" s="287"/>
      <c r="F75" s="287"/>
      <c r="G75" s="287"/>
      <c r="H75" s="287"/>
      <c r="I75" s="287"/>
      <c r="J75" s="287"/>
      <c r="K75" s="287"/>
      <c r="L75" s="287"/>
      <c r="M75" s="287"/>
      <c r="N75" s="287"/>
      <c r="O75" s="287"/>
      <c r="P75" s="287"/>
      <c r="Q75" s="287"/>
      <c r="R75" s="287"/>
      <c r="S75" s="287"/>
      <c r="T75" s="287"/>
      <c r="U75" s="287"/>
      <c r="V75" s="287"/>
      <c r="W75" s="287"/>
      <c r="X75" s="287"/>
      <c r="Y75" s="287"/>
      <c r="Z75" s="287"/>
      <c r="AA75" s="287"/>
      <c r="AB75" s="287"/>
      <c r="AC75" s="287"/>
      <c r="AD75" s="287"/>
      <c r="AE75" s="287"/>
      <c r="AF75" s="287"/>
      <c r="AG75" s="287"/>
      <c r="AH75" s="287"/>
    </row>
    <row r="76" spans="1:34">
      <c r="B76" s="1"/>
    </row>
    <row r="77" spans="1:34">
      <c r="B77" s="1"/>
    </row>
    <row r="78" spans="1:34">
      <c r="B78" s="39" t="s">
        <v>414</v>
      </c>
      <c r="C78" s="496"/>
      <c r="D78" s="496"/>
      <c r="E78" s="496"/>
      <c r="F78" s="496"/>
      <c r="G78" s="496"/>
      <c r="H78" s="496"/>
      <c r="I78" s="496"/>
      <c r="J78" s="496"/>
      <c r="K78" s="496"/>
      <c r="L78" s="496"/>
      <c r="M78" s="496"/>
      <c r="N78" s="496"/>
      <c r="O78" s="496"/>
      <c r="P78" s="496"/>
      <c r="Q78" s="496"/>
      <c r="R78" s="496"/>
      <c r="S78" s="496"/>
      <c r="T78" s="496"/>
      <c r="U78" s="496"/>
      <c r="V78" s="496"/>
      <c r="W78" s="496"/>
      <c r="X78" s="496"/>
      <c r="Y78" s="496"/>
      <c r="Z78" s="496"/>
      <c r="AA78" s="496"/>
      <c r="AB78" s="496"/>
      <c r="AC78" s="496"/>
      <c r="AD78" s="496"/>
      <c r="AE78" s="496"/>
      <c r="AF78" s="496"/>
      <c r="AG78" s="496"/>
      <c r="AH78" s="496"/>
    </row>
    <row r="79" spans="1:34">
      <c r="B79" s="1"/>
    </row>
    <row r="80" spans="1:34">
      <c r="B80" s="14" t="s">
        <v>479</v>
      </c>
      <c r="C80" s="14" t="s">
        <v>325</v>
      </c>
      <c r="D80" s="14" t="s">
        <v>326</v>
      </c>
      <c r="E80" s="491">
        <f>start_year</f>
        <v>2025</v>
      </c>
      <c r="F80" s="491">
        <f>E80+1</f>
        <v>2026</v>
      </c>
      <c r="G80" s="491">
        <f t="shared" ref="G80:AH80" si="16">F80+1</f>
        <v>2027</v>
      </c>
      <c r="H80" s="491">
        <f t="shared" si="16"/>
        <v>2028</v>
      </c>
      <c r="I80" s="491">
        <f t="shared" si="16"/>
        <v>2029</v>
      </c>
      <c r="J80" s="491">
        <f t="shared" si="16"/>
        <v>2030</v>
      </c>
      <c r="K80" s="491">
        <f t="shared" si="16"/>
        <v>2031</v>
      </c>
      <c r="L80" s="491">
        <f t="shared" si="16"/>
        <v>2032</v>
      </c>
      <c r="M80" s="491">
        <f t="shared" si="16"/>
        <v>2033</v>
      </c>
      <c r="N80" s="491">
        <f t="shared" si="16"/>
        <v>2034</v>
      </c>
      <c r="O80" s="491">
        <f t="shared" si="16"/>
        <v>2035</v>
      </c>
      <c r="P80" s="491">
        <f t="shared" si="16"/>
        <v>2036</v>
      </c>
      <c r="Q80" s="491">
        <f t="shared" si="16"/>
        <v>2037</v>
      </c>
      <c r="R80" s="491">
        <f t="shared" si="16"/>
        <v>2038</v>
      </c>
      <c r="S80" s="491">
        <f t="shared" si="16"/>
        <v>2039</v>
      </c>
      <c r="T80" s="491">
        <f t="shared" si="16"/>
        <v>2040</v>
      </c>
      <c r="U80" s="491">
        <f t="shared" si="16"/>
        <v>2041</v>
      </c>
      <c r="V80" s="491">
        <f t="shared" si="16"/>
        <v>2042</v>
      </c>
      <c r="W80" s="491">
        <f t="shared" si="16"/>
        <v>2043</v>
      </c>
      <c r="X80" s="491">
        <f t="shared" si="16"/>
        <v>2044</v>
      </c>
      <c r="Y80" s="491">
        <f t="shared" si="16"/>
        <v>2045</v>
      </c>
      <c r="Z80" s="491">
        <f t="shared" si="16"/>
        <v>2046</v>
      </c>
      <c r="AA80" s="491">
        <f t="shared" si="16"/>
        <v>2047</v>
      </c>
      <c r="AB80" s="491">
        <f t="shared" si="16"/>
        <v>2048</v>
      </c>
      <c r="AC80" s="491">
        <f t="shared" si="16"/>
        <v>2049</v>
      </c>
      <c r="AD80" s="491">
        <f t="shared" si="16"/>
        <v>2050</v>
      </c>
      <c r="AE80" s="491">
        <f t="shared" si="16"/>
        <v>2051</v>
      </c>
      <c r="AF80" s="491">
        <f t="shared" si="16"/>
        <v>2052</v>
      </c>
      <c r="AG80" s="491">
        <f t="shared" si="16"/>
        <v>2053</v>
      </c>
      <c r="AH80" s="491">
        <f t="shared" si="16"/>
        <v>2054</v>
      </c>
    </row>
    <row r="81" spans="1:34">
      <c r="B81" s="10" t="s">
        <v>338</v>
      </c>
      <c r="C81" s="11">
        <f>SUM(E81:AH81)</f>
        <v>0</v>
      </c>
      <c r="D81" s="11">
        <f>E81+NPV(fdr_áll,F81:AH81)</f>
        <v>0</v>
      </c>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row>
    <row r="82" spans="1:34">
      <c r="B82" s="1"/>
    </row>
    <row r="83" spans="1:34">
      <c r="B83" s="1"/>
    </row>
    <row r="84" spans="1:34" s="83" customFormat="1">
      <c r="A84" s="493"/>
      <c r="B84" s="6" t="s">
        <v>509</v>
      </c>
    </row>
    <row r="85" spans="1:34">
      <c r="B85" s="1"/>
    </row>
    <row r="86" spans="1:34">
      <c r="B86" s="14" t="s">
        <v>479</v>
      </c>
      <c r="C86" s="14" t="s">
        <v>325</v>
      </c>
      <c r="D86" s="14" t="s">
        <v>326</v>
      </c>
      <c r="E86" s="491">
        <f>start_year</f>
        <v>2025</v>
      </c>
      <c r="F86" s="491">
        <f>E86+1</f>
        <v>2026</v>
      </c>
      <c r="G86" s="491">
        <f t="shared" ref="G86:AH86" si="17">F86+1</f>
        <v>2027</v>
      </c>
      <c r="H86" s="491">
        <f t="shared" si="17"/>
        <v>2028</v>
      </c>
      <c r="I86" s="491">
        <f t="shared" si="17"/>
        <v>2029</v>
      </c>
      <c r="J86" s="491">
        <f t="shared" si="17"/>
        <v>2030</v>
      </c>
      <c r="K86" s="491">
        <f t="shared" si="17"/>
        <v>2031</v>
      </c>
      <c r="L86" s="491">
        <f t="shared" si="17"/>
        <v>2032</v>
      </c>
      <c r="M86" s="491">
        <f t="shared" si="17"/>
        <v>2033</v>
      </c>
      <c r="N86" s="491">
        <f t="shared" si="17"/>
        <v>2034</v>
      </c>
      <c r="O86" s="491">
        <f t="shared" si="17"/>
        <v>2035</v>
      </c>
      <c r="P86" s="491">
        <f t="shared" si="17"/>
        <v>2036</v>
      </c>
      <c r="Q86" s="491">
        <f t="shared" si="17"/>
        <v>2037</v>
      </c>
      <c r="R86" s="491">
        <f t="shared" si="17"/>
        <v>2038</v>
      </c>
      <c r="S86" s="491">
        <f t="shared" si="17"/>
        <v>2039</v>
      </c>
      <c r="T86" s="491">
        <f t="shared" si="17"/>
        <v>2040</v>
      </c>
      <c r="U86" s="491">
        <f t="shared" si="17"/>
        <v>2041</v>
      </c>
      <c r="V86" s="491">
        <f t="shared" si="17"/>
        <v>2042</v>
      </c>
      <c r="W86" s="491">
        <f t="shared" si="17"/>
        <v>2043</v>
      </c>
      <c r="X86" s="491">
        <f t="shared" si="17"/>
        <v>2044</v>
      </c>
      <c r="Y86" s="491">
        <f t="shared" si="17"/>
        <v>2045</v>
      </c>
      <c r="Z86" s="491">
        <f t="shared" si="17"/>
        <v>2046</v>
      </c>
      <c r="AA86" s="491">
        <f t="shared" si="17"/>
        <v>2047</v>
      </c>
      <c r="AB86" s="491">
        <f t="shared" si="17"/>
        <v>2048</v>
      </c>
      <c r="AC86" s="491">
        <f t="shared" si="17"/>
        <v>2049</v>
      </c>
      <c r="AD86" s="491">
        <f t="shared" si="17"/>
        <v>2050</v>
      </c>
      <c r="AE86" s="491">
        <f t="shared" si="17"/>
        <v>2051</v>
      </c>
      <c r="AF86" s="491">
        <f t="shared" si="17"/>
        <v>2052</v>
      </c>
      <c r="AG86" s="491">
        <f t="shared" si="17"/>
        <v>2053</v>
      </c>
      <c r="AH86" s="491">
        <f t="shared" si="17"/>
        <v>2054</v>
      </c>
    </row>
    <row r="87" spans="1:34">
      <c r="B87" s="8" t="s">
        <v>341</v>
      </c>
      <c r="C87" s="11">
        <f>SUM(E87:AH87)</f>
        <v>0</v>
      </c>
      <c r="D87" s="11">
        <f>E87+NPV(fdr_áll,F87:AH87)</f>
        <v>0</v>
      </c>
      <c r="E87" s="287"/>
      <c r="F87" s="287"/>
      <c r="G87" s="287"/>
      <c r="H87" s="287"/>
      <c r="I87" s="287"/>
      <c r="J87" s="287"/>
      <c r="K87" s="287"/>
      <c r="L87" s="287"/>
      <c r="M87" s="287"/>
      <c r="N87" s="287"/>
      <c r="O87" s="287"/>
      <c r="P87" s="287"/>
      <c r="Q87" s="287"/>
      <c r="R87" s="287"/>
      <c r="S87" s="287"/>
      <c r="T87" s="287"/>
      <c r="U87" s="287"/>
      <c r="V87" s="287"/>
      <c r="W87" s="287"/>
      <c r="X87" s="287"/>
      <c r="Y87" s="287"/>
      <c r="Z87" s="287"/>
      <c r="AA87" s="287"/>
      <c r="AB87" s="287"/>
      <c r="AC87" s="287"/>
      <c r="AD87" s="287"/>
      <c r="AE87" s="287"/>
      <c r="AF87" s="287"/>
      <c r="AG87" s="287"/>
      <c r="AH87" s="287"/>
    </row>
    <row r="88" spans="1:34">
      <c r="B88" s="10" t="s">
        <v>342</v>
      </c>
      <c r="C88" s="11">
        <f>SUM(E88:AH88)</f>
        <v>0</v>
      </c>
      <c r="D88" s="11">
        <f>E88+NPV(fdr_áll,F88:AH88)</f>
        <v>0</v>
      </c>
      <c r="E88" s="287"/>
      <c r="F88" s="287"/>
      <c r="G88" s="287"/>
      <c r="H88" s="287"/>
      <c r="I88" s="287"/>
      <c r="J88" s="287"/>
      <c r="K88" s="287"/>
      <c r="L88" s="287"/>
      <c r="M88" s="287"/>
      <c r="N88" s="287"/>
      <c r="O88" s="287"/>
      <c r="P88" s="287"/>
      <c r="Q88" s="287"/>
      <c r="R88" s="287"/>
      <c r="S88" s="287"/>
      <c r="T88" s="287"/>
      <c r="U88" s="287"/>
      <c r="V88" s="287"/>
      <c r="W88" s="287"/>
      <c r="X88" s="287"/>
      <c r="Y88" s="287"/>
      <c r="Z88" s="287"/>
      <c r="AA88" s="287"/>
      <c r="AB88" s="287"/>
      <c r="AC88" s="287"/>
      <c r="AD88" s="287"/>
      <c r="AE88" s="287"/>
      <c r="AF88" s="287"/>
      <c r="AG88" s="287"/>
      <c r="AH88" s="287"/>
    </row>
    <row r="89" spans="1:34">
      <c r="B89" s="8" t="s">
        <v>343</v>
      </c>
      <c r="C89" s="13">
        <f>SUM(E89:AH89)</f>
        <v>0</v>
      </c>
      <c r="D89" s="13">
        <f>E89+NPV(fdr_áll,F89:AH89)</f>
        <v>0</v>
      </c>
      <c r="E89" s="18">
        <f>SUM(E87:E88)</f>
        <v>0</v>
      </c>
      <c r="F89" s="18">
        <f t="shared" ref="F89:AH89" si="18">SUM(F87:F88)</f>
        <v>0</v>
      </c>
      <c r="G89" s="18">
        <f t="shared" si="18"/>
        <v>0</v>
      </c>
      <c r="H89" s="18">
        <f t="shared" si="18"/>
        <v>0</v>
      </c>
      <c r="I89" s="18">
        <f t="shared" si="18"/>
        <v>0</v>
      </c>
      <c r="J89" s="18">
        <f t="shared" si="18"/>
        <v>0</v>
      </c>
      <c r="K89" s="18">
        <f t="shared" si="18"/>
        <v>0</v>
      </c>
      <c r="L89" s="18">
        <f t="shared" si="18"/>
        <v>0</v>
      </c>
      <c r="M89" s="18">
        <f t="shared" si="18"/>
        <v>0</v>
      </c>
      <c r="N89" s="18">
        <f t="shared" si="18"/>
        <v>0</v>
      </c>
      <c r="O89" s="18">
        <f t="shared" si="18"/>
        <v>0</v>
      </c>
      <c r="P89" s="18">
        <f t="shared" si="18"/>
        <v>0</v>
      </c>
      <c r="Q89" s="18">
        <f t="shared" si="18"/>
        <v>0</v>
      </c>
      <c r="R89" s="18">
        <f t="shared" si="18"/>
        <v>0</v>
      </c>
      <c r="S89" s="18">
        <f t="shared" si="18"/>
        <v>0</v>
      </c>
      <c r="T89" s="18">
        <f t="shared" si="18"/>
        <v>0</v>
      </c>
      <c r="U89" s="18">
        <f t="shared" si="18"/>
        <v>0</v>
      </c>
      <c r="V89" s="18">
        <f t="shared" si="18"/>
        <v>0</v>
      </c>
      <c r="W89" s="18">
        <f t="shared" si="18"/>
        <v>0</v>
      </c>
      <c r="X89" s="18">
        <f t="shared" si="18"/>
        <v>0</v>
      </c>
      <c r="Y89" s="18">
        <f t="shared" si="18"/>
        <v>0</v>
      </c>
      <c r="Z89" s="18">
        <f t="shared" si="18"/>
        <v>0</v>
      </c>
      <c r="AA89" s="18">
        <f t="shared" si="18"/>
        <v>0</v>
      </c>
      <c r="AB89" s="18">
        <f t="shared" si="18"/>
        <v>0</v>
      </c>
      <c r="AC89" s="18">
        <f t="shared" si="18"/>
        <v>0</v>
      </c>
      <c r="AD89" s="18">
        <f t="shared" si="18"/>
        <v>0</v>
      </c>
      <c r="AE89" s="18">
        <f t="shared" si="18"/>
        <v>0</v>
      </c>
      <c r="AF89" s="18">
        <f t="shared" si="18"/>
        <v>0</v>
      </c>
      <c r="AG89" s="18">
        <f t="shared" si="18"/>
        <v>0</v>
      </c>
      <c r="AH89" s="18">
        <f t="shared" si="18"/>
        <v>0</v>
      </c>
    </row>
    <row r="90" spans="1:34">
      <c r="B90" s="1"/>
    </row>
    <row r="91" spans="1:34">
      <c r="B91" s="1"/>
    </row>
    <row r="92" spans="1:34" s="83" customFormat="1">
      <c r="A92" s="493"/>
      <c r="B92" s="6" t="s">
        <v>312</v>
      </c>
    </row>
    <row r="93" spans="1:34">
      <c r="B93" s="1"/>
    </row>
    <row r="94" spans="1:34">
      <c r="B94" s="14" t="s">
        <v>312</v>
      </c>
      <c r="C94" s="14" t="s">
        <v>325</v>
      </c>
      <c r="D94" s="14" t="s">
        <v>326</v>
      </c>
      <c r="E94" s="491">
        <f>start_year</f>
        <v>2025</v>
      </c>
      <c r="F94" s="491">
        <f>E94+1</f>
        <v>2026</v>
      </c>
      <c r="G94" s="491">
        <f t="shared" ref="G94:AH94" si="19">F94+1</f>
        <v>2027</v>
      </c>
      <c r="H94" s="491">
        <f t="shared" si="19"/>
        <v>2028</v>
      </c>
      <c r="I94" s="491">
        <f t="shared" si="19"/>
        <v>2029</v>
      </c>
      <c r="J94" s="491">
        <f t="shared" si="19"/>
        <v>2030</v>
      </c>
      <c r="K94" s="491">
        <f t="shared" si="19"/>
        <v>2031</v>
      </c>
      <c r="L94" s="491">
        <f t="shared" si="19"/>
        <v>2032</v>
      </c>
      <c r="M94" s="491">
        <f t="shared" si="19"/>
        <v>2033</v>
      </c>
      <c r="N94" s="491">
        <f t="shared" si="19"/>
        <v>2034</v>
      </c>
      <c r="O94" s="491">
        <f t="shared" si="19"/>
        <v>2035</v>
      </c>
      <c r="P94" s="491">
        <f t="shared" si="19"/>
        <v>2036</v>
      </c>
      <c r="Q94" s="491">
        <f t="shared" si="19"/>
        <v>2037</v>
      </c>
      <c r="R94" s="491">
        <f t="shared" si="19"/>
        <v>2038</v>
      </c>
      <c r="S94" s="491">
        <f t="shared" si="19"/>
        <v>2039</v>
      </c>
      <c r="T94" s="491">
        <f t="shared" si="19"/>
        <v>2040</v>
      </c>
      <c r="U94" s="491">
        <f t="shared" si="19"/>
        <v>2041</v>
      </c>
      <c r="V94" s="491">
        <f t="shared" si="19"/>
        <v>2042</v>
      </c>
      <c r="W94" s="491">
        <f t="shared" si="19"/>
        <v>2043</v>
      </c>
      <c r="X94" s="491">
        <f t="shared" si="19"/>
        <v>2044</v>
      </c>
      <c r="Y94" s="491">
        <f t="shared" si="19"/>
        <v>2045</v>
      </c>
      <c r="Z94" s="491">
        <f t="shared" si="19"/>
        <v>2046</v>
      </c>
      <c r="AA94" s="491">
        <f t="shared" si="19"/>
        <v>2047</v>
      </c>
      <c r="AB94" s="491">
        <f t="shared" si="19"/>
        <v>2048</v>
      </c>
      <c r="AC94" s="491">
        <f t="shared" si="19"/>
        <v>2049</v>
      </c>
      <c r="AD94" s="491">
        <f t="shared" si="19"/>
        <v>2050</v>
      </c>
      <c r="AE94" s="491">
        <f t="shared" si="19"/>
        <v>2051</v>
      </c>
      <c r="AF94" s="491">
        <f t="shared" si="19"/>
        <v>2052</v>
      </c>
      <c r="AG94" s="491">
        <f t="shared" si="19"/>
        <v>2053</v>
      </c>
      <c r="AH94" s="491">
        <f t="shared" si="19"/>
        <v>2054</v>
      </c>
    </row>
    <row r="95" spans="1:34">
      <c r="B95" s="10" t="s">
        <v>314</v>
      </c>
      <c r="C95" s="11">
        <f t="shared" ref="C95:C99" si="20">SUM(E95:AH95)</f>
        <v>0</v>
      </c>
      <c r="D95" s="11">
        <f>E95+NPV(fdr_áll,F95:AH95)</f>
        <v>0</v>
      </c>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row>
    <row r="96" spans="1:34">
      <c r="B96" s="10" t="s">
        <v>315</v>
      </c>
      <c r="C96" s="11">
        <f t="shared" si="20"/>
        <v>0</v>
      </c>
      <c r="D96" s="11">
        <f>E96+NPV(fdr_áll,F96:AH96)</f>
        <v>0</v>
      </c>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row>
    <row r="97" spans="1:34">
      <c r="B97" s="10" t="s">
        <v>316</v>
      </c>
      <c r="C97" s="11">
        <f t="shared" si="20"/>
        <v>0</v>
      </c>
      <c r="D97" s="11">
        <f>E97+NPV(fdr_áll,F97:AH97)</f>
        <v>0</v>
      </c>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row>
    <row r="98" spans="1:34">
      <c r="B98" s="10" t="s">
        <v>317</v>
      </c>
      <c r="C98" s="11">
        <f t="shared" si="20"/>
        <v>0</v>
      </c>
      <c r="D98" s="11">
        <f>E98+NPV(fdr_áll,F98:AH98)</f>
        <v>0</v>
      </c>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row>
    <row r="99" spans="1:34">
      <c r="B99" s="10" t="s">
        <v>318</v>
      </c>
      <c r="C99" s="11">
        <f t="shared" si="20"/>
        <v>0</v>
      </c>
      <c r="D99" s="11">
        <f>E99+NPV(fdr_áll,F99:AH99)</f>
        <v>0</v>
      </c>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row>
    <row r="100" spans="1:34">
      <c r="B100" s="1"/>
    </row>
    <row r="101" spans="1:34">
      <c r="B101" s="1"/>
    </row>
    <row r="102" spans="1:34" s="83" customFormat="1">
      <c r="A102" s="493"/>
      <c r="B102" s="6" t="s">
        <v>246</v>
      </c>
    </row>
    <row r="103" spans="1:34">
      <c r="B103" s="514"/>
    </row>
    <row r="104" spans="1:34">
      <c r="B104" s="14" t="s">
        <v>246</v>
      </c>
      <c r="C104" s="491">
        <f>last_year</f>
        <v>2044</v>
      </c>
    </row>
    <row r="105" spans="1:34">
      <c r="B105" s="511" t="s">
        <v>332</v>
      </c>
      <c r="C105" s="287"/>
    </row>
    <row r="106" spans="1:34">
      <c r="B106" s="514"/>
    </row>
    <row r="107" spans="1:34">
      <c r="B107" s="514"/>
    </row>
    <row r="108" spans="1:34" s="499" customFormat="1">
      <c r="A108" s="498"/>
      <c r="B108" s="21" t="s">
        <v>519</v>
      </c>
    </row>
    <row r="109" spans="1:34">
      <c r="B109" s="1"/>
    </row>
    <row r="110" spans="1:34">
      <c r="B110" s="39" t="s">
        <v>520</v>
      </c>
      <c r="C110" s="496"/>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c r="AE110" s="496"/>
      <c r="AF110" s="496"/>
      <c r="AG110" s="496"/>
      <c r="AH110" s="496"/>
    </row>
    <row r="111" spans="1:34">
      <c r="B111" s="1"/>
    </row>
    <row r="112" spans="1:34">
      <c r="B112" s="14" t="s">
        <v>335</v>
      </c>
      <c r="C112" s="14" t="s">
        <v>325</v>
      </c>
      <c r="D112" s="14" t="s">
        <v>326</v>
      </c>
      <c r="E112" s="491">
        <f>start_year</f>
        <v>2025</v>
      </c>
      <c r="F112" s="491">
        <f>E112+1</f>
        <v>2026</v>
      </c>
      <c r="G112" s="491">
        <f t="shared" ref="G112:AH112" si="21">F112+1</f>
        <v>2027</v>
      </c>
      <c r="H112" s="491">
        <f t="shared" si="21"/>
        <v>2028</v>
      </c>
      <c r="I112" s="491">
        <f t="shared" si="21"/>
        <v>2029</v>
      </c>
      <c r="J112" s="491">
        <f t="shared" si="21"/>
        <v>2030</v>
      </c>
      <c r="K112" s="491">
        <f t="shared" si="21"/>
        <v>2031</v>
      </c>
      <c r="L112" s="491">
        <f t="shared" si="21"/>
        <v>2032</v>
      </c>
      <c r="M112" s="491">
        <f t="shared" si="21"/>
        <v>2033</v>
      </c>
      <c r="N112" s="491">
        <f t="shared" si="21"/>
        <v>2034</v>
      </c>
      <c r="O112" s="491">
        <f t="shared" si="21"/>
        <v>2035</v>
      </c>
      <c r="P112" s="491">
        <f t="shared" si="21"/>
        <v>2036</v>
      </c>
      <c r="Q112" s="491">
        <f t="shared" si="21"/>
        <v>2037</v>
      </c>
      <c r="R112" s="491">
        <f t="shared" si="21"/>
        <v>2038</v>
      </c>
      <c r="S112" s="491">
        <f t="shared" si="21"/>
        <v>2039</v>
      </c>
      <c r="T112" s="491">
        <f t="shared" si="21"/>
        <v>2040</v>
      </c>
      <c r="U112" s="491">
        <f t="shared" si="21"/>
        <v>2041</v>
      </c>
      <c r="V112" s="491">
        <f t="shared" si="21"/>
        <v>2042</v>
      </c>
      <c r="W112" s="491">
        <f t="shared" si="21"/>
        <v>2043</v>
      </c>
      <c r="X112" s="491">
        <f t="shared" si="21"/>
        <v>2044</v>
      </c>
      <c r="Y112" s="491">
        <f t="shared" si="21"/>
        <v>2045</v>
      </c>
      <c r="Z112" s="491">
        <f t="shared" si="21"/>
        <v>2046</v>
      </c>
      <c r="AA112" s="491">
        <f t="shared" si="21"/>
        <v>2047</v>
      </c>
      <c r="AB112" s="491">
        <f t="shared" si="21"/>
        <v>2048</v>
      </c>
      <c r="AC112" s="491">
        <f t="shared" si="21"/>
        <v>2049</v>
      </c>
      <c r="AD112" s="491">
        <f t="shared" si="21"/>
        <v>2050</v>
      </c>
      <c r="AE112" s="491">
        <f t="shared" si="21"/>
        <v>2051</v>
      </c>
      <c r="AF112" s="491">
        <f t="shared" si="21"/>
        <v>2052</v>
      </c>
      <c r="AG112" s="491">
        <f t="shared" si="21"/>
        <v>2053</v>
      </c>
      <c r="AH112" s="491">
        <f t="shared" si="21"/>
        <v>2054</v>
      </c>
    </row>
    <row r="113" spans="2:34">
      <c r="B113" s="10" t="s">
        <v>336</v>
      </c>
      <c r="C113" s="11">
        <f t="shared" ref="C113:C118" si="22">SUM(E113:AH113)</f>
        <v>0</v>
      </c>
      <c r="D113" s="11">
        <f t="shared" ref="D113:D118" si="23">E113+NPV(fdr_áll,F113:AH113)</f>
        <v>0</v>
      </c>
      <c r="E113" s="53">
        <f>E67</f>
        <v>0</v>
      </c>
      <c r="F113" s="53">
        <f t="shared" ref="F113:I113" si="24">F67</f>
        <v>0</v>
      </c>
      <c r="G113" s="53">
        <f t="shared" si="24"/>
        <v>0</v>
      </c>
      <c r="H113" s="53">
        <f t="shared" si="24"/>
        <v>0</v>
      </c>
      <c r="I113" s="53">
        <f t="shared" si="24"/>
        <v>0</v>
      </c>
      <c r="J113" s="53">
        <v>0</v>
      </c>
      <c r="K113" s="53">
        <v>0</v>
      </c>
      <c r="L113" s="53">
        <v>0</v>
      </c>
      <c r="M113" s="53">
        <v>0</v>
      </c>
      <c r="N113" s="53">
        <v>0</v>
      </c>
      <c r="O113" s="53">
        <v>0</v>
      </c>
      <c r="P113" s="53">
        <v>0</v>
      </c>
      <c r="Q113" s="53">
        <v>0</v>
      </c>
      <c r="R113" s="53">
        <v>0</v>
      </c>
      <c r="S113" s="53">
        <v>0</v>
      </c>
      <c r="T113" s="53">
        <v>0</v>
      </c>
      <c r="U113" s="53">
        <v>0</v>
      </c>
      <c r="V113" s="53">
        <v>0</v>
      </c>
      <c r="W113" s="53">
        <v>0</v>
      </c>
      <c r="X113" s="53">
        <v>0</v>
      </c>
      <c r="Y113" s="53">
        <v>0</v>
      </c>
      <c r="Z113" s="53">
        <v>0</v>
      </c>
      <c r="AA113" s="53">
        <v>0</v>
      </c>
      <c r="AB113" s="53">
        <v>0</v>
      </c>
      <c r="AC113" s="53">
        <v>0</v>
      </c>
      <c r="AD113" s="53">
        <v>0</v>
      </c>
      <c r="AE113" s="53">
        <v>0</v>
      </c>
      <c r="AF113" s="53">
        <v>0</v>
      </c>
      <c r="AG113" s="53">
        <v>0</v>
      </c>
      <c r="AH113" s="53">
        <v>0</v>
      </c>
    </row>
    <row r="114" spans="2:34">
      <c r="B114" s="10" t="s">
        <v>301</v>
      </c>
      <c r="C114" s="11">
        <f t="shared" si="22"/>
        <v>0</v>
      </c>
      <c r="D114" s="11">
        <f t="shared" si="23"/>
        <v>0</v>
      </c>
      <c r="E114" s="53">
        <f>SUM(E115:E116)</f>
        <v>0</v>
      </c>
      <c r="F114" s="53">
        <f t="shared" ref="F114:AH114" si="25">SUM(F115:F116)</f>
        <v>0</v>
      </c>
      <c r="G114" s="53">
        <f t="shared" si="25"/>
        <v>0</v>
      </c>
      <c r="H114" s="53">
        <f t="shared" si="25"/>
        <v>0</v>
      </c>
      <c r="I114" s="53">
        <f t="shared" si="25"/>
        <v>0</v>
      </c>
      <c r="J114" s="53">
        <f t="shared" si="25"/>
        <v>0</v>
      </c>
      <c r="K114" s="53">
        <f t="shared" si="25"/>
        <v>0</v>
      </c>
      <c r="L114" s="53">
        <f t="shared" si="25"/>
        <v>0</v>
      </c>
      <c r="M114" s="53">
        <f t="shared" si="25"/>
        <v>0</v>
      </c>
      <c r="N114" s="53">
        <f t="shared" si="25"/>
        <v>0</v>
      </c>
      <c r="O114" s="53">
        <f t="shared" si="25"/>
        <v>0</v>
      </c>
      <c r="P114" s="53">
        <f t="shared" si="25"/>
        <v>0</v>
      </c>
      <c r="Q114" s="53">
        <f t="shared" si="25"/>
        <v>0</v>
      </c>
      <c r="R114" s="53">
        <f t="shared" si="25"/>
        <v>0</v>
      </c>
      <c r="S114" s="53">
        <f t="shared" si="25"/>
        <v>0</v>
      </c>
      <c r="T114" s="53">
        <f t="shared" si="25"/>
        <v>0</v>
      </c>
      <c r="U114" s="53">
        <f t="shared" si="25"/>
        <v>0</v>
      </c>
      <c r="V114" s="53">
        <f t="shared" si="25"/>
        <v>0</v>
      </c>
      <c r="W114" s="53">
        <f t="shared" si="25"/>
        <v>0</v>
      </c>
      <c r="X114" s="53">
        <f t="shared" si="25"/>
        <v>0</v>
      </c>
      <c r="Y114" s="53">
        <f t="shared" si="25"/>
        <v>0</v>
      </c>
      <c r="Z114" s="53">
        <f t="shared" si="25"/>
        <v>0</v>
      </c>
      <c r="AA114" s="53">
        <f t="shared" si="25"/>
        <v>0</v>
      </c>
      <c r="AB114" s="53">
        <f t="shared" si="25"/>
        <v>0</v>
      </c>
      <c r="AC114" s="53">
        <f t="shared" si="25"/>
        <v>0</v>
      </c>
      <c r="AD114" s="53">
        <f t="shared" si="25"/>
        <v>0</v>
      </c>
      <c r="AE114" s="53">
        <f t="shared" si="25"/>
        <v>0</v>
      </c>
      <c r="AF114" s="53">
        <f t="shared" si="25"/>
        <v>0</v>
      </c>
      <c r="AG114" s="53">
        <f t="shared" si="25"/>
        <v>0</v>
      </c>
      <c r="AH114" s="53">
        <f t="shared" si="25"/>
        <v>0</v>
      </c>
    </row>
    <row r="115" spans="2:34" ht="14.4">
      <c r="B115" s="23" t="s">
        <v>337</v>
      </c>
      <c r="C115" s="11">
        <f t="shared" si="22"/>
        <v>0</v>
      </c>
      <c r="D115" s="11">
        <f t="shared" si="23"/>
        <v>0</v>
      </c>
      <c r="E115" s="513">
        <f>E75</f>
        <v>0</v>
      </c>
      <c r="F115" s="513">
        <f t="shared" ref="F115:AH115" si="26">F75</f>
        <v>0</v>
      </c>
      <c r="G115" s="513">
        <f t="shared" si="26"/>
        <v>0</v>
      </c>
      <c r="H115" s="513">
        <f t="shared" si="26"/>
        <v>0</v>
      </c>
      <c r="I115" s="513">
        <f t="shared" si="26"/>
        <v>0</v>
      </c>
      <c r="J115" s="513">
        <f t="shared" si="26"/>
        <v>0</v>
      </c>
      <c r="K115" s="513">
        <f t="shared" si="26"/>
        <v>0</v>
      </c>
      <c r="L115" s="513">
        <f t="shared" si="26"/>
        <v>0</v>
      </c>
      <c r="M115" s="513">
        <f t="shared" si="26"/>
        <v>0</v>
      </c>
      <c r="N115" s="513">
        <f t="shared" si="26"/>
        <v>0</v>
      </c>
      <c r="O115" s="513">
        <f t="shared" si="26"/>
        <v>0</v>
      </c>
      <c r="P115" s="513">
        <f t="shared" si="26"/>
        <v>0</v>
      </c>
      <c r="Q115" s="513">
        <f t="shared" si="26"/>
        <v>0</v>
      </c>
      <c r="R115" s="513">
        <f t="shared" si="26"/>
        <v>0</v>
      </c>
      <c r="S115" s="513">
        <f t="shared" si="26"/>
        <v>0</v>
      </c>
      <c r="T115" s="513">
        <f t="shared" si="26"/>
        <v>0</v>
      </c>
      <c r="U115" s="513">
        <f t="shared" si="26"/>
        <v>0</v>
      </c>
      <c r="V115" s="513">
        <f t="shared" si="26"/>
        <v>0</v>
      </c>
      <c r="W115" s="513">
        <f t="shared" si="26"/>
        <v>0</v>
      </c>
      <c r="X115" s="513">
        <f t="shared" si="26"/>
        <v>0</v>
      </c>
      <c r="Y115" s="513">
        <f t="shared" si="26"/>
        <v>0</v>
      </c>
      <c r="Z115" s="513">
        <f t="shared" si="26"/>
        <v>0</v>
      </c>
      <c r="AA115" s="513">
        <f t="shared" si="26"/>
        <v>0</v>
      </c>
      <c r="AB115" s="513">
        <f t="shared" si="26"/>
        <v>0</v>
      </c>
      <c r="AC115" s="513">
        <f t="shared" si="26"/>
        <v>0</v>
      </c>
      <c r="AD115" s="513">
        <f t="shared" si="26"/>
        <v>0</v>
      </c>
      <c r="AE115" s="513">
        <f t="shared" si="26"/>
        <v>0</v>
      </c>
      <c r="AF115" s="513">
        <f t="shared" si="26"/>
        <v>0</v>
      </c>
      <c r="AG115" s="513">
        <f t="shared" si="26"/>
        <v>0</v>
      </c>
      <c r="AH115" s="513">
        <f t="shared" si="26"/>
        <v>0</v>
      </c>
    </row>
    <row r="116" spans="2:34" ht="14.4">
      <c r="B116" s="23" t="s">
        <v>521</v>
      </c>
      <c r="C116" s="11">
        <f t="shared" si="22"/>
        <v>0</v>
      </c>
      <c r="D116" s="11">
        <f t="shared" si="23"/>
        <v>0</v>
      </c>
      <c r="E116" s="513">
        <f>E81</f>
        <v>0</v>
      </c>
      <c r="F116" s="513">
        <f t="shared" ref="F116:AH116" si="27">F81</f>
        <v>0</v>
      </c>
      <c r="G116" s="513">
        <f t="shared" si="27"/>
        <v>0</v>
      </c>
      <c r="H116" s="513">
        <f t="shared" si="27"/>
        <v>0</v>
      </c>
      <c r="I116" s="513">
        <f t="shared" si="27"/>
        <v>0</v>
      </c>
      <c r="J116" s="513">
        <f t="shared" si="27"/>
        <v>0</v>
      </c>
      <c r="K116" s="513">
        <f t="shared" si="27"/>
        <v>0</v>
      </c>
      <c r="L116" s="513">
        <f t="shared" si="27"/>
        <v>0</v>
      </c>
      <c r="M116" s="513">
        <f t="shared" si="27"/>
        <v>0</v>
      </c>
      <c r="N116" s="513">
        <f t="shared" si="27"/>
        <v>0</v>
      </c>
      <c r="O116" s="513">
        <f t="shared" si="27"/>
        <v>0</v>
      </c>
      <c r="P116" s="513">
        <f t="shared" si="27"/>
        <v>0</v>
      </c>
      <c r="Q116" s="513">
        <f t="shared" si="27"/>
        <v>0</v>
      </c>
      <c r="R116" s="513">
        <f t="shared" si="27"/>
        <v>0</v>
      </c>
      <c r="S116" s="513">
        <f t="shared" si="27"/>
        <v>0</v>
      </c>
      <c r="T116" s="513">
        <f t="shared" si="27"/>
        <v>0</v>
      </c>
      <c r="U116" s="513">
        <f t="shared" si="27"/>
        <v>0</v>
      </c>
      <c r="V116" s="513">
        <f t="shared" si="27"/>
        <v>0</v>
      </c>
      <c r="W116" s="513">
        <f t="shared" si="27"/>
        <v>0</v>
      </c>
      <c r="X116" s="513">
        <f t="shared" si="27"/>
        <v>0</v>
      </c>
      <c r="Y116" s="513">
        <f t="shared" si="27"/>
        <v>0</v>
      </c>
      <c r="Z116" s="513">
        <f t="shared" si="27"/>
        <v>0</v>
      </c>
      <c r="AA116" s="513">
        <f t="shared" si="27"/>
        <v>0</v>
      </c>
      <c r="AB116" s="513">
        <f t="shared" si="27"/>
        <v>0</v>
      </c>
      <c r="AC116" s="513">
        <f t="shared" si="27"/>
        <v>0</v>
      </c>
      <c r="AD116" s="513">
        <f t="shared" si="27"/>
        <v>0</v>
      </c>
      <c r="AE116" s="513">
        <f t="shared" si="27"/>
        <v>0</v>
      </c>
      <c r="AF116" s="513">
        <f t="shared" si="27"/>
        <v>0</v>
      </c>
      <c r="AG116" s="513">
        <f t="shared" si="27"/>
        <v>0</v>
      </c>
      <c r="AH116" s="513">
        <f t="shared" si="27"/>
        <v>0</v>
      </c>
    </row>
    <row r="117" spans="2:34">
      <c r="B117" s="10" t="s">
        <v>246</v>
      </c>
      <c r="C117" s="11">
        <f t="shared" si="22"/>
        <v>0</v>
      </c>
      <c r="D117" s="11">
        <f t="shared" si="23"/>
        <v>0</v>
      </c>
      <c r="E117" s="53">
        <f>IF(E112=$C$104,$C$105,0)</f>
        <v>0</v>
      </c>
      <c r="F117" s="53">
        <f t="shared" ref="F117:AH117" si="28">IF(F112=$C$104,$C$105,0)</f>
        <v>0</v>
      </c>
      <c r="G117" s="53">
        <f t="shared" si="28"/>
        <v>0</v>
      </c>
      <c r="H117" s="53">
        <f t="shared" si="28"/>
        <v>0</v>
      </c>
      <c r="I117" s="53">
        <f t="shared" si="28"/>
        <v>0</v>
      </c>
      <c r="J117" s="53">
        <f t="shared" si="28"/>
        <v>0</v>
      </c>
      <c r="K117" s="53">
        <f t="shared" si="28"/>
        <v>0</v>
      </c>
      <c r="L117" s="53">
        <f t="shared" si="28"/>
        <v>0</v>
      </c>
      <c r="M117" s="53">
        <f t="shared" si="28"/>
        <v>0</v>
      </c>
      <c r="N117" s="53">
        <f t="shared" si="28"/>
        <v>0</v>
      </c>
      <c r="O117" s="53">
        <f t="shared" si="28"/>
        <v>0</v>
      </c>
      <c r="P117" s="53">
        <f t="shared" si="28"/>
        <v>0</v>
      </c>
      <c r="Q117" s="53">
        <f t="shared" si="28"/>
        <v>0</v>
      </c>
      <c r="R117" s="53">
        <f t="shared" si="28"/>
        <v>0</v>
      </c>
      <c r="S117" s="53">
        <f t="shared" si="28"/>
        <v>0</v>
      </c>
      <c r="T117" s="53">
        <f t="shared" si="28"/>
        <v>0</v>
      </c>
      <c r="U117" s="53">
        <f t="shared" si="28"/>
        <v>0</v>
      </c>
      <c r="V117" s="53">
        <f t="shared" si="28"/>
        <v>0</v>
      </c>
      <c r="W117" s="53">
        <f t="shared" si="28"/>
        <v>0</v>
      </c>
      <c r="X117" s="53">
        <f t="shared" si="28"/>
        <v>0</v>
      </c>
      <c r="Y117" s="53">
        <f t="shared" si="28"/>
        <v>0</v>
      </c>
      <c r="Z117" s="53">
        <f t="shared" si="28"/>
        <v>0</v>
      </c>
      <c r="AA117" s="53">
        <f t="shared" si="28"/>
        <v>0</v>
      </c>
      <c r="AB117" s="53">
        <f t="shared" si="28"/>
        <v>0</v>
      </c>
      <c r="AC117" s="53">
        <f t="shared" si="28"/>
        <v>0</v>
      </c>
      <c r="AD117" s="53">
        <f t="shared" si="28"/>
        <v>0</v>
      </c>
      <c r="AE117" s="53">
        <f t="shared" si="28"/>
        <v>0</v>
      </c>
      <c r="AF117" s="53">
        <f t="shared" si="28"/>
        <v>0</v>
      </c>
      <c r="AG117" s="53">
        <f t="shared" si="28"/>
        <v>0</v>
      </c>
      <c r="AH117" s="53">
        <f t="shared" si="28"/>
        <v>0</v>
      </c>
    </row>
    <row r="118" spans="2:34">
      <c r="B118" s="20" t="s">
        <v>288</v>
      </c>
      <c r="C118" s="13">
        <f t="shared" si="22"/>
        <v>0</v>
      </c>
      <c r="D118" s="13">
        <f t="shared" si="23"/>
        <v>0</v>
      </c>
      <c r="E118" s="492">
        <f>SUM(E113:E114)-E117</f>
        <v>0</v>
      </c>
      <c r="F118" s="492">
        <f t="shared" ref="F118:AH118" si="29">SUM(F113:F114)-F117</f>
        <v>0</v>
      </c>
      <c r="G118" s="492">
        <f t="shared" si="29"/>
        <v>0</v>
      </c>
      <c r="H118" s="492">
        <f t="shared" si="29"/>
        <v>0</v>
      </c>
      <c r="I118" s="492">
        <f t="shared" si="29"/>
        <v>0</v>
      </c>
      <c r="J118" s="492">
        <f t="shared" si="29"/>
        <v>0</v>
      </c>
      <c r="K118" s="492">
        <f t="shared" si="29"/>
        <v>0</v>
      </c>
      <c r="L118" s="492">
        <f t="shared" si="29"/>
        <v>0</v>
      </c>
      <c r="M118" s="492">
        <f t="shared" si="29"/>
        <v>0</v>
      </c>
      <c r="N118" s="492">
        <f t="shared" si="29"/>
        <v>0</v>
      </c>
      <c r="O118" s="492">
        <f t="shared" si="29"/>
        <v>0</v>
      </c>
      <c r="P118" s="492">
        <f t="shared" si="29"/>
        <v>0</v>
      </c>
      <c r="Q118" s="492">
        <f t="shared" si="29"/>
        <v>0</v>
      </c>
      <c r="R118" s="492">
        <f t="shared" si="29"/>
        <v>0</v>
      </c>
      <c r="S118" s="492">
        <f t="shared" si="29"/>
        <v>0</v>
      </c>
      <c r="T118" s="492">
        <f t="shared" si="29"/>
        <v>0</v>
      </c>
      <c r="U118" s="492">
        <f t="shared" si="29"/>
        <v>0</v>
      </c>
      <c r="V118" s="492">
        <f t="shared" si="29"/>
        <v>0</v>
      </c>
      <c r="W118" s="492">
        <f t="shared" si="29"/>
        <v>0</v>
      </c>
      <c r="X118" s="492">
        <f t="shared" si="29"/>
        <v>0</v>
      </c>
      <c r="Y118" s="492">
        <f t="shared" si="29"/>
        <v>0</v>
      </c>
      <c r="Z118" s="492">
        <f t="shared" si="29"/>
        <v>0</v>
      </c>
      <c r="AA118" s="492">
        <f t="shared" si="29"/>
        <v>0</v>
      </c>
      <c r="AB118" s="492">
        <f t="shared" si="29"/>
        <v>0</v>
      </c>
      <c r="AC118" s="492">
        <f t="shared" si="29"/>
        <v>0</v>
      </c>
      <c r="AD118" s="492">
        <f t="shared" si="29"/>
        <v>0</v>
      </c>
      <c r="AE118" s="492">
        <f t="shared" si="29"/>
        <v>0</v>
      </c>
      <c r="AF118" s="492">
        <f t="shared" si="29"/>
        <v>0</v>
      </c>
      <c r="AG118" s="492">
        <f t="shared" si="29"/>
        <v>0</v>
      </c>
      <c r="AH118" s="492">
        <f t="shared" si="29"/>
        <v>0</v>
      </c>
    </row>
    <row r="119" spans="2:34">
      <c r="B119" s="1"/>
    </row>
    <row r="120" spans="2:34">
      <c r="B120" s="1"/>
    </row>
    <row r="121" spans="2:34">
      <c r="B121" s="39" t="s">
        <v>522</v>
      </c>
      <c r="C121" s="496"/>
      <c r="D121" s="496"/>
      <c r="E121" s="496"/>
      <c r="F121" s="496"/>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c r="AE121" s="496"/>
      <c r="AF121" s="496"/>
      <c r="AG121" s="496"/>
      <c r="AH121" s="496"/>
    </row>
    <row r="122" spans="2:34">
      <c r="B122" s="1"/>
    </row>
    <row r="123" spans="2:34">
      <c r="B123" s="14" t="s">
        <v>344</v>
      </c>
      <c r="C123" s="14" t="s">
        <v>325</v>
      </c>
      <c r="D123" s="14" t="s">
        <v>326</v>
      </c>
      <c r="E123" s="491">
        <f>start_year</f>
        <v>2025</v>
      </c>
      <c r="F123" s="491">
        <f>E123+1</f>
        <v>2026</v>
      </c>
      <c r="G123" s="491">
        <f t="shared" ref="G123:AH123" si="30">F123+1</f>
        <v>2027</v>
      </c>
      <c r="H123" s="491">
        <f t="shared" si="30"/>
        <v>2028</v>
      </c>
      <c r="I123" s="491">
        <f t="shared" si="30"/>
        <v>2029</v>
      </c>
      <c r="J123" s="491">
        <f t="shared" si="30"/>
        <v>2030</v>
      </c>
      <c r="K123" s="491">
        <f t="shared" si="30"/>
        <v>2031</v>
      </c>
      <c r="L123" s="491">
        <f t="shared" si="30"/>
        <v>2032</v>
      </c>
      <c r="M123" s="491">
        <f t="shared" si="30"/>
        <v>2033</v>
      </c>
      <c r="N123" s="491">
        <f t="shared" si="30"/>
        <v>2034</v>
      </c>
      <c r="O123" s="491">
        <f t="shared" si="30"/>
        <v>2035</v>
      </c>
      <c r="P123" s="491">
        <f t="shared" si="30"/>
        <v>2036</v>
      </c>
      <c r="Q123" s="491">
        <f t="shared" si="30"/>
        <v>2037</v>
      </c>
      <c r="R123" s="491">
        <f t="shared" si="30"/>
        <v>2038</v>
      </c>
      <c r="S123" s="491">
        <f t="shared" si="30"/>
        <v>2039</v>
      </c>
      <c r="T123" s="491">
        <f t="shared" si="30"/>
        <v>2040</v>
      </c>
      <c r="U123" s="491">
        <f t="shared" si="30"/>
        <v>2041</v>
      </c>
      <c r="V123" s="491">
        <f t="shared" si="30"/>
        <v>2042</v>
      </c>
      <c r="W123" s="491">
        <f t="shared" si="30"/>
        <v>2043</v>
      </c>
      <c r="X123" s="491">
        <f t="shared" si="30"/>
        <v>2044</v>
      </c>
      <c r="Y123" s="491">
        <f t="shared" si="30"/>
        <v>2045</v>
      </c>
      <c r="Z123" s="491">
        <f t="shared" si="30"/>
        <v>2046</v>
      </c>
      <c r="AA123" s="491">
        <f t="shared" si="30"/>
        <v>2047</v>
      </c>
      <c r="AB123" s="491">
        <f t="shared" si="30"/>
        <v>2048</v>
      </c>
      <c r="AC123" s="491">
        <f t="shared" si="30"/>
        <v>2049</v>
      </c>
      <c r="AD123" s="491">
        <f t="shared" si="30"/>
        <v>2050</v>
      </c>
      <c r="AE123" s="491">
        <f t="shared" si="30"/>
        <v>2051</v>
      </c>
      <c r="AF123" s="491">
        <f t="shared" si="30"/>
        <v>2052</v>
      </c>
      <c r="AG123" s="491">
        <f t="shared" si="30"/>
        <v>2053</v>
      </c>
      <c r="AH123" s="491">
        <f t="shared" si="30"/>
        <v>2054</v>
      </c>
    </row>
    <row r="124" spans="2:34">
      <c r="B124" s="291" t="s">
        <v>345</v>
      </c>
      <c r="C124" s="11">
        <f t="shared" ref="C124:C130" si="31">SUM(E124:AH124)</f>
        <v>0</v>
      </c>
      <c r="D124" s="11">
        <f t="shared" ref="D124:D130" si="32">E124+NPV(fdr_áll,F124:AH124)</f>
        <v>0</v>
      </c>
      <c r="E124" s="264">
        <f>E113</f>
        <v>0</v>
      </c>
      <c r="F124" s="264">
        <f t="shared" ref="F124:AH124" si="33">F113</f>
        <v>0</v>
      </c>
      <c r="G124" s="264">
        <f t="shared" si="33"/>
        <v>0</v>
      </c>
      <c r="H124" s="264">
        <f t="shared" si="33"/>
        <v>0</v>
      </c>
      <c r="I124" s="264">
        <f t="shared" si="33"/>
        <v>0</v>
      </c>
      <c r="J124" s="264">
        <f t="shared" si="33"/>
        <v>0</v>
      </c>
      <c r="K124" s="264">
        <f t="shared" si="33"/>
        <v>0</v>
      </c>
      <c r="L124" s="264">
        <f t="shared" si="33"/>
        <v>0</v>
      </c>
      <c r="M124" s="264">
        <f t="shared" si="33"/>
        <v>0</v>
      </c>
      <c r="N124" s="264">
        <f t="shared" si="33"/>
        <v>0</v>
      </c>
      <c r="O124" s="264">
        <f t="shared" si="33"/>
        <v>0</v>
      </c>
      <c r="P124" s="264">
        <f t="shared" si="33"/>
        <v>0</v>
      </c>
      <c r="Q124" s="264">
        <f t="shared" si="33"/>
        <v>0</v>
      </c>
      <c r="R124" s="264">
        <f t="shared" si="33"/>
        <v>0</v>
      </c>
      <c r="S124" s="264">
        <f t="shared" si="33"/>
        <v>0</v>
      </c>
      <c r="T124" s="264">
        <f t="shared" si="33"/>
        <v>0</v>
      </c>
      <c r="U124" s="264">
        <f t="shared" si="33"/>
        <v>0</v>
      </c>
      <c r="V124" s="264">
        <f t="shared" si="33"/>
        <v>0</v>
      </c>
      <c r="W124" s="264">
        <f t="shared" si="33"/>
        <v>0</v>
      </c>
      <c r="X124" s="264">
        <f t="shared" si="33"/>
        <v>0</v>
      </c>
      <c r="Y124" s="264">
        <f t="shared" si="33"/>
        <v>0</v>
      </c>
      <c r="Z124" s="264">
        <f t="shared" si="33"/>
        <v>0</v>
      </c>
      <c r="AA124" s="264">
        <f t="shared" si="33"/>
        <v>0</v>
      </c>
      <c r="AB124" s="264">
        <f t="shared" si="33"/>
        <v>0</v>
      </c>
      <c r="AC124" s="264">
        <f t="shared" si="33"/>
        <v>0</v>
      </c>
      <c r="AD124" s="264">
        <f t="shared" si="33"/>
        <v>0</v>
      </c>
      <c r="AE124" s="264">
        <f t="shared" si="33"/>
        <v>0</v>
      </c>
      <c r="AF124" s="264">
        <f t="shared" si="33"/>
        <v>0</v>
      </c>
      <c r="AG124" s="264">
        <f t="shared" si="33"/>
        <v>0</v>
      </c>
      <c r="AH124" s="264">
        <f t="shared" si="33"/>
        <v>0</v>
      </c>
    </row>
    <row r="125" spans="2:34">
      <c r="B125" s="291" t="s">
        <v>346</v>
      </c>
      <c r="C125" s="11">
        <f t="shared" si="31"/>
        <v>0</v>
      </c>
      <c r="D125" s="11">
        <f t="shared" si="32"/>
        <v>0</v>
      </c>
      <c r="E125" s="264">
        <f>E114</f>
        <v>0</v>
      </c>
      <c r="F125" s="264">
        <f t="shared" ref="F125:AH125" si="34">F114</f>
        <v>0</v>
      </c>
      <c r="G125" s="264">
        <f t="shared" si="34"/>
        <v>0</v>
      </c>
      <c r="H125" s="264">
        <f t="shared" si="34"/>
        <v>0</v>
      </c>
      <c r="I125" s="264">
        <f t="shared" si="34"/>
        <v>0</v>
      </c>
      <c r="J125" s="264">
        <f t="shared" si="34"/>
        <v>0</v>
      </c>
      <c r="K125" s="264">
        <f t="shared" si="34"/>
        <v>0</v>
      </c>
      <c r="L125" s="264">
        <f t="shared" si="34"/>
        <v>0</v>
      </c>
      <c r="M125" s="264">
        <f t="shared" si="34"/>
        <v>0</v>
      </c>
      <c r="N125" s="264">
        <f t="shared" si="34"/>
        <v>0</v>
      </c>
      <c r="O125" s="264">
        <f t="shared" si="34"/>
        <v>0</v>
      </c>
      <c r="P125" s="264">
        <f t="shared" si="34"/>
        <v>0</v>
      </c>
      <c r="Q125" s="264">
        <f t="shared" si="34"/>
        <v>0</v>
      </c>
      <c r="R125" s="264">
        <f t="shared" si="34"/>
        <v>0</v>
      </c>
      <c r="S125" s="264">
        <f t="shared" si="34"/>
        <v>0</v>
      </c>
      <c r="T125" s="264">
        <f t="shared" si="34"/>
        <v>0</v>
      </c>
      <c r="U125" s="264">
        <f t="shared" si="34"/>
        <v>0</v>
      </c>
      <c r="V125" s="264">
        <f t="shared" si="34"/>
        <v>0</v>
      </c>
      <c r="W125" s="264">
        <f t="shared" si="34"/>
        <v>0</v>
      </c>
      <c r="X125" s="264">
        <f t="shared" si="34"/>
        <v>0</v>
      </c>
      <c r="Y125" s="264">
        <f t="shared" si="34"/>
        <v>0</v>
      </c>
      <c r="Z125" s="264">
        <f t="shared" si="34"/>
        <v>0</v>
      </c>
      <c r="AA125" s="264">
        <f t="shared" si="34"/>
        <v>0</v>
      </c>
      <c r="AB125" s="264">
        <f t="shared" si="34"/>
        <v>0</v>
      </c>
      <c r="AC125" s="264">
        <f t="shared" si="34"/>
        <v>0</v>
      </c>
      <c r="AD125" s="264">
        <f t="shared" si="34"/>
        <v>0</v>
      </c>
      <c r="AE125" s="264">
        <f t="shared" si="34"/>
        <v>0</v>
      </c>
      <c r="AF125" s="264">
        <f t="shared" si="34"/>
        <v>0</v>
      </c>
      <c r="AG125" s="264">
        <f t="shared" si="34"/>
        <v>0</v>
      </c>
      <c r="AH125" s="264">
        <f t="shared" si="34"/>
        <v>0</v>
      </c>
    </row>
    <row r="126" spans="2:34">
      <c r="B126" s="291" t="s">
        <v>349</v>
      </c>
      <c r="C126" s="11">
        <f t="shared" si="31"/>
        <v>0</v>
      </c>
      <c r="D126" s="11">
        <f t="shared" si="32"/>
        <v>0</v>
      </c>
      <c r="E126" s="264">
        <f>SUM(E124:E125)</f>
        <v>0</v>
      </c>
      <c r="F126" s="264">
        <f t="shared" ref="F126:AH126" si="35">SUM(F124:F125)</f>
        <v>0</v>
      </c>
      <c r="G126" s="264">
        <f t="shared" si="35"/>
        <v>0</v>
      </c>
      <c r="H126" s="264">
        <f t="shared" si="35"/>
        <v>0</v>
      </c>
      <c r="I126" s="264">
        <f t="shared" si="35"/>
        <v>0</v>
      </c>
      <c r="J126" s="264">
        <f t="shared" si="35"/>
        <v>0</v>
      </c>
      <c r="K126" s="264">
        <f t="shared" si="35"/>
        <v>0</v>
      </c>
      <c r="L126" s="264">
        <f t="shared" si="35"/>
        <v>0</v>
      </c>
      <c r="M126" s="264">
        <f t="shared" si="35"/>
        <v>0</v>
      </c>
      <c r="N126" s="264">
        <f t="shared" si="35"/>
        <v>0</v>
      </c>
      <c r="O126" s="264">
        <f t="shared" si="35"/>
        <v>0</v>
      </c>
      <c r="P126" s="264">
        <f t="shared" si="35"/>
        <v>0</v>
      </c>
      <c r="Q126" s="264">
        <f t="shared" si="35"/>
        <v>0</v>
      </c>
      <c r="R126" s="264">
        <f t="shared" si="35"/>
        <v>0</v>
      </c>
      <c r="S126" s="264">
        <f t="shared" si="35"/>
        <v>0</v>
      </c>
      <c r="T126" s="264">
        <f t="shared" si="35"/>
        <v>0</v>
      </c>
      <c r="U126" s="264">
        <f t="shared" si="35"/>
        <v>0</v>
      </c>
      <c r="V126" s="264">
        <f t="shared" si="35"/>
        <v>0</v>
      </c>
      <c r="W126" s="264">
        <f t="shared" si="35"/>
        <v>0</v>
      </c>
      <c r="X126" s="264">
        <f t="shared" si="35"/>
        <v>0</v>
      </c>
      <c r="Y126" s="264">
        <f t="shared" si="35"/>
        <v>0</v>
      </c>
      <c r="Z126" s="264">
        <f t="shared" si="35"/>
        <v>0</v>
      </c>
      <c r="AA126" s="264">
        <f t="shared" si="35"/>
        <v>0</v>
      </c>
      <c r="AB126" s="264">
        <f t="shared" si="35"/>
        <v>0</v>
      </c>
      <c r="AC126" s="264">
        <f t="shared" si="35"/>
        <v>0</v>
      </c>
      <c r="AD126" s="264">
        <f t="shared" si="35"/>
        <v>0</v>
      </c>
      <c r="AE126" s="264">
        <f t="shared" si="35"/>
        <v>0</v>
      </c>
      <c r="AF126" s="264">
        <f t="shared" si="35"/>
        <v>0</v>
      </c>
      <c r="AG126" s="264">
        <f t="shared" si="35"/>
        <v>0</v>
      </c>
      <c r="AH126" s="264">
        <f t="shared" si="35"/>
        <v>0</v>
      </c>
    </row>
    <row r="127" spans="2:34">
      <c r="B127" s="291" t="s">
        <v>350</v>
      </c>
      <c r="C127" s="11">
        <f t="shared" si="31"/>
        <v>0</v>
      </c>
      <c r="D127" s="11">
        <f t="shared" si="32"/>
        <v>0</v>
      </c>
      <c r="E127" s="264">
        <f>E87</f>
        <v>0</v>
      </c>
      <c r="F127" s="264">
        <f t="shared" ref="F127:AH127" si="36">F87</f>
        <v>0</v>
      </c>
      <c r="G127" s="264">
        <f t="shared" si="36"/>
        <v>0</v>
      </c>
      <c r="H127" s="264">
        <f t="shared" si="36"/>
        <v>0</v>
      </c>
      <c r="I127" s="264">
        <f t="shared" si="36"/>
        <v>0</v>
      </c>
      <c r="J127" s="264">
        <f t="shared" si="36"/>
        <v>0</v>
      </c>
      <c r="K127" s="264">
        <f t="shared" si="36"/>
        <v>0</v>
      </c>
      <c r="L127" s="264">
        <f t="shared" si="36"/>
        <v>0</v>
      </c>
      <c r="M127" s="264">
        <f t="shared" si="36"/>
        <v>0</v>
      </c>
      <c r="N127" s="264">
        <f t="shared" si="36"/>
        <v>0</v>
      </c>
      <c r="O127" s="264">
        <f t="shared" si="36"/>
        <v>0</v>
      </c>
      <c r="P127" s="264">
        <f t="shared" si="36"/>
        <v>0</v>
      </c>
      <c r="Q127" s="264">
        <f t="shared" si="36"/>
        <v>0</v>
      </c>
      <c r="R127" s="264">
        <f t="shared" si="36"/>
        <v>0</v>
      </c>
      <c r="S127" s="264">
        <f t="shared" si="36"/>
        <v>0</v>
      </c>
      <c r="T127" s="264">
        <f t="shared" si="36"/>
        <v>0</v>
      </c>
      <c r="U127" s="264">
        <f t="shared" si="36"/>
        <v>0</v>
      </c>
      <c r="V127" s="264">
        <f t="shared" si="36"/>
        <v>0</v>
      </c>
      <c r="W127" s="264">
        <f t="shared" si="36"/>
        <v>0</v>
      </c>
      <c r="X127" s="264">
        <f t="shared" si="36"/>
        <v>0</v>
      </c>
      <c r="Y127" s="264">
        <f t="shared" si="36"/>
        <v>0</v>
      </c>
      <c r="Z127" s="264">
        <f t="shared" si="36"/>
        <v>0</v>
      </c>
      <c r="AA127" s="264">
        <f t="shared" si="36"/>
        <v>0</v>
      </c>
      <c r="AB127" s="264">
        <f t="shared" si="36"/>
        <v>0</v>
      </c>
      <c r="AC127" s="264">
        <f t="shared" si="36"/>
        <v>0</v>
      </c>
      <c r="AD127" s="264">
        <f t="shared" si="36"/>
        <v>0</v>
      </c>
      <c r="AE127" s="264">
        <f t="shared" si="36"/>
        <v>0</v>
      </c>
      <c r="AF127" s="264">
        <f t="shared" si="36"/>
        <v>0</v>
      </c>
      <c r="AG127" s="264">
        <f t="shared" si="36"/>
        <v>0</v>
      </c>
      <c r="AH127" s="264">
        <f t="shared" si="36"/>
        <v>0</v>
      </c>
    </row>
    <row r="128" spans="2:34">
      <c r="B128" s="291" t="s">
        <v>351</v>
      </c>
      <c r="C128" s="11">
        <f t="shared" si="31"/>
        <v>0</v>
      </c>
      <c r="D128" s="11">
        <f t="shared" si="32"/>
        <v>0</v>
      </c>
      <c r="E128" s="264">
        <f>E127</f>
        <v>0</v>
      </c>
      <c r="F128" s="264">
        <f t="shared" ref="F128:AH128" si="37">F127</f>
        <v>0</v>
      </c>
      <c r="G128" s="264">
        <f t="shared" si="37"/>
        <v>0</v>
      </c>
      <c r="H128" s="264">
        <f t="shared" si="37"/>
        <v>0</v>
      </c>
      <c r="I128" s="264">
        <f t="shared" si="37"/>
        <v>0</v>
      </c>
      <c r="J128" s="264">
        <f t="shared" si="37"/>
        <v>0</v>
      </c>
      <c r="K128" s="264">
        <f t="shared" si="37"/>
        <v>0</v>
      </c>
      <c r="L128" s="264">
        <f t="shared" si="37"/>
        <v>0</v>
      </c>
      <c r="M128" s="264">
        <f t="shared" si="37"/>
        <v>0</v>
      </c>
      <c r="N128" s="264">
        <f t="shared" si="37"/>
        <v>0</v>
      </c>
      <c r="O128" s="264">
        <f t="shared" si="37"/>
        <v>0</v>
      </c>
      <c r="P128" s="264">
        <f t="shared" si="37"/>
        <v>0</v>
      </c>
      <c r="Q128" s="264">
        <f t="shared" si="37"/>
        <v>0</v>
      </c>
      <c r="R128" s="264">
        <f t="shared" si="37"/>
        <v>0</v>
      </c>
      <c r="S128" s="264">
        <f t="shared" si="37"/>
        <v>0</v>
      </c>
      <c r="T128" s="264">
        <f t="shared" si="37"/>
        <v>0</v>
      </c>
      <c r="U128" s="264">
        <f t="shared" si="37"/>
        <v>0</v>
      </c>
      <c r="V128" s="264">
        <f t="shared" si="37"/>
        <v>0</v>
      </c>
      <c r="W128" s="264">
        <f t="shared" si="37"/>
        <v>0</v>
      </c>
      <c r="X128" s="264">
        <f t="shared" si="37"/>
        <v>0</v>
      </c>
      <c r="Y128" s="264">
        <f t="shared" si="37"/>
        <v>0</v>
      </c>
      <c r="Z128" s="264">
        <f t="shared" si="37"/>
        <v>0</v>
      </c>
      <c r="AA128" s="264">
        <f t="shared" si="37"/>
        <v>0</v>
      </c>
      <c r="AB128" s="264">
        <f t="shared" si="37"/>
        <v>0</v>
      </c>
      <c r="AC128" s="264">
        <f t="shared" si="37"/>
        <v>0</v>
      </c>
      <c r="AD128" s="264">
        <f t="shared" si="37"/>
        <v>0</v>
      </c>
      <c r="AE128" s="264">
        <f t="shared" si="37"/>
        <v>0</v>
      </c>
      <c r="AF128" s="264">
        <f t="shared" si="37"/>
        <v>0</v>
      </c>
      <c r="AG128" s="264">
        <f t="shared" si="37"/>
        <v>0</v>
      </c>
      <c r="AH128" s="264">
        <f t="shared" si="37"/>
        <v>0</v>
      </c>
    </row>
    <row r="129" spans="2:34">
      <c r="B129" s="291" t="s">
        <v>352</v>
      </c>
      <c r="C129" s="11">
        <f t="shared" si="31"/>
        <v>0</v>
      </c>
      <c r="D129" s="11">
        <f t="shared" si="32"/>
        <v>0</v>
      </c>
      <c r="E129" s="264">
        <f>E117</f>
        <v>0</v>
      </c>
      <c r="F129" s="264">
        <f t="shared" ref="F129:AH129" si="38">F117</f>
        <v>0</v>
      </c>
      <c r="G129" s="264">
        <f t="shared" si="38"/>
        <v>0</v>
      </c>
      <c r="H129" s="264">
        <f t="shared" si="38"/>
        <v>0</v>
      </c>
      <c r="I129" s="264">
        <f t="shared" si="38"/>
        <v>0</v>
      </c>
      <c r="J129" s="264">
        <f t="shared" si="38"/>
        <v>0</v>
      </c>
      <c r="K129" s="264">
        <f t="shared" si="38"/>
        <v>0</v>
      </c>
      <c r="L129" s="264">
        <f t="shared" si="38"/>
        <v>0</v>
      </c>
      <c r="M129" s="264">
        <f t="shared" si="38"/>
        <v>0</v>
      </c>
      <c r="N129" s="264">
        <f t="shared" si="38"/>
        <v>0</v>
      </c>
      <c r="O129" s="264">
        <f t="shared" si="38"/>
        <v>0</v>
      </c>
      <c r="P129" s="264">
        <f t="shared" si="38"/>
        <v>0</v>
      </c>
      <c r="Q129" s="264">
        <f t="shared" si="38"/>
        <v>0</v>
      </c>
      <c r="R129" s="264">
        <f t="shared" si="38"/>
        <v>0</v>
      </c>
      <c r="S129" s="264">
        <f t="shared" si="38"/>
        <v>0</v>
      </c>
      <c r="T129" s="264">
        <f t="shared" si="38"/>
        <v>0</v>
      </c>
      <c r="U129" s="264">
        <f t="shared" si="38"/>
        <v>0</v>
      </c>
      <c r="V129" s="264">
        <f t="shared" si="38"/>
        <v>0</v>
      </c>
      <c r="W129" s="264">
        <f t="shared" si="38"/>
        <v>0</v>
      </c>
      <c r="X129" s="264">
        <f t="shared" si="38"/>
        <v>0</v>
      </c>
      <c r="Y129" s="264">
        <f t="shared" si="38"/>
        <v>0</v>
      </c>
      <c r="Z129" s="264">
        <f t="shared" si="38"/>
        <v>0</v>
      </c>
      <c r="AA129" s="264">
        <f t="shared" si="38"/>
        <v>0</v>
      </c>
      <c r="AB129" s="264">
        <f t="shared" si="38"/>
        <v>0</v>
      </c>
      <c r="AC129" s="264">
        <f t="shared" si="38"/>
        <v>0</v>
      </c>
      <c r="AD129" s="264">
        <f t="shared" si="38"/>
        <v>0</v>
      </c>
      <c r="AE129" s="264">
        <f t="shared" si="38"/>
        <v>0</v>
      </c>
      <c r="AF129" s="264">
        <f t="shared" si="38"/>
        <v>0</v>
      </c>
      <c r="AG129" s="264">
        <f t="shared" si="38"/>
        <v>0</v>
      </c>
      <c r="AH129" s="264">
        <f t="shared" si="38"/>
        <v>0</v>
      </c>
    </row>
    <row r="130" spans="2:34">
      <c r="B130" s="292" t="s">
        <v>353</v>
      </c>
      <c r="C130" s="11">
        <f t="shared" si="31"/>
        <v>0</v>
      </c>
      <c r="D130" s="11">
        <f t="shared" si="32"/>
        <v>0</v>
      </c>
      <c r="E130" s="264">
        <f>E128+E129-E126</f>
        <v>0</v>
      </c>
      <c r="F130" s="264">
        <f t="shared" ref="F130:AH130" si="39">F128+F129-F126</f>
        <v>0</v>
      </c>
      <c r="G130" s="264">
        <f t="shared" si="39"/>
        <v>0</v>
      </c>
      <c r="H130" s="264">
        <f t="shared" si="39"/>
        <v>0</v>
      </c>
      <c r="I130" s="264">
        <f t="shared" si="39"/>
        <v>0</v>
      </c>
      <c r="J130" s="264">
        <f t="shared" si="39"/>
        <v>0</v>
      </c>
      <c r="K130" s="264">
        <f t="shared" si="39"/>
        <v>0</v>
      </c>
      <c r="L130" s="264">
        <f t="shared" si="39"/>
        <v>0</v>
      </c>
      <c r="M130" s="264">
        <f t="shared" si="39"/>
        <v>0</v>
      </c>
      <c r="N130" s="264">
        <f t="shared" si="39"/>
        <v>0</v>
      </c>
      <c r="O130" s="264">
        <f t="shared" si="39"/>
        <v>0</v>
      </c>
      <c r="P130" s="264">
        <f t="shared" si="39"/>
        <v>0</v>
      </c>
      <c r="Q130" s="264">
        <f t="shared" si="39"/>
        <v>0</v>
      </c>
      <c r="R130" s="264">
        <f t="shared" si="39"/>
        <v>0</v>
      </c>
      <c r="S130" s="264">
        <f t="shared" si="39"/>
        <v>0</v>
      </c>
      <c r="T130" s="264">
        <f t="shared" si="39"/>
        <v>0</v>
      </c>
      <c r="U130" s="264">
        <f t="shared" si="39"/>
        <v>0</v>
      </c>
      <c r="V130" s="264">
        <f t="shared" si="39"/>
        <v>0</v>
      </c>
      <c r="W130" s="264">
        <f t="shared" si="39"/>
        <v>0</v>
      </c>
      <c r="X130" s="264">
        <f t="shared" si="39"/>
        <v>0</v>
      </c>
      <c r="Y130" s="264">
        <f t="shared" si="39"/>
        <v>0</v>
      </c>
      <c r="Z130" s="264">
        <f t="shared" si="39"/>
        <v>0</v>
      </c>
      <c r="AA130" s="264">
        <f t="shared" si="39"/>
        <v>0</v>
      </c>
      <c r="AB130" s="264">
        <f t="shared" si="39"/>
        <v>0</v>
      </c>
      <c r="AC130" s="264">
        <f t="shared" si="39"/>
        <v>0</v>
      </c>
      <c r="AD130" s="264">
        <f t="shared" si="39"/>
        <v>0</v>
      </c>
      <c r="AE130" s="264">
        <f t="shared" si="39"/>
        <v>0</v>
      </c>
      <c r="AF130" s="264">
        <f t="shared" si="39"/>
        <v>0</v>
      </c>
      <c r="AG130" s="264">
        <f t="shared" si="39"/>
        <v>0</v>
      </c>
      <c r="AH130" s="264">
        <f t="shared" si="39"/>
        <v>0</v>
      </c>
    </row>
    <row r="131" spans="2:34">
      <c r="B131" s="291" t="s">
        <v>354</v>
      </c>
      <c r="C131" s="558">
        <f>D130</f>
        <v>0</v>
      </c>
      <c r="D131" s="3"/>
    </row>
    <row r="132" spans="2:34">
      <c r="B132" s="291" t="s">
        <v>355</v>
      </c>
      <c r="C132" s="557" t="str">
        <f>IFERROR(IRR(E130:AH130),"--")</f>
        <v>--</v>
      </c>
      <c r="D132" s="3"/>
    </row>
    <row r="133" spans="2:34">
      <c r="B133" s="1"/>
    </row>
    <row r="134" spans="2:34">
      <c r="B134" s="1"/>
    </row>
    <row r="135" spans="2:34">
      <c r="B135" s="39" t="s">
        <v>523</v>
      </c>
      <c r="C135" s="496"/>
      <c r="D135" s="496"/>
      <c r="E135" s="496"/>
      <c r="F135" s="496"/>
      <c r="G135" s="496"/>
      <c r="H135" s="496"/>
      <c r="I135" s="496"/>
      <c r="J135" s="496"/>
      <c r="K135" s="496"/>
      <c r="L135" s="496"/>
      <c r="M135" s="496"/>
      <c r="N135" s="496"/>
      <c r="O135" s="496"/>
      <c r="P135" s="496"/>
      <c r="Q135" s="496"/>
      <c r="R135" s="496"/>
      <c r="S135" s="496"/>
      <c r="T135" s="496"/>
      <c r="U135" s="496"/>
      <c r="V135" s="496"/>
      <c r="W135" s="496"/>
      <c r="X135" s="496"/>
      <c r="Y135" s="496"/>
      <c r="Z135" s="496"/>
      <c r="AA135" s="496"/>
      <c r="AB135" s="496"/>
      <c r="AC135" s="496"/>
      <c r="AD135" s="496"/>
      <c r="AE135" s="496"/>
      <c r="AF135" s="496"/>
      <c r="AG135" s="496"/>
      <c r="AH135" s="496"/>
    </row>
    <row r="136" spans="2:34">
      <c r="B136" s="1"/>
    </row>
    <row r="137" spans="2:34">
      <c r="B137" s="14" t="s">
        <v>335</v>
      </c>
      <c r="C137" s="14" t="s">
        <v>524</v>
      </c>
      <c r="D137" s="14" t="s">
        <v>514</v>
      </c>
      <c r="E137" s="14" t="s">
        <v>525</v>
      </c>
    </row>
    <row r="138" spans="2:34">
      <c r="B138" s="30" t="s">
        <v>530</v>
      </c>
      <c r="C138" s="488"/>
      <c r="D138" s="11">
        <f>C37</f>
        <v>0</v>
      </c>
      <c r="E138" s="53">
        <f>D138/eur</f>
        <v>0</v>
      </c>
    </row>
    <row r="139" spans="2:34">
      <c r="B139" s="30" t="s">
        <v>541</v>
      </c>
      <c r="C139" s="488"/>
      <c r="D139" s="11">
        <f>C52</f>
        <v>0</v>
      </c>
      <c r="E139" s="53">
        <f>D139/eur</f>
        <v>0</v>
      </c>
    </row>
    <row r="140" spans="2:34">
      <c r="B140" s="30" t="s">
        <v>542</v>
      </c>
      <c r="C140" s="504"/>
      <c r="D140" s="488"/>
      <c r="E140" s="488"/>
    </row>
    <row r="141" spans="2:34">
      <c r="B141" s="30" t="s">
        <v>543</v>
      </c>
      <c r="C141" s="488"/>
      <c r="D141" s="11">
        <f>D138*C140</f>
        <v>0</v>
      </c>
      <c r="E141" s="53">
        <f>D141/eur</f>
        <v>0</v>
      </c>
    </row>
    <row r="142" spans="2:34">
      <c r="B142" s="30" t="s">
        <v>118</v>
      </c>
      <c r="C142" s="504"/>
      <c r="D142" s="488"/>
      <c r="E142" s="488"/>
    </row>
    <row r="143" spans="2:34">
      <c r="B143" s="30" t="s">
        <v>119</v>
      </c>
      <c r="C143" s="504"/>
      <c r="D143" s="488"/>
      <c r="E143" s="488"/>
    </row>
    <row r="144" spans="2:34">
      <c r="B144" s="30" t="s">
        <v>533</v>
      </c>
      <c r="C144" s="488"/>
      <c r="D144" s="11">
        <f>D141*C142</f>
        <v>0</v>
      </c>
      <c r="E144" s="53">
        <f>D144/eur</f>
        <v>0</v>
      </c>
    </row>
    <row r="145" spans="2:34">
      <c r="B145" s="30" t="s">
        <v>534</v>
      </c>
      <c r="C145" s="488"/>
      <c r="D145" s="11">
        <f>D141*C143</f>
        <v>0</v>
      </c>
      <c r="E145" s="53">
        <f>D145/eur</f>
        <v>0</v>
      </c>
    </row>
    <row r="146" spans="2:34">
      <c r="B146" s="30" t="s">
        <v>544</v>
      </c>
      <c r="C146" s="488"/>
      <c r="D146" s="11">
        <f>D138-D141+D139</f>
        <v>0</v>
      </c>
      <c r="E146" s="53">
        <f>D146/eur</f>
        <v>0</v>
      </c>
    </row>
    <row r="147" spans="2:34">
      <c r="B147" s="30" t="s">
        <v>536</v>
      </c>
      <c r="C147" s="488"/>
      <c r="D147" s="11">
        <f>SUM(D145:D146)</f>
        <v>0</v>
      </c>
      <c r="E147" s="53">
        <f>D147/eur</f>
        <v>0</v>
      </c>
    </row>
    <row r="148" spans="2:34">
      <c r="B148" s="1"/>
    </row>
    <row r="149" spans="2:34">
      <c r="B149" s="1"/>
    </row>
    <row r="150" spans="2:34">
      <c r="B150" s="39" t="s">
        <v>537</v>
      </c>
      <c r="C150" s="496"/>
      <c r="D150" s="496"/>
      <c r="E150" s="496"/>
      <c r="F150" s="496"/>
      <c r="G150" s="496"/>
      <c r="H150" s="496"/>
      <c r="I150" s="496"/>
      <c r="J150" s="496"/>
      <c r="K150" s="496"/>
      <c r="L150" s="496"/>
      <c r="M150" s="496"/>
      <c r="N150" s="496"/>
      <c r="O150" s="496"/>
      <c r="P150" s="496"/>
      <c r="Q150" s="496"/>
      <c r="R150" s="496"/>
      <c r="S150" s="496"/>
      <c r="T150" s="496"/>
      <c r="U150" s="496"/>
      <c r="V150" s="496"/>
      <c r="W150" s="496"/>
      <c r="X150" s="496"/>
      <c r="Y150" s="496"/>
      <c r="Z150" s="496"/>
      <c r="AA150" s="496"/>
      <c r="AB150" s="496"/>
      <c r="AC150" s="496"/>
      <c r="AD150" s="496"/>
      <c r="AE150" s="496"/>
      <c r="AF150" s="496"/>
      <c r="AG150" s="496"/>
      <c r="AH150" s="496"/>
    </row>
    <row r="151" spans="2:34">
      <c r="B151" s="1"/>
    </row>
    <row r="152" spans="2:34">
      <c r="B152" s="1"/>
    </row>
    <row r="153" spans="2:34">
      <c r="B153" s="14" t="s">
        <v>370</v>
      </c>
      <c r="C153" s="491">
        <f>start_year</f>
        <v>2025</v>
      </c>
      <c r="D153" s="491">
        <f>C153+1</f>
        <v>2026</v>
      </c>
      <c r="E153" s="491">
        <f t="shared" ref="E153:AF153" si="40">D153+1</f>
        <v>2027</v>
      </c>
      <c r="F153" s="491">
        <f t="shared" si="40"/>
        <v>2028</v>
      </c>
      <c r="G153" s="491">
        <f t="shared" si="40"/>
        <v>2029</v>
      </c>
      <c r="H153" s="491">
        <f t="shared" si="40"/>
        <v>2030</v>
      </c>
      <c r="I153" s="491">
        <f t="shared" si="40"/>
        <v>2031</v>
      </c>
      <c r="J153" s="491">
        <f t="shared" si="40"/>
        <v>2032</v>
      </c>
      <c r="K153" s="491">
        <f t="shared" si="40"/>
        <v>2033</v>
      </c>
      <c r="L153" s="491">
        <f t="shared" si="40"/>
        <v>2034</v>
      </c>
      <c r="M153" s="491">
        <f t="shared" si="40"/>
        <v>2035</v>
      </c>
      <c r="N153" s="491">
        <f t="shared" si="40"/>
        <v>2036</v>
      </c>
      <c r="O153" s="491">
        <f t="shared" si="40"/>
        <v>2037</v>
      </c>
      <c r="P153" s="491">
        <f t="shared" si="40"/>
        <v>2038</v>
      </c>
      <c r="Q153" s="491">
        <f t="shared" si="40"/>
        <v>2039</v>
      </c>
      <c r="R153" s="491">
        <f t="shared" si="40"/>
        <v>2040</v>
      </c>
      <c r="S153" s="491">
        <f t="shared" si="40"/>
        <v>2041</v>
      </c>
      <c r="T153" s="491">
        <f t="shared" si="40"/>
        <v>2042</v>
      </c>
      <c r="U153" s="491">
        <f t="shared" si="40"/>
        <v>2043</v>
      </c>
      <c r="V153" s="491">
        <f t="shared" si="40"/>
        <v>2044</v>
      </c>
      <c r="W153" s="491">
        <f t="shared" si="40"/>
        <v>2045</v>
      </c>
      <c r="X153" s="491">
        <f t="shared" si="40"/>
        <v>2046</v>
      </c>
      <c r="Y153" s="491">
        <f t="shared" si="40"/>
        <v>2047</v>
      </c>
      <c r="Z153" s="491">
        <f t="shared" si="40"/>
        <v>2048</v>
      </c>
      <c r="AA153" s="491">
        <f t="shared" si="40"/>
        <v>2049</v>
      </c>
      <c r="AB153" s="491">
        <f t="shared" si="40"/>
        <v>2050</v>
      </c>
      <c r="AC153" s="491">
        <f t="shared" si="40"/>
        <v>2051</v>
      </c>
      <c r="AD153" s="491">
        <f t="shared" si="40"/>
        <v>2052</v>
      </c>
      <c r="AE153" s="491">
        <f t="shared" si="40"/>
        <v>2053</v>
      </c>
      <c r="AF153" s="491">
        <f t="shared" si="40"/>
        <v>2054</v>
      </c>
    </row>
    <row r="154" spans="2:34">
      <c r="B154" s="10" t="s">
        <v>379</v>
      </c>
      <c r="C154" s="264">
        <f>E124</f>
        <v>0</v>
      </c>
      <c r="D154" s="264">
        <f t="shared" ref="D154:AF154" si="41">F124</f>
        <v>0</v>
      </c>
      <c r="E154" s="264">
        <f t="shared" si="41"/>
        <v>0</v>
      </c>
      <c r="F154" s="264">
        <f t="shared" si="41"/>
        <v>0</v>
      </c>
      <c r="G154" s="264">
        <f t="shared" si="41"/>
        <v>0</v>
      </c>
      <c r="H154" s="264">
        <f t="shared" si="41"/>
        <v>0</v>
      </c>
      <c r="I154" s="264">
        <f t="shared" si="41"/>
        <v>0</v>
      </c>
      <c r="J154" s="264">
        <f t="shared" si="41"/>
        <v>0</v>
      </c>
      <c r="K154" s="264">
        <f t="shared" si="41"/>
        <v>0</v>
      </c>
      <c r="L154" s="264">
        <f t="shared" si="41"/>
        <v>0</v>
      </c>
      <c r="M154" s="264">
        <f t="shared" si="41"/>
        <v>0</v>
      </c>
      <c r="N154" s="264">
        <f t="shared" si="41"/>
        <v>0</v>
      </c>
      <c r="O154" s="264">
        <f t="shared" si="41"/>
        <v>0</v>
      </c>
      <c r="P154" s="264">
        <f t="shared" si="41"/>
        <v>0</v>
      </c>
      <c r="Q154" s="264">
        <f t="shared" si="41"/>
        <v>0</v>
      </c>
      <c r="R154" s="264">
        <f t="shared" si="41"/>
        <v>0</v>
      </c>
      <c r="S154" s="264">
        <f t="shared" si="41"/>
        <v>0</v>
      </c>
      <c r="T154" s="264">
        <f t="shared" si="41"/>
        <v>0</v>
      </c>
      <c r="U154" s="264">
        <f t="shared" si="41"/>
        <v>0</v>
      </c>
      <c r="V154" s="264">
        <f t="shared" si="41"/>
        <v>0</v>
      </c>
      <c r="W154" s="264">
        <f t="shared" si="41"/>
        <v>0</v>
      </c>
      <c r="X154" s="264">
        <f t="shared" si="41"/>
        <v>0</v>
      </c>
      <c r="Y154" s="264">
        <f t="shared" si="41"/>
        <v>0</v>
      </c>
      <c r="Z154" s="264">
        <f t="shared" si="41"/>
        <v>0</v>
      </c>
      <c r="AA154" s="264">
        <f t="shared" si="41"/>
        <v>0</v>
      </c>
      <c r="AB154" s="264">
        <f t="shared" si="41"/>
        <v>0</v>
      </c>
      <c r="AC154" s="264">
        <f t="shared" si="41"/>
        <v>0</v>
      </c>
      <c r="AD154" s="264">
        <f t="shared" si="41"/>
        <v>0</v>
      </c>
      <c r="AE154" s="264">
        <f t="shared" si="41"/>
        <v>0</v>
      </c>
      <c r="AF154" s="264">
        <f t="shared" si="41"/>
        <v>0</v>
      </c>
      <c r="AG154" s="78"/>
      <c r="AH154" s="78"/>
    </row>
    <row r="155" spans="2:34">
      <c r="B155" s="10" t="s">
        <v>380</v>
      </c>
      <c r="C155" s="264">
        <f>E125</f>
        <v>0</v>
      </c>
      <c r="D155" s="264">
        <f t="shared" ref="D155:AF155" si="42">F125</f>
        <v>0</v>
      </c>
      <c r="E155" s="264">
        <f t="shared" si="42"/>
        <v>0</v>
      </c>
      <c r="F155" s="264">
        <f t="shared" si="42"/>
        <v>0</v>
      </c>
      <c r="G155" s="264">
        <f t="shared" si="42"/>
        <v>0</v>
      </c>
      <c r="H155" s="264">
        <f t="shared" si="42"/>
        <v>0</v>
      </c>
      <c r="I155" s="264">
        <f t="shared" si="42"/>
        <v>0</v>
      </c>
      <c r="J155" s="264">
        <f t="shared" si="42"/>
        <v>0</v>
      </c>
      <c r="K155" s="264">
        <f t="shared" si="42"/>
        <v>0</v>
      </c>
      <c r="L155" s="264">
        <f t="shared" si="42"/>
        <v>0</v>
      </c>
      <c r="M155" s="264">
        <f t="shared" si="42"/>
        <v>0</v>
      </c>
      <c r="N155" s="264">
        <f t="shared" si="42"/>
        <v>0</v>
      </c>
      <c r="O155" s="264">
        <f t="shared" si="42"/>
        <v>0</v>
      </c>
      <c r="P155" s="264">
        <f t="shared" si="42"/>
        <v>0</v>
      </c>
      <c r="Q155" s="264">
        <f t="shared" si="42"/>
        <v>0</v>
      </c>
      <c r="R155" s="264">
        <f t="shared" si="42"/>
        <v>0</v>
      </c>
      <c r="S155" s="264">
        <f t="shared" si="42"/>
        <v>0</v>
      </c>
      <c r="T155" s="264">
        <f t="shared" si="42"/>
        <v>0</v>
      </c>
      <c r="U155" s="264">
        <f t="shared" si="42"/>
        <v>0</v>
      </c>
      <c r="V155" s="264">
        <f t="shared" si="42"/>
        <v>0</v>
      </c>
      <c r="W155" s="264">
        <f t="shared" si="42"/>
        <v>0</v>
      </c>
      <c r="X155" s="264">
        <f t="shared" si="42"/>
        <v>0</v>
      </c>
      <c r="Y155" s="264">
        <f t="shared" si="42"/>
        <v>0</v>
      </c>
      <c r="Z155" s="264">
        <f t="shared" si="42"/>
        <v>0</v>
      </c>
      <c r="AA155" s="264">
        <f t="shared" si="42"/>
        <v>0</v>
      </c>
      <c r="AB155" s="264">
        <f t="shared" si="42"/>
        <v>0</v>
      </c>
      <c r="AC155" s="264">
        <f t="shared" si="42"/>
        <v>0</v>
      </c>
      <c r="AD155" s="264">
        <f t="shared" si="42"/>
        <v>0</v>
      </c>
      <c r="AE155" s="264">
        <f t="shared" si="42"/>
        <v>0</v>
      </c>
      <c r="AF155" s="264">
        <f t="shared" si="42"/>
        <v>0</v>
      </c>
      <c r="AG155" s="78"/>
      <c r="AH155" s="78"/>
    </row>
    <row r="156" spans="2:34">
      <c r="B156" s="10" t="s">
        <v>381</v>
      </c>
      <c r="C156" s="264">
        <f>E97</f>
        <v>0</v>
      </c>
      <c r="D156" s="264">
        <f t="shared" ref="D156:AF156" si="43">F97</f>
        <v>0</v>
      </c>
      <c r="E156" s="264">
        <f t="shared" si="43"/>
        <v>0</v>
      </c>
      <c r="F156" s="264">
        <f t="shared" si="43"/>
        <v>0</v>
      </c>
      <c r="G156" s="264">
        <f t="shared" si="43"/>
        <v>0</v>
      </c>
      <c r="H156" s="264">
        <f t="shared" si="43"/>
        <v>0</v>
      </c>
      <c r="I156" s="264">
        <f t="shared" si="43"/>
        <v>0</v>
      </c>
      <c r="J156" s="264">
        <f t="shared" si="43"/>
        <v>0</v>
      </c>
      <c r="K156" s="264">
        <f t="shared" si="43"/>
        <v>0</v>
      </c>
      <c r="L156" s="264">
        <f t="shared" si="43"/>
        <v>0</v>
      </c>
      <c r="M156" s="264">
        <f t="shared" si="43"/>
        <v>0</v>
      </c>
      <c r="N156" s="264">
        <f t="shared" si="43"/>
        <v>0</v>
      </c>
      <c r="O156" s="264">
        <f t="shared" si="43"/>
        <v>0</v>
      </c>
      <c r="P156" s="264">
        <f t="shared" si="43"/>
        <v>0</v>
      </c>
      <c r="Q156" s="264">
        <f t="shared" si="43"/>
        <v>0</v>
      </c>
      <c r="R156" s="264">
        <f t="shared" si="43"/>
        <v>0</v>
      </c>
      <c r="S156" s="264">
        <f t="shared" si="43"/>
        <v>0</v>
      </c>
      <c r="T156" s="264">
        <f t="shared" si="43"/>
        <v>0</v>
      </c>
      <c r="U156" s="264">
        <f t="shared" si="43"/>
        <v>0</v>
      </c>
      <c r="V156" s="264">
        <f t="shared" si="43"/>
        <v>0</v>
      </c>
      <c r="W156" s="264">
        <f t="shared" si="43"/>
        <v>0</v>
      </c>
      <c r="X156" s="264">
        <f t="shared" si="43"/>
        <v>0</v>
      </c>
      <c r="Y156" s="264">
        <f t="shared" si="43"/>
        <v>0</v>
      </c>
      <c r="Z156" s="264">
        <f t="shared" si="43"/>
        <v>0</v>
      </c>
      <c r="AA156" s="264">
        <f t="shared" si="43"/>
        <v>0</v>
      </c>
      <c r="AB156" s="264">
        <f t="shared" si="43"/>
        <v>0</v>
      </c>
      <c r="AC156" s="264">
        <f t="shared" si="43"/>
        <v>0</v>
      </c>
      <c r="AD156" s="264">
        <f t="shared" si="43"/>
        <v>0</v>
      </c>
      <c r="AE156" s="264">
        <f t="shared" si="43"/>
        <v>0</v>
      </c>
      <c r="AF156" s="264">
        <f t="shared" si="43"/>
        <v>0</v>
      </c>
      <c r="AG156" s="78"/>
      <c r="AH156" s="78"/>
    </row>
    <row r="157" spans="2:34">
      <c r="B157" s="10" t="s">
        <v>382</v>
      </c>
      <c r="C157" s="264">
        <f>E98</f>
        <v>0</v>
      </c>
      <c r="D157" s="264">
        <f t="shared" ref="D157:AF157" si="44">F98</f>
        <v>0</v>
      </c>
      <c r="E157" s="264">
        <f t="shared" si="44"/>
        <v>0</v>
      </c>
      <c r="F157" s="264">
        <f t="shared" si="44"/>
        <v>0</v>
      </c>
      <c r="G157" s="264">
        <f t="shared" si="44"/>
        <v>0</v>
      </c>
      <c r="H157" s="264">
        <f t="shared" si="44"/>
        <v>0</v>
      </c>
      <c r="I157" s="264">
        <f t="shared" si="44"/>
        <v>0</v>
      </c>
      <c r="J157" s="264">
        <f t="shared" si="44"/>
        <v>0</v>
      </c>
      <c r="K157" s="264">
        <f t="shared" si="44"/>
        <v>0</v>
      </c>
      <c r="L157" s="264">
        <f t="shared" si="44"/>
        <v>0</v>
      </c>
      <c r="M157" s="264">
        <f t="shared" si="44"/>
        <v>0</v>
      </c>
      <c r="N157" s="264">
        <f t="shared" si="44"/>
        <v>0</v>
      </c>
      <c r="O157" s="264">
        <f t="shared" si="44"/>
        <v>0</v>
      </c>
      <c r="P157" s="264">
        <f t="shared" si="44"/>
        <v>0</v>
      </c>
      <c r="Q157" s="264">
        <f t="shared" si="44"/>
        <v>0</v>
      </c>
      <c r="R157" s="264">
        <f t="shared" si="44"/>
        <v>0</v>
      </c>
      <c r="S157" s="264">
        <f t="shared" si="44"/>
        <v>0</v>
      </c>
      <c r="T157" s="264">
        <f t="shared" si="44"/>
        <v>0</v>
      </c>
      <c r="U157" s="264">
        <f t="shared" si="44"/>
        <v>0</v>
      </c>
      <c r="V157" s="264">
        <f t="shared" si="44"/>
        <v>0</v>
      </c>
      <c r="W157" s="264">
        <f t="shared" si="44"/>
        <v>0</v>
      </c>
      <c r="X157" s="264">
        <f t="shared" si="44"/>
        <v>0</v>
      </c>
      <c r="Y157" s="264">
        <f t="shared" si="44"/>
        <v>0</v>
      </c>
      <c r="Z157" s="264">
        <f t="shared" si="44"/>
        <v>0</v>
      </c>
      <c r="AA157" s="264">
        <f t="shared" si="44"/>
        <v>0</v>
      </c>
      <c r="AB157" s="264">
        <f t="shared" si="44"/>
        <v>0</v>
      </c>
      <c r="AC157" s="264">
        <f t="shared" si="44"/>
        <v>0</v>
      </c>
      <c r="AD157" s="264">
        <f t="shared" si="44"/>
        <v>0</v>
      </c>
      <c r="AE157" s="264">
        <f t="shared" si="44"/>
        <v>0</v>
      </c>
      <c r="AF157" s="264">
        <f t="shared" si="44"/>
        <v>0</v>
      </c>
      <c r="AG157" s="78"/>
      <c r="AH157" s="78"/>
    </row>
    <row r="158" spans="2:34">
      <c r="B158" s="10" t="s">
        <v>383</v>
      </c>
      <c r="C158" s="287"/>
      <c r="D158" s="287"/>
      <c r="E158" s="287"/>
      <c r="F158" s="287"/>
      <c r="G158" s="287"/>
      <c r="H158" s="287"/>
      <c r="I158" s="287"/>
      <c r="J158" s="287"/>
      <c r="K158" s="287"/>
      <c r="L158" s="287"/>
      <c r="M158" s="287"/>
      <c r="N158" s="287"/>
      <c r="O158" s="287"/>
      <c r="P158" s="287"/>
      <c r="Q158" s="287"/>
      <c r="R158" s="287"/>
      <c r="S158" s="287"/>
      <c r="T158" s="287"/>
      <c r="U158" s="287"/>
      <c r="V158" s="287"/>
      <c r="W158" s="287"/>
      <c r="X158" s="287"/>
      <c r="Y158" s="287"/>
      <c r="Z158" s="287"/>
      <c r="AA158" s="287"/>
      <c r="AB158" s="287"/>
      <c r="AC158" s="287"/>
      <c r="AD158" s="287"/>
      <c r="AE158" s="287"/>
      <c r="AF158" s="287"/>
      <c r="AG158" s="78"/>
      <c r="AH158" s="78"/>
    </row>
    <row r="159" spans="2:34">
      <c r="B159" s="8" t="s">
        <v>384</v>
      </c>
      <c r="C159" s="507">
        <f>SUM(C154:C158)</f>
        <v>0</v>
      </c>
      <c r="D159" s="507">
        <f t="shared" ref="D159:AF159" si="45">SUM(D154:D158)</f>
        <v>0</v>
      </c>
      <c r="E159" s="507">
        <f t="shared" si="45"/>
        <v>0</v>
      </c>
      <c r="F159" s="507">
        <f t="shared" si="45"/>
        <v>0</v>
      </c>
      <c r="G159" s="507">
        <f t="shared" si="45"/>
        <v>0</v>
      </c>
      <c r="H159" s="507">
        <f t="shared" si="45"/>
        <v>0</v>
      </c>
      <c r="I159" s="507">
        <f t="shared" si="45"/>
        <v>0</v>
      </c>
      <c r="J159" s="507">
        <f t="shared" si="45"/>
        <v>0</v>
      </c>
      <c r="K159" s="507">
        <f t="shared" si="45"/>
        <v>0</v>
      </c>
      <c r="L159" s="507">
        <f t="shared" si="45"/>
        <v>0</v>
      </c>
      <c r="M159" s="507">
        <f t="shared" si="45"/>
        <v>0</v>
      </c>
      <c r="N159" s="507">
        <f t="shared" si="45"/>
        <v>0</v>
      </c>
      <c r="O159" s="507">
        <f t="shared" si="45"/>
        <v>0</v>
      </c>
      <c r="P159" s="507">
        <f t="shared" si="45"/>
        <v>0</v>
      </c>
      <c r="Q159" s="507">
        <f t="shared" si="45"/>
        <v>0</v>
      </c>
      <c r="R159" s="507">
        <f t="shared" si="45"/>
        <v>0</v>
      </c>
      <c r="S159" s="507">
        <f t="shared" si="45"/>
        <v>0</v>
      </c>
      <c r="T159" s="507">
        <f t="shared" si="45"/>
        <v>0</v>
      </c>
      <c r="U159" s="507">
        <f t="shared" si="45"/>
        <v>0</v>
      </c>
      <c r="V159" s="507">
        <f t="shared" si="45"/>
        <v>0</v>
      </c>
      <c r="W159" s="507">
        <f t="shared" si="45"/>
        <v>0</v>
      </c>
      <c r="X159" s="507">
        <f t="shared" si="45"/>
        <v>0</v>
      </c>
      <c r="Y159" s="507">
        <f t="shared" si="45"/>
        <v>0</v>
      </c>
      <c r="Z159" s="507">
        <f t="shared" si="45"/>
        <v>0</v>
      </c>
      <c r="AA159" s="507">
        <f t="shared" si="45"/>
        <v>0</v>
      </c>
      <c r="AB159" s="507">
        <f t="shared" si="45"/>
        <v>0</v>
      </c>
      <c r="AC159" s="507">
        <f t="shared" si="45"/>
        <v>0</v>
      </c>
      <c r="AD159" s="507">
        <f t="shared" si="45"/>
        <v>0</v>
      </c>
      <c r="AE159" s="507">
        <f t="shared" si="45"/>
        <v>0</v>
      </c>
      <c r="AF159" s="507">
        <f t="shared" si="45"/>
        <v>0</v>
      </c>
      <c r="AG159" s="78"/>
      <c r="AH159" s="78"/>
    </row>
    <row r="160" spans="2:34">
      <c r="B160" s="10" t="s">
        <v>385</v>
      </c>
      <c r="C160" s="264">
        <f>E127</f>
        <v>0</v>
      </c>
      <c r="D160" s="264">
        <f t="shared" ref="D160:AF160" si="46">F127</f>
        <v>0</v>
      </c>
      <c r="E160" s="264">
        <f t="shared" si="46"/>
        <v>0</v>
      </c>
      <c r="F160" s="264">
        <f t="shared" si="46"/>
        <v>0</v>
      </c>
      <c r="G160" s="264">
        <f t="shared" si="46"/>
        <v>0</v>
      </c>
      <c r="H160" s="264">
        <f t="shared" si="46"/>
        <v>0</v>
      </c>
      <c r="I160" s="264">
        <f t="shared" si="46"/>
        <v>0</v>
      </c>
      <c r="J160" s="264">
        <f t="shared" si="46"/>
        <v>0</v>
      </c>
      <c r="K160" s="264">
        <f t="shared" si="46"/>
        <v>0</v>
      </c>
      <c r="L160" s="264">
        <f t="shared" si="46"/>
        <v>0</v>
      </c>
      <c r="M160" s="264">
        <f t="shared" si="46"/>
        <v>0</v>
      </c>
      <c r="N160" s="264">
        <f t="shared" si="46"/>
        <v>0</v>
      </c>
      <c r="O160" s="264">
        <f t="shared" si="46"/>
        <v>0</v>
      </c>
      <c r="P160" s="264">
        <f t="shared" si="46"/>
        <v>0</v>
      </c>
      <c r="Q160" s="264">
        <f t="shared" si="46"/>
        <v>0</v>
      </c>
      <c r="R160" s="264">
        <f t="shared" si="46"/>
        <v>0</v>
      </c>
      <c r="S160" s="264">
        <f t="shared" si="46"/>
        <v>0</v>
      </c>
      <c r="T160" s="264">
        <f t="shared" si="46"/>
        <v>0</v>
      </c>
      <c r="U160" s="264">
        <f t="shared" si="46"/>
        <v>0</v>
      </c>
      <c r="V160" s="264">
        <f t="shared" si="46"/>
        <v>0</v>
      </c>
      <c r="W160" s="264">
        <f t="shared" si="46"/>
        <v>0</v>
      </c>
      <c r="X160" s="264">
        <f t="shared" si="46"/>
        <v>0</v>
      </c>
      <c r="Y160" s="264">
        <f t="shared" si="46"/>
        <v>0</v>
      </c>
      <c r="Z160" s="264">
        <f t="shared" si="46"/>
        <v>0</v>
      </c>
      <c r="AA160" s="264">
        <f t="shared" si="46"/>
        <v>0</v>
      </c>
      <c r="AB160" s="264">
        <f t="shared" si="46"/>
        <v>0</v>
      </c>
      <c r="AC160" s="264">
        <f t="shared" si="46"/>
        <v>0</v>
      </c>
      <c r="AD160" s="264">
        <f t="shared" si="46"/>
        <v>0</v>
      </c>
      <c r="AE160" s="264">
        <f t="shared" si="46"/>
        <v>0</v>
      </c>
      <c r="AF160" s="264">
        <f t="shared" si="46"/>
        <v>0</v>
      </c>
      <c r="AG160" s="78"/>
      <c r="AH160" s="78"/>
    </row>
    <row r="161" spans="2:34">
      <c r="B161" s="10" t="s">
        <v>386</v>
      </c>
      <c r="C161" s="264">
        <f>E88+C177</f>
        <v>0</v>
      </c>
      <c r="D161" s="264">
        <f t="shared" ref="D161:AF161" si="47">F88+D177</f>
        <v>0</v>
      </c>
      <c r="E161" s="264">
        <f t="shared" si="47"/>
        <v>0</v>
      </c>
      <c r="F161" s="264">
        <f t="shared" si="47"/>
        <v>0</v>
      </c>
      <c r="G161" s="264">
        <f t="shared" si="47"/>
        <v>0</v>
      </c>
      <c r="H161" s="264">
        <f t="shared" si="47"/>
        <v>0</v>
      </c>
      <c r="I161" s="264">
        <f t="shared" si="47"/>
        <v>0</v>
      </c>
      <c r="J161" s="264">
        <f t="shared" si="47"/>
        <v>0</v>
      </c>
      <c r="K161" s="264">
        <f t="shared" si="47"/>
        <v>0</v>
      </c>
      <c r="L161" s="264">
        <f t="shared" si="47"/>
        <v>0</v>
      </c>
      <c r="M161" s="264">
        <f t="shared" si="47"/>
        <v>0</v>
      </c>
      <c r="N161" s="264">
        <f t="shared" si="47"/>
        <v>0</v>
      </c>
      <c r="O161" s="264">
        <f t="shared" si="47"/>
        <v>0</v>
      </c>
      <c r="P161" s="264">
        <f t="shared" si="47"/>
        <v>0</v>
      </c>
      <c r="Q161" s="264">
        <f t="shared" si="47"/>
        <v>0</v>
      </c>
      <c r="R161" s="264">
        <f t="shared" si="47"/>
        <v>0</v>
      </c>
      <c r="S161" s="264">
        <f t="shared" si="47"/>
        <v>0</v>
      </c>
      <c r="T161" s="264">
        <f t="shared" si="47"/>
        <v>0</v>
      </c>
      <c r="U161" s="264">
        <f t="shared" si="47"/>
        <v>0</v>
      </c>
      <c r="V161" s="264">
        <f t="shared" si="47"/>
        <v>0</v>
      </c>
      <c r="W161" s="264">
        <f t="shared" si="47"/>
        <v>0</v>
      </c>
      <c r="X161" s="264">
        <f t="shared" si="47"/>
        <v>0</v>
      </c>
      <c r="Y161" s="264">
        <f t="shared" si="47"/>
        <v>0</v>
      </c>
      <c r="Z161" s="264">
        <f t="shared" si="47"/>
        <v>0</v>
      </c>
      <c r="AA161" s="264">
        <f t="shared" si="47"/>
        <v>0</v>
      </c>
      <c r="AB161" s="264">
        <f t="shared" si="47"/>
        <v>0</v>
      </c>
      <c r="AC161" s="264">
        <f t="shared" si="47"/>
        <v>0</v>
      </c>
      <c r="AD161" s="264">
        <f t="shared" si="47"/>
        <v>0</v>
      </c>
      <c r="AE161" s="264">
        <f t="shared" si="47"/>
        <v>0</v>
      </c>
      <c r="AF161" s="264">
        <f t="shared" si="47"/>
        <v>0</v>
      </c>
      <c r="AG161" s="78"/>
      <c r="AH161" s="78"/>
    </row>
    <row r="162" spans="2:34">
      <c r="B162" s="10" t="s">
        <v>387</v>
      </c>
      <c r="C162" s="264">
        <f>E37*$C$140*$C$142</f>
        <v>0</v>
      </c>
      <c r="D162" s="264">
        <f t="shared" ref="D162:AF162" si="48">F37*$C$140*$C$142</f>
        <v>0</v>
      </c>
      <c r="E162" s="264">
        <f t="shared" si="48"/>
        <v>0</v>
      </c>
      <c r="F162" s="264">
        <f t="shared" si="48"/>
        <v>0</v>
      </c>
      <c r="G162" s="264">
        <f t="shared" si="48"/>
        <v>0</v>
      </c>
      <c r="H162" s="264">
        <f t="shared" si="48"/>
        <v>0</v>
      </c>
      <c r="I162" s="264">
        <f t="shared" si="48"/>
        <v>0</v>
      </c>
      <c r="J162" s="264">
        <f t="shared" si="48"/>
        <v>0</v>
      </c>
      <c r="K162" s="264">
        <f t="shared" si="48"/>
        <v>0</v>
      </c>
      <c r="L162" s="264">
        <f t="shared" si="48"/>
        <v>0</v>
      </c>
      <c r="M162" s="264">
        <f t="shared" si="48"/>
        <v>0</v>
      </c>
      <c r="N162" s="264">
        <f t="shared" si="48"/>
        <v>0</v>
      </c>
      <c r="O162" s="264">
        <f t="shared" si="48"/>
        <v>0</v>
      </c>
      <c r="P162" s="264">
        <f t="shared" si="48"/>
        <v>0</v>
      </c>
      <c r="Q162" s="264">
        <f t="shared" si="48"/>
        <v>0</v>
      </c>
      <c r="R162" s="264">
        <f t="shared" si="48"/>
        <v>0</v>
      </c>
      <c r="S162" s="264">
        <f t="shared" si="48"/>
        <v>0</v>
      </c>
      <c r="T162" s="264">
        <f t="shared" si="48"/>
        <v>0</v>
      </c>
      <c r="U162" s="264">
        <f t="shared" si="48"/>
        <v>0</v>
      </c>
      <c r="V162" s="264">
        <f t="shared" si="48"/>
        <v>0</v>
      </c>
      <c r="W162" s="264">
        <f t="shared" si="48"/>
        <v>0</v>
      </c>
      <c r="X162" s="264">
        <f t="shared" si="48"/>
        <v>0</v>
      </c>
      <c r="Y162" s="264">
        <f t="shared" si="48"/>
        <v>0</v>
      </c>
      <c r="Z162" s="264">
        <f t="shared" si="48"/>
        <v>0</v>
      </c>
      <c r="AA162" s="264">
        <f t="shared" si="48"/>
        <v>0</v>
      </c>
      <c r="AB162" s="264">
        <f t="shared" si="48"/>
        <v>0</v>
      </c>
      <c r="AC162" s="264">
        <f t="shared" si="48"/>
        <v>0</v>
      </c>
      <c r="AD162" s="264">
        <f t="shared" si="48"/>
        <v>0</v>
      </c>
      <c r="AE162" s="264">
        <f t="shared" si="48"/>
        <v>0</v>
      </c>
      <c r="AF162" s="264">
        <f t="shared" si="48"/>
        <v>0</v>
      </c>
      <c r="AG162" s="78"/>
      <c r="AH162" s="78"/>
    </row>
    <row r="163" spans="2:34">
      <c r="B163" s="512" t="s">
        <v>388</v>
      </c>
      <c r="C163" s="509">
        <f>SUM(C164:C165)</f>
        <v>0</v>
      </c>
      <c r="D163" s="509">
        <f>SUM(D164:D165)</f>
        <v>0</v>
      </c>
      <c r="E163" s="509">
        <f t="shared" ref="E163:AF163" si="49">SUM(E164:E165)</f>
        <v>0</v>
      </c>
      <c r="F163" s="509">
        <f t="shared" si="49"/>
        <v>0</v>
      </c>
      <c r="G163" s="509">
        <f t="shared" si="49"/>
        <v>0</v>
      </c>
      <c r="H163" s="509">
        <f t="shared" si="49"/>
        <v>0</v>
      </c>
      <c r="I163" s="509">
        <f t="shared" si="49"/>
        <v>0</v>
      </c>
      <c r="J163" s="509">
        <f t="shared" si="49"/>
        <v>0</v>
      </c>
      <c r="K163" s="509">
        <f t="shared" si="49"/>
        <v>0</v>
      </c>
      <c r="L163" s="509">
        <f t="shared" si="49"/>
        <v>0</v>
      </c>
      <c r="M163" s="509">
        <f t="shared" si="49"/>
        <v>0</v>
      </c>
      <c r="N163" s="509">
        <f t="shared" si="49"/>
        <v>0</v>
      </c>
      <c r="O163" s="509">
        <f t="shared" si="49"/>
        <v>0</v>
      </c>
      <c r="P163" s="509">
        <f t="shared" si="49"/>
        <v>0</v>
      </c>
      <c r="Q163" s="509">
        <f t="shared" si="49"/>
        <v>0</v>
      </c>
      <c r="R163" s="509">
        <f t="shared" si="49"/>
        <v>0</v>
      </c>
      <c r="S163" s="509">
        <f t="shared" si="49"/>
        <v>0</v>
      </c>
      <c r="T163" s="509">
        <f t="shared" si="49"/>
        <v>0</v>
      </c>
      <c r="U163" s="509">
        <f t="shared" si="49"/>
        <v>0</v>
      </c>
      <c r="V163" s="509">
        <f t="shared" si="49"/>
        <v>0</v>
      </c>
      <c r="W163" s="509">
        <f t="shared" si="49"/>
        <v>0</v>
      </c>
      <c r="X163" s="509">
        <f t="shared" si="49"/>
        <v>0</v>
      </c>
      <c r="Y163" s="509">
        <f t="shared" si="49"/>
        <v>0</v>
      </c>
      <c r="Z163" s="509">
        <f t="shared" si="49"/>
        <v>0</v>
      </c>
      <c r="AA163" s="509">
        <f t="shared" si="49"/>
        <v>0</v>
      </c>
      <c r="AB163" s="509">
        <f t="shared" si="49"/>
        <v>0</v>
      </c>
      <c r="AC163" s="509">
        <f t="shared" si="49"/>
        <v>0</v>
      </c>
      <c r="AD163" s="509">
        <f t="shared" si="49"/>
        <v>0</v>
      </c>
      <c r="AE163" s="509">
        <f t="shared" si="49"/>
        <v>0</v>
      </c>
      <c r="AF163" s="509">
        <f t="shared" si="49"/>
        <v>0</v>
      </c>
      <c r="AG163" s="78"/>
      <c r="AH163" s="78"/>
    </row>
    <row r="164" spans="2:34">
      <c r="B164" s="10" t="s">
        <v>389</v>
      </c>
      <c r="C164" s="264">
        <f>C154-C162</f>
        <v>0</v>
      </c>
      <c r="D164" s="264">
        <f t="shared" ref="D164:AF164" si="50">D154-D162</f>
        <v>0</v>
      </c>
      <c r="E164" s="264">
        <f t="shared" si="50"/>
        <v>0</v>
      </c>
      <c r="F164" s="264">
        <f t="shared" si="50"/>
        <v>0</v>
      </c>
      <c r="G164" s="264">
        <f t="shared" si="50"/>
        <v>0</v>
      </c>
      <c r="H164" s="264">
        <f t="shared" si="50"/>
        <v>0</v>
      </c>
      <c r="I164" s="264">
        <f t="shared" si="50"/>
        <v>0</v>
      </c>
      <c r="J164" s="264">
        <f t="shared" si="50"/>
        <v>0</v>
      </c>
      <c r="K164" s="264">
        <f t="shared" si="50"/>
        <v>0</v>
      </c>
      <c r="L164" s="264">
        <f t="shared" si="50"/>
        <v>0</v>
      </c>
      <c r="M164" s="264">
        <f t="shared" si="50"/>
        <v>0</v>
      </c>
      <c r="N164" s="264">
        <f t="shared" si="50"/>
        <v>0</v>
      </c>
      <c r="O164" s="264">
        <f t="shared" si="50"/>
        <v>0</v>
      </c>
      <c r="P164" s="264">
        <f t="shared" si="50"/>
        <v>0</v>
      </c>
      <c r="Q164" s="264">
        <f t="shared" si="50"/>
        <v>0</v>
      </c>
      <c r="R164" s="264">
        <f t="shared" si="50"/>
        <v>0</v>
      </c>
      <c r="S164" s="264">
        <f t="shared" si="50"/>
        <v>0</v>
      </c>
      <c r="T164" s="264">
        <f t="shared" si="50"/>
        <v>0</v>
      </c>
      <c r="U164" s="264">
        <f t="shared" si="50"/>
        <v>0</v>
      </c>
      <c r="V164" s="264">
        <f t="shared" si="50"/>
        <v>0</v>
      </c>
      <c r="W164" s="264">
        <f t="shared" si="50"/>
        <v>0</v>
      </c>
      <c r="X164" s="264">
        <f t="shared" si="50"/>
        <v>0</v>
      </c>
      <c r="Y164" s="264">
        <f t="shared" si="50"/>
        <v>0</v>
      </c>
      <c r="Z164" s="264">
        <f t="shared" si="50"/>
        <v>0</v>
      </c>
      <c r="AA164" s="264">
        <f t="shared" si="50"/>
        <v>0</v>
      </c>
      <c r="AB164" s="264">
        <f t="shared" si="50"/>
        <v>0</v>
      </c>
      <c r="AC164" s="264">
        <f t="shared" si="50"/>
        <v>0</v>
      </c>
      <c r="AD164" s="264">
        <f t="shared" si="50"/>
        <v>0</v>
      </c>
      <c r="AE164" s="264">
        <f t="shared" si="50"/>
        <v>0</v>
      </c>
      <c r="AF164" s="264">
        <f t="shared" si="50"/>
        <v>0</v>
      </c>
      <c r="AG164" s="78"/>
      <c r="AH164" s="78"/>
    </row>
    <row r="165" spans="2:34">
      <c r="B165" s="512" t="s">
        <v>390</v>
      </c>
      <c r="C165" s="509">
        <f>SUM(C166:C167)</f>
        <v>0</v>
      </c>
      <c r="D165" s="509">
        <f>SUM(D166:D167)</f>
        <v>0</v>
      </c>
      <c r="E165" s="509">
        <f t="shared" ref="E165:AF165" si="51">SUM(E166:E167)</f>
        <v>0</v>
      </c>
      <c r="F165" s="509">
        <f t="shared" si="51"/>
        <v>0</v>
      </c>
      <c r="G165" s="509">
        <f t="shared" si="51"/>
        <v>0</v>
      </c>
      <c r="H165" s="509">
        <f t="shared" si="51"/>
        <v>0</v>
      </c>
      <c r="I165" s="509">
        <f t="shared" si="51"/>
        <v>0</v>
      </c>
      <c r="J165" s="509">
        <f t="shared" si="51"/>
        <v>0</v>
      </c>
      <c r="K165" s="509">
        <f t="shared" si="51"/>
        <v>0</v>
      </c>
      <c r="L165" s="509">
        <f t="shared" si="51"/>
        <v>0</v>
      </c>
      <c r="M165" s="509">
        <f t="shared" si="51"/>
        <v>0</v>
      </c>
      <c r="N165" s="509">
        <f t="shared" si="51"/>
        <v>0</v>
      </c>
      <c r="O165" s="509">
        <f t="shared" si="51"/>
        <v>0</v>
      </c>
      <c r="P165" s="509">
        <f t="shared" si="51"/>
        <v>0</v>
      </c>
      <c r="Q165" s="509">
        <f t="shared" si="51"/>
        <v>0</v>
      </c>
      <c r="R165" s="509">
        <f t="shared" si="51"/>
        <v>0</v>
      </c>
      <c r="S165" s="509">
        <f t="shared" si="51"/>
        <v>0</v>
      </c>
      <c r="T165" s="509">
        <f t="shared" si="51"/>
        <v>0</v>
      </c>
      <c r="U165" s="509">
        <f t="shared" si="51"/>
        <v>0</v>
      </c>
      <c r="V165" s="509">
        <f t="shared" si="51"/>
        <v>0</v>
      </c>
      <c r="W165" s="509">
        <f t="shared" si="51"/>
        <v>0</v>
      </c>
      <c r="X165" s="509">
        <f t="shared" si="51"/>
        <v>0</v>
      </c>
      <c r="Y165" s="509">
        <f t="shared" si="51"/>
        <v>0</v>
      </c>
      <c r="Z165" s="509">
        <f t="shared" si="51"/>
        <v>0</v>
      </c>
      <c r="AA165" s="509">
        <f t="shared" si="51"/>
        <v>0</v>
      </c>
      <c r="AB165" s="509">
        <f t="shared" si="51"/>
        <v>0</v>
      </c>
      <c r="AC165" s="509">
        <f t="shared" si="51"/>
        <v>0</v>
      </c>
      <c r="AD165" s="509">
        <f t="shared" si="51"/>
        <v>0</v>
      </c>
      <c r="AE165" s="509">
        <f t="shared" si="51"/>
        <v>0</v>
      </c>
      <c r="AF165" s="509">
        <f t="shared" si="51"/>
        <v>0</v>
      </c>
      <c r="AG165" s="78"/>
      <c r="AH165" s="78"/>
    </row>
    <row r="166" spans="2:34">
      <c r="B166" s="10" t="s">
        <v>391</v>
      </c>
      <c r="C166" s="264">
        <f>E95</f>
        <v>0</v>
      </c>
      <c r="D166" s="264">
        <f t="shared" ref="D166:AF166" si="52">F95</f>
        <v>0</v>
      </c>
      <c r="E166" s="264">
        <f t="shared" si="52"/>
        <v>0</v>
      </c>
      <c r="F166" s="264">
        <f t="shared" si="52"/>
        <v>0</v>
      </c>
      <c r="G166" s="264">
        <f t="shared" si="52"/>
        <v>0</v>
      </c>
      <c r="H166" s="264">
        <f t="shared" si="52"/>
        <v>0</v>
      </c>
      <c r="I166" s="264">
        <f t="shared" si="52"/>
        <v>0</v>
      </c>
      <c r="J166" s="264">
        <f t="shared" si="52"/>
        <v>0</v>
      </c>
      <c r="K166" s="264">
        <f t="shared" si="52"/>
        <v>0</v>
      </c>
      <c r="L166" s="264">
        <f t="shared" si="52"/>
        <v>0</v>
      </c>
      <c r="M166" s="264">
        <f t="shared" si="52"/>
        <v>0</v>
      </c>
      <c r="N166" s="264">
        <f t="shared" si="52"/>
        <v>0</v>
      </c>
      <c r="O166" s="264">
        <f t="shared" si="52"/>
        <v>0</v>
      </c>
      <c r="P166" s="264">
        <f t="shared" si="52"/>
        <v>0</v>
      </c>
      <c r="Q166" s="264">
        <f t="shared" si="52"/>
        <v>0</v>
      </c>
      <c r="R166" s="264">
        <f t="shared" si="52"/>
        <v>0</v>
      </c>
      <c r="S166" s="264">
        <f t="shared" si="52"/>
        <v>0</v>
      </c>
      <c r="T166" s="264">
        <f t="shared" si="52"/>
        <v>0</v>
      </c>
      <c r="U166" s="264">
        <f t="shared" si="52"/>
        <v>0</v>
      </c>
      <c r="V166" s="264">
        <f t="shared" si="52"/>
        <v>0</v>
      </c>
      <c r="W166" s="264">
        <f t="shared" si="52"/>
        <v>0</v>
      </c>
      <c r="X166" s="264">
        <f t="shared" si="52"/>
        <v>0</v>
      </c>
      <c r="Y166" s="264">
        <f t="shared" si="52"/>
        <v>0</v>
      </c>
      <c r="Z166" s="264">
        <f t="shared" si="52"/>
        <v>0</v>
      </c>
      <c r="AA166" s="264">
        <f t="shared" si="52"/>
        <v>0</v>
      </c>
      <c r="AB166" s="264">
        <f t="shared" si="52"/>
        <v>0</v>
      </c>
      <c r="AC166" s="264">
        <f t="shared" si="52"/>
        <v>0</v>
      </c>
      <c r="AD166" s="264">
        <f t="shared" si="52"/>
        <v>0</v>
      </c>
      <c r="AE166" s="264">
        <f t="shared" si="52"/>
        <v>0</v>
      </c>
      <c r="AF166" s="264">
        <f t="shared" si="52"/>
        <v>0</v>
      </c>
      <c r="AG166" s="78"/>
      <c r="AH166" s="78"/>
    </row>
    <row r="167" spans="2:34">
      <c r="B167" s="512" t="s">
        <v>392</v>
      </c>
      <c r="C167" s="509">
        <f>SUM(C168:C169)</f>
        <v>0</v>
      </c>
      <c r="D167" s="509">
        <f>SUM(D168:D169)</f>
        <v>0</v>
      </c>
      <c r="E167" s="509">
        <f t="shared" ref="E167:AF167" si="53">SUM(E168:E169)</f>
        <v>0</v>
      </c>
      <c r="F167" s="509">
        <f t="shared" si="53"/>
        <v>0</v>
      </c>
      <c r="G167" s="509">
        <f t="shared" si="53"/>
        <v>0</v>
      </c>
      <c r="H167" s="509">
        <f t="shared" si="53"/>
        <v>0</v>
      </c>
      <c r="I167" s="509">
        <f t="shared" si="53"/>
        <v>0</v>
      </c>
      <c r="J167" s="509">
        <f t="shared" si="53"/>
        <v>0</v>
      </c>
      <c r="K167" s="509">
        <f t="shared" si="53"/>
        <v>0</v>
      </c>
      <c r="L167" s="509">
        <f t="shared" si="53"/>
        <v>0</v>
      </c>
      <c r="M167" s="509">
        <f t="shared" si="53"/>
        <v>0</v>
      </c>
      <c r="N167" s="509">
        <f t="shared" si="53"/>
        <v>0</v>
      </c>
      <c r="O167" s="509">
        <f t="shared" si="53"/>
        <v>0</v>
      </c>
      <c r="P167" s="509">
        <f t="shared" si="53"/>
        <v>0</v>
      </c>
      <c r="Q167" s="509">
        <f t="shared" si="53"/>
        <v>0</v>
      </c>
      <c r="R167" s="509">
        <f t="shared" si="53"/>
        <v>0</v>
      </c>
      <c r="S167" s="509">
        <f t="shared" si="53"/>
        <v>0</v>
      </c>
      <c r="T167" s="509">
        <f t="shared" si="53"/>
        <v>0</v>
      </c>
      <c r="U167" s="509">
        <f t="shared" si="53"/>
        <v>0</v>
      </c>
      <c r="V167" s="509">
        <f t="shared" si="53"/>
        <v>0</v>
      </c>
      <c r="W167" s="509">
        <f t="shared" si="53"/>
        <v>0</v>
      </c>
      <c r="X167" s="509">
        <f t="shared" si="53"/>
        <v>0</v>
      </c>
      <c r="Y167" s="509">
        <f t="shared" si="53"/>
        <v>0</v>
      </c>
      <c r="Z167" s="509">
        <f t="shared" si="53"/>
        <v>0</v>
      </c>
      <c r="AA167" s="509">
        <f t="shared" si="53"/>
        <v>0</v>
      </c>
      <c r="AB167" s="509">
        <f t="shared" si="53"/>
        <v>0</v>
      </c>
      <c r="AC167" s="509">
        <f t="shared" si="53"/>
        <v>0</v>
      </c>
      <c r="AD167" s="509">
        <f t="shared" si="53"/>
        <v>0</v>
      </c>
      <c r="AE167" s="509">
        <f t="shared" si="53"/>
        <v>0</v>
      </c>
      <c r="AF167" s="509">
        <f t="shared" si="53"/>
        <v>0</v>
      </c>
      <c r="AG167" s="78"/>
      <c r="AH167" s="78"/>
    </row>
    <row r="168" spans="2:34">
      <c r="B168" s="10" t="s">
        <v>393</v>
      </c>
      <c r="C168" s="264">
        <f>E96</f>
        <v>0</v>
      </c>
      <c r="D168" s="264">
        <f t="shared" ref="D168:AF168" si="54">F96</f>
        <v>0</v>
      </c>
      <c r="E168" s="264">
        <f t="shared" si="54"/>
        <v>0</v>
      </c>
      <c r="F168" s="264">
        <f t="shared" si="54"/>
        <v>0</v>
      </c>
      <c r="G168" s="264">
        <f t="shared" si="54"/>
        <v>0</v>
      </c>
      <c r="H168" s="264">
        <f t="shared" si="54"/>
        <v>0</v>
      </c>
      <c r="I168" s="264">
        <f t="shared" si="54"/>
        <v>0</v>
      </c>
      <c r="J168" s="264">
        <f t="shared" si="54"/>
        <v>0</v>
      </c>
      <c r="K168" s="264">
        <f t="shared" si="54"/>
        <v>0</v>
      </c>
      <c r="L168" s="264">
        <f t="shared" si="54"/>
        <v>0</v>
      </c>
      <c r="M168" s="264">
        <f t="shared" si="54"/>
        <v>0</v>
      </c>
      <c r="N168" s="264">
        <f t="shared" si="54"/>
        <v>0</v>
      </c>
      <c r="O168" s="264">
        <f t="shared" si="54"/>
        <v>0</v>
      </c>
      <c r="P168" s="264">
        <f t="shared" si="54"/>
        <v>0</v>
      </c>
      <c r="Q168" s="264">
        <f t="shared" si="54"/>
        <v>0</v>
      </c>
      <c r="R168" s="264">
        <f t="shared" si="54"/>
        <v>0</v>
      </c>
      <c r="S168" s="264">
        <f t="shared" si="54"/>
        <v>0</v>
      </c>
      <c r="T168" s="264">
        <f t="shared" si="54"/>
        <v>0</v>
      </c>
      <c r="U168" s="264">
        <f t="shared" si="54"/>
        <v>0</v>
      </c>
      <c r="V168" s="264">
        <f t="shared" si="54"/>
        <v>0</v>
      </c>
      <c r="W168" s="264">
        <f t="shared" si="54"/>
        <v>0</v>
      </c>
      <c r="X168" s="264">
        <f t="shared" si="54"/>
        <v>0</v>
      </c>
      <c r="Y168" s="264">
        <f t="shared" si="54"/>
        <v>0</v>
      </c>
      <c r="Z168" s="264">
        <f t="shared" si="54"/>
        <v>0</v>
      </c>
      <c r="AA168" s="264">
        <f t="shared" si="54"/>
        <v>0</v>
      </c>
      <c r="AB168" s="264">
        <f t="shared" si="54"/>
        <v>0</v>
      </c>
      <c r="AC168" s="264">
        <f t="shared" si="54"/>
        <v>0</v>
      </c>
      <c r="AD168" s="264">
        <f t="shared" si="54"/>
        <v>0</v>
      </c>
      <c r="AE168" s="264">
        <f t="shared" si="54"/>
        <v>0</v>
      </c>
      <c r="AF168" s="264">
        <f t="shared" si="54"/>
        <v>0</v>
      </c>
      <c r="AG168" s="78"/>
      <c r="AH168" s="78"/>
    </row>
    <row r="169" spans="2:34">
      <c r="B169" s="10" t="s">
        <v>394</v>
      </c>
      <c r="C169" s="264">
        <f>E99</f>
        <v>0</v>
      </c>
      <c r="D169" s="264">
        <f t="shared" ref="D169:AF169" si="55">F99</f>
        <v>0</v>
      </c>
      <c r="E169" s="264">
        <f t="shared" si="55"/>
        <v>0</v>
      </c>
      <c r="F169" s="264">
        <f t="shared" si="55"/>
        <v>0</v>
      </c>
      <c r="G169" s="264">
        <f t="shared" si="55"/>
        <v>0</v>
      </c>
      <c r="H169" s="264">
        <f t="shared" si="55"/>
        <v>0</v>
      </c>
      <c r="I169" s="264">
        <f t="shared" si="55"/>
        <v>0</v>
      </c>
      <c r="J169" s="264">
        <f t="shared" si="55"/>
        <v>0</v>
      </c>
      <c r="K169" s="264">
        <f t="shared" si="55"/>
        <v>0</v>
      </c>
      <c r="L169" s="264">
        <f t="shared" si="55"/>
        <v>0</v>
      </c>
      <c r="M169" s="264">
        <f t="shared" si="55"/>
        <v>0</v>
      </c>
      <c r="N169" s="264">
        <f t="shared" si="55"/>
        <v>0</v>
      </c>
      <c r="O169" s="264">
        <f t="shared" si="55"/>
        <v>0</v>
      </c>
      <c r="P169" s="264">
        <f t="shared" si="55"/>
        <v>0</v>
      </c>
      <c r="Q169" s="264">
        <f t="shared" si="55"/>
        <v>0</v>
      </c>
      <c r="R169" s="264">
        <f t="shared" si="55"/>
        <v>0</v>
      </c>
      <c r="S169" s="264">
        <f t="shared" si="55"/>
        <v>0</v>
      </c>
      <c r="T169" s="264">
        <f t="shared" si="55"/>
        <v>0</v>
      </c>
      <c r="U169" s="264">
        <f t="shared" si="55"/>
        <v>0</v>
      </c>
      <c r="V169" s="264">
        <f t="shared" si="55"/>
        <v>0</v>
      </c>
      <c r="W169" s="264">
        <f t="shared" si="55"/>
        <v>0</v>
      </c>
      <c r="X169" s="264">
        <f t="shared" si="55"/>
        <v>0</v>
      </c>
      <c r="Y169" s="264">
        <f t="shared" si="55"/>
        <v>0</v>
      </c>
      <c r="Z169" s="264">
        <f t="shared" si="55"/>
        <v>0</v>
      </c>
      <c r="AA169" s="264">
        <f t="shared" si="55"/>
        <v>0</v>
      </c>
      <c r="AB169" s="264">
        <f t="shared" si="55"/>
        <v>0</v>
      </c>
      <c r="AC169" s="264">
        <f t="shared" si="55"/>
        <v>0</v>
      </c>
      <c r="AD169" s="264">
        <f t="shared" si="55"/>
        <v>0</v>
      </c>
      <c r="AE169" s="264">
        <f t="shared" si="55"/>
        <v>0</v>
      </c>
      <c r="AF169" s="264">
        <f t="shared" si="55"/>
        <v>0</v>
      </c>
      <c r="AG169" s="78"/>
      <c r="AH169" s="78"/>
    </row>
    <row r="170" spans="2:34">
      <c r="B170" s="10" t="s">
        <v>395</v>
      </c>
      <c r="C170" s="264">
        <f>E129</f>
        <v>0</v>
      </c>
      <c r="D170" s="264">
        <f t="shared" ref="D170:AF170" si="56">F129</f>
        <v>0</v>
      </c>
      <c r="E170" s="264">
        <f t="shared" si="56"/>
        <v>0</v>
      </c>
      <c r="F170" s="264">
        <f t="shared" si="56"/>
        <v>0</v>
      </c>
      <c r="G170" s="264">
        <f t="shared" si="56"/>
        <v>0</v>
      </c>
      <c r="H170" s="264">
        <f t="shared" si="56"/>
        <v>0</v>
      </c>
      <c r="I170" s="264">
        <f t="shared" si="56"/>
        <v>0</v>
      </c>
      <c r="J170" s="264">
        <f t="shared" si="56"/>
        <v>0</v>
      </c>
      <c r="K170" s="264">
        <f t="shared" si="56"/>
        <v>0</v>
      </c>
      <c r="L170" s="264">
        <f t="shared" si="56"/>
        <v>0</v>
      </c>
      <c r="M170" s="264">
        <f t="shared" si="56"/>
        <v>0</v>
      </c>
      <c r="N170" s="264">
        <f t="shared" si="56"/>
        <v>0</v>
      </c>
      <c r="O170" s="264">
        <f t="shared" si="56"/>
        <v>0</v>
      </c>
      <c r="P170" s="264">
        <f t="shared" si="56"/>
        <v>0</v>
      </c>
      <c r="Q170" s="264">
        <f t="shared" si="56"/>
        <v>0</v>
      </c>
      <c r="R170" s="264">
        <f t="shared" si="56"/>
        <v>0</v>
      </c>
      <c r="S170" s="264">
        <f t="shared" si="56"/>
        <v>0</v>
      </c>
      <c r="T170" s="264">
        <f t="shared" si="56"/>
        <v>0</v>
      </c>
      <c r="U170" s="264">
        <f t="shared" si="56"/>
        <v>0</v>
      </c>
      <c r="V170" s="264">
        <f t="shared" si="56"/>
        <v>0</v>
      </c>
      <c r="W170" s="264">
        <f t="shared" si="56"/>
        <v>0</v>
      </c>
      <c r="X170" s="264">
        <f t="shared" si="56"/>
        <v>0</v>
      </c>
      <c r="Y170" s="264">
        <f t="shared" si="56"/>
        <v>0</v>
      </c>
      <c r="Z170" s="264">
        <f t="shared" si="56"/>
        <v>0</v>
      </c>
      <c r="AA170" s="264">
        <f t="shared" si="56"/>
        <v>0</v>
      </c>
      <c r="AB170" s="264">
        <f t="shared" si="56"/>
        <v>0</v>
      </c>
      <c r="AC170" s="264">
        <f t="shared" si="56"/>
        <v>0</v>
      </c>
      <c r="AD170" s="264">
        <f t="shared" si="56"/>
        <v>0</v>
      </c>
      <c r="AE170" s="264">
        <f t="shared" si="56"/>
        <v>0</v>
      </c>
      <c r="AF170" s="264">
        <f t="shared" si="56"/>
        <v>0</v>
      </c>
      <c r="AG170" s="78"/>
      <c r="AH170" s="78"/>
    </row>
    <row r="171" spans="2:34">
      <c r="B171" s="8" t="s">
        <v>396</v>
      </c>
      <c r="C171" s="507">
        <f>SUM(C160:C163)</f>
        <v>0</v>
      </c>
      <c r="D171" s="507">
        <f>SUM(D160:D163)</f>
        <v>0</v>
      </c>
      <c r="E171" s="507">
        <f t="shared" ref="E171:AF171" si="57">SUM(E160:E163)</f>
        <v>0</v>
      </c>
      <c r="F171" s="507">
        <f t="shared" si="57"/>
        <v>0</v>
      </c>
      <c r="G171" s="507">
        <f t="shared" si="57"/>
        <v>0</v>
      </c>
      <c r="H171" s="507">
        <f t="shared" si="57"/>
        <v>0</v>
      </c>
      <c r="I171" s="507">
        <f t="shared" si="57"/>
        <v>0</v>
      </c>
      <c r="J171" s="507">
        <f t="shared" si="57"/>
        <v>0</v>
      </c>
      <c r="K171" s="507">
        <f t="shared" si="57"/>
        <v>0</v>
      </c>
      <c r="L171" s="507">
        <f t="shared" si="57"/>
        <v>0</v>
      </c>
      <c r="M171" s="507">
        <f t="shared" si="57"/>
        <v>0</v>
      </c>
      <c r="N171" s="507">
        <f t="shared" si="57"/>
        <v>0</v>
      </c>
      <c r="O171" s="507">
        <f t="shared" si="57"/>
        <v>0</v>
      </c>
      <c r="P171" s="507">
        <f t="shared" si="57"/>
        <v>0</v>
      </c>
      <c r="Q171" s="507">
        <f t="shared" si="57"/>
        <v>0</v>
      </c>
      <c r="R171" s="507">
        <f t="shared" si="57"/>
        <v>0</v>
      </c>
      <c r="S171" s="507">
        <f t="shared" si="57"/>
        <v>0</v>
      </c>
      <c r="T171" s="507">
        <f t="shared" si="57"/>
        <v>0</v>
      </c>
      <c r="U171" s="507">
        <f t="shared" si="57"/>
        <v>0</v>
      </c>
      <c r="V171" s="507">
        <f t="shared" si="57"/>
        <v>0</v>
      </c>
      <c r="W171" s="507">
        <f t="shared" si="57"/>
        <v>0</v>
      </c>
      <c r="X171" s="507">
        <f t="shared" si="57"/>
        <v>0</v>
      </c>
      <c r="Y171" s="507">
        <f t="shared" si="57"/>
        <v>0</v>
      </c>
      <c r="Z171" s="507">
        <f t="shared" si="57"/>
        <v>0</v>
      </c>
      <c r="AA171" s="507">
        <f t="shared" si="57"/>
        <v>0</v>
      </c>
      <c r="AB171" s="507">
        <f t="shared" si="57"/>
        <v>0</v>
      </c>
      <c r="AC171" s="507">
        <f t="shared" si="57"/>
        <v>0</v>
      </c>
      <c r="AD171" s="507">
        <f t="shared" si="57"/>
        <v>0</v>
      </c>
      <c r="AE171" s="507">
        <f t="shared" si="57"/>
        <v>0</v>
      </c>
      <c r="AF171" s="507">
        <f t="shared" si="57"/>
        <v>0</v>
      </c>
      <c r="AG171" s="78"/>
      <c r="AH171" s="78"/>
    </row>
    <row r="172" spans="2:34">
      <c r="B172" s="8" t="s">
        <v>397</v>
      </c>
      <c r="C172" s="507">
        <f>C171-C159</f>
        <v>0</v>
      </c>
      <c r="D172" s="507">
        <f>D171-D159</f>
        <v>0</v>
      </c>
      <c r="E172" s="507">
        <f t="shared" ref="E172:AF172" si="58">E171-E159</f>
        <v>0</v>
      </c>
      <c r="F172" s="507">
        <f t="shared" si="58"/>
        <v>0</v>
      </c>
      <c r="G172" s="507">
        <f t="shared" si="58"/>
        <v>0</v>
      </c>
      <c r="H172" s="507">
        <f t="shared" si="58"/>
        <v>0</v>
      </c>
      <c r="I172" s="507">
        <f t="shared" si="58"/>
        <v>0</v>
      </c>
      <c r="J172" s="507">
        <f t="shared" si="58"/>
        <v>0</v>
      </c>
      <c r="K172" s="507">
        <f t="shared" si="58"/>
        <v>0</v>
      </c>
      <c r="L172" s="507">
        <f t="shared" si="58"/>
        <v>0</v>
      </c>
      <c r="M172" s="507">
        <f t="shared" si="58"/>
        <v>0</v>
      </c>
      <c r="N172" s="507">
        <f t="shared" si="58"/>
        <v>0</v>
      </c>
      <c r="O172" s="507">
        <f t="shared" si="58"/>
        <v>0</v>
      </c>
      <c r="P172" s="507">
        <f t="shared" si="58"/>
        <v>0</v>
      </c>
      <c r="Q172" s="507">
        <f t="shared" si="58"/>
        <v>0</v>
      </c>
      <c r="R172" s="507">
        <f t="shared" si="58"/>
        <v>0</v>
      </c>
      <c r="S172" s="507">
        <f t="shared" si="58"/>
        <v>0</v>
      </c>
      <c r="T172" s="507">
        <f t="shared" si="58"/>
        <v>0</v>
      </c>
      <c r="U172" s="507">
        <f t="shared" si="58"/>
        <v>0</v>
      </c>
      <c r="V172" s="507">
        <f t="shared" si="58"/>
        <v>0</v>
      </c>
      <c r="W172" s="507">
        <f t="shared" si="58"/>
        <v>0</v>
      </c>
      <c r="X172" s="507">
        <f t="shared" si="58"/>
        <v>0</v>
      </c>
      <c r="Y172" s="507">
        <f t="shared" si="58"/>
        <v>0</v>
      </c>
      <c r="Z172" s="507">
        <f t="shared" si="58"/>
        <v>0</v>
      </c>
      <c r="AA172" s="507">
        <f t="shared" si="58"/>
        <v>0</v>
      </c>
      <c r="AB172" s="507">
        <f t="shared" si="58"/>
        <v>0</v>
      </c>
      <c r="AC172" s="507">
        <f t="shared" si="58"/>
        <v>0</v>
      </c>
      <c r="AD172" s="507">
        <f t="shared" si="58"/>
        <v>0</v>
      </c>
      <c r="AE172" s="507">
        <f t="shared" si="58"/>
        <v>0</v>
      </c>
      <c r="AF172" s="507">
        <f t="shared" si="58"/>
        <v>0</v>
      </c>
      <c r="AG172" s="78"/>
      <c r="AH172" s="78"/>
    </row>
    <row r="173" spans="2:34">
      <c r="B173" s="8" t="s">
        <v>398</v>
      </c>
      <c r="C173" s="507">
        <f>C172</f>
        <v>0</v>
      </c>
      <c r="D173" s="507">
        <f>C173+D172</f>
        <v>0</v>
      </c>
      <c r="E173" s="507">
        <f t="shared" ref="E173:AF173" si="59">D173+E172</f>
        <v>0</v>
      </c>
      <c r="F173" s="507">
        <f t="shared" si="59"/>
        <v>0</v>
      </c>
      <c r="G173" s="507">
        <f t="shared" si="59"/>
        <v>0</v>
      </c>
      <c r="H173" s="507">
        <f t="shared" si="59"/>
        <v>0</v>
      </c>
      <c r="I173" s="507">
        <f t="shared" si="59"/>
        <v>0</v>
      </c>
      <c r="J173" s="507">
        <f t="shared" si="59"/>
        <v>0</v>
      </c>
      <c r="K173" s="507">
        <f t="shared" si="59"/>
        <v>0</v>
      </c>
      <c r="L173" s="507">
        <f t="shared" si="59"/>
        <v>0</v>
      </c>
      <c r="M173" s="507">
        <f t="shared" si="59"/>
        <v>0</v>
      </c>
      <c r="N173" s="507">
        <f t="shared" si="59"/>
        <v>0</v>
      </c>
      <c r="O173" s="507">
        <f t="shared" si="59"/>
        <v>0</v>
      </c>
      <c r="P173" s="507">
        <f t="shared" si="59"/>
        <v>0</v>
      </c>
      <c r="Q173" s="507">
        <f t="shared" si="59"/>
        <v>0</v>
      </c>
      <c r="R173" s="507">
        <f t="shared" si="59"/>
        <v>0</v>
      </c>
      <c r="S173" s="507">
        <f t="shared" si="59"/>
        <v>0</v>
      </c>
      <c r="T173" s="507">
        <f t="shared" si="59"/>
        <v>0</v>
      </c>
      <c r="U173" s="507">
        <f t="shared" si="59"/>
        <v>0</v>
      </c>
      <c r="V173" s="507">
        <f t="shared" si="59"/>
        <v>0</v>
      </c>
      <c r="W173" s="507">
        <f t="shared" si="59"/>
        <v>0</v>
      </c>
      <c r="X173" s="507">
        <f t="shared" si="59"/>
        <v>0</v>
      </c>
      <c r="Y173" s="507">
        <f t="shared" si="59"/>
        <v>0</v>
      </c>
      <c r="Z173" s="507">
        <f t="shared" si="59"/>
        <v>0</v>
      </c>
      <c r="AA173" s="507">
        <f t="shared" si="59"/>
        <v>0</v>
      </c>
      <c r="AB173" s="507">
        <f t="shared" si="59"/>
        <v>0</v>
      </c>
      <c r="AC173" s="507">
        <f t="shared" si="59"/>
        <v>0</v>
      </c>
      <c r="AD173" s="507">
        <f t="shared" si="59"/>
        <v>0</v>
      </c>
      <c r="AE173" s="507">
        <f t="shared" si="59"/>
        <v>0</v>
      </c>
      <c r="AF173" s="507">
        <f t="shared" si="59"/>
        <v>0</v>
      </c>
      <c r="AG173" s="78"/>
      <c r="AH173" s="78"/>
    </row>
    <row r="174" spans="2:34">
      <c r="B174" s="1"/>
    </row>
    <row r="175" spans="2:34">
      <c r="B175" s="154" t="s">
        <v>373</v>
      </c>
      <c r="C175" s="489">
        <f>C160+E88-C155</f>
        <v>0</v>
      </c>
      <c r="D175" s="489">
        <f t="shared" ref="D175:AF175" si="60">D160+F88-D155</f>
        <v>0</v>
      </c>
      <c r="E175" s="489">
        <f t="shared" si="60"/>
        <v>0</v>
      </c>
      <c r="F175" s="489">
        <f t="shared" si="60"/>
        <v>0</v>
      </c>
      <c r="G175" s="489">
        <f t="shared" si="60"/>
        <v>0</v>
      </c>
      <c r="H175" s="489">
        <f t="shared" si="60"/>
        <v>0</v>
      </c>
      <c r="I175" s="489">
        <f t="shared" si="60"/>
        <v>0</v>
      </c>
      <c r="J175" s="489">
        <f t="shared" si="60"/>
        <v>0</v>
      </c>
      <c r="K175" s="489">
        <f t="shared" si="60"/>
        <v>0</v>
      </c>
      <c r="L175" s="489">
        <f t="shared" si="60"/>
        <v>0</v>
      </c>
      <c r="M175" s="489">
        <f t="shared" si="60"/>
        <v>0</v>
      </c>
      <c r="N175" s="489">
        <f t="shared" si="60"/>
        <v>0</v>
      </c>
      <c r="O175" s="489">
        <f t="shared" si="60"/>
        <v>0</v>
      </c>
      <c r="P175" s="489">
        <f t="shared" si="60"/>
        <v>0</v>
      </c>
      <c r="Q175" s="489">
        <f t="shared" si="60"/>
        <v>0</v>
      </c>
      <c r="R175" s="489">
        <f t="shared" si="60"/>
        <v>0</v>
      </c>
      <c r="S175" s="489">
        <f t="shared" si="60"/>
        <v>0</v>
      </c>
      <c r="T175" s="489">
        <f t="shared" si="60"/>
        <v>0</v>
      </c>
      <c r="U175" s="489">
        <f t="shared" si="60"/>
        <v>0</v>
      </c>
      <c r="V175" s="489">
        <f t="shared" si="60"/>
        <v>0</v>
      </c>
      <c r="W175" s="489">
        <f t="shared" si="60"/>
        <v>0</v>
      </c>
      <c r="X175" s="489">
        <f t="shared" si="60"/>
        <v>0</v>
      </c>
      <c r="Y175" s="489">
        <f t="shared" si="60"/>
        <v>0</v>
      </c>
      <c r="Z175" s="489">
        <f t="shared" si="60"/>
        <v>0</v>
      </c>
      <c r="AA175" s="489">
        <f t="shared" si="60"/>
        <v>0</v>
      </c>
      <c r="AB175" s="489">
        <f t="shared" si="60"/>
        <v>0</v>
      </c>
      <c r="AC175" s="489">
        <f t="shared" si="60"/>
        <v>0</v>
      </c>
      <c r="AD175" s="489">
        <f t="shared" si="60"/>
        <v>0</v>
      </c>
      <c r="AE175" s="489">
        <f t="shared" si="60"/>
        <v>0</v>
      </c>
      <c r="AF175" s="489">
        <f t="shared" si="60"/>
        <v>0</v>
      </c>
    </row>
    <row r="176" spans="2:34">
      <c r="B176" s="154" t="s">
        <v>374</v>
      </c>
      <c r="C176" s="489">
        <f>C175</f>
        <v>0</v>
      </c>
      <c r="D176" s="489">
        <f>C176+D175+C177</f>
        <v>0</v>
      </c>
      <c r="E176" s="489">
        <f t="shared" ref="E176:AF176" si="61">D176+E175+D177</f>
        <v>0</v>
      </c>
      <c r="F176" s="489">
        <f t="shared" si="61"/>
        <v>0</v>
      </c>
      <c r="G176" s="489">
        <f t="shared" si="61"/>
        <v>0</v>
      </c>
      <c r="H176" s="489">
        <f t="shared" si="61"/>
        <v>0</v>
      </c>
      <c r="I176" s="489">
        <f t="shared" si="61"/>
        <v>0</v>
      </c>
      <c r="J176" s="489">
        <f t="shared" si="61"/>
        <v>0</v>
      </c>
      <c r="K176" s="489">
        <f t="shared" si="61"/>
        <v>0</v>
      </c>
      <c r="L176" s="489">
        <f t="shared" si="61"/>
        <v>0</v>
      </c>
      <c r="M176" s="489">
        <f t="shared" si="61"/>
        <v>0</v>
      </c>
      <c r="N176" s="489">
        <f t="shared" si="61"/>
        <v>0</v>
      </c>
      <c r="O176" s="489">
        <f t="shared" si="61"/>
        <v>0</v>
      </c>
      <c r="P176" s="489">
        <f t="shared" si="61"/>
        <v>0</v>
      </c>
      <c r="Q176" s="489">
        <f t="shared" si="61"/>
        <v>0</v>
      </c>
      <c r="R176" s="489">
        <f t="shared" si="61"/>
        <v>0</v>
      </c>
      <c r="S176" s="489">
        <f t="shared" si="61"/>
        <v>0</v>
      </c>
      <c r="T176" s="489">
        <f t="shared" si="61"/>
        <v>0</v>
      </c>
      <c r="U176" s="489">
        <f t="shared" si="61"/>
        <v>0</v>
      </c>
      <c r="V176" s="489">
        <f t="shared" si="61"/>
        <v>0</v>
      </c>
      <c r="W176" s="489">
        <f t="shared" si="61"/>
        <v>0</v>
      </c>
      <c r="X176" s="489">
        <f t="shared" si="61"/>
        <v>0</v>
      </c>
      <c r="Y176" s="489">
        <f t="shared" si="61"/>
        <v>0</v>
      </c>
      <c r="Z176" s="489">
        <f t="shared" si="61"/>
        <v>0</v>
      </c>
      <c r="AA176" s="489">
        <f t="shared" si="61"/>
        <v>0</v>
      </c>
      <c r="AB176" s="489">
        <f t="shared" si="61"/>
        <v>0</v>
      </c>
      <c r="AC176" s="489">
        <f t="shared" si="61"/>
        <v>0</v>
      </c>
      <c r="AD176" s="489">
        <f t="shared" si="61"/>
        <v>0</v>
      </c>
      <c r="AE176" s="489">
        <f t="shared" si="61"/>
        <v>0</v>
      </c>
      <c r="AF176" s="489">
        <f t="shared" si="61"/>
        <v>0</v>
      </c>
    </row>
    <row r="177" spans="2:32">
      <c r="B177" s="154" t="s">
        <v>375</v>
      </c>
      <c r="C177" s="490">
        <f>IF(C176&lt;0,C176*-1,0)</f>
        <v>0</v>
      </c>
      <c r="D177" s="490">
        <f t="shared" ref="D177:AF177" si="62">IF(D176&lt;0,D176*-1,0)</f>
        <v>0</v>
      </c>
      <c r="E177" s="490">
        <f t="shared" si="62"/>
        <v>0</v>
      </c>
      <c r="F177" s="490">
        <f t="shared" si="62"/>
        <v>0</v>
      </c>
      <c r="G177" s="490">
        <f t="shared" si="62"/>
        <v>0</v>
      </c>
      <c r="H177" s="490">
        <f t="shared" si="62"/>
        <v>0</v>
      </c>
      <c r="I177" s="490">
        <f t="shared" si="62"/>
        <v>0</v>
      </c>
      <c r="J177" s="490">
        <f t="shared" si="62"/>
        <v>0</v>
      </c>
      <c r="K177" s="490">
        <f t="shared" si="62"/>
        <v>0</v>
      </c>
      <c r="L177" s="490">
        <f t="shared" si="62"/>
        <v>0</v>
      </c>
      <c r="M177" s="490">
        <f t="shared" si="62"/>
        <v>0</v>
      </c>
      <c r="N177" s="490">
        <f t="shared" si="62"/>
        <v>0</v>
      </c>
      <c r="O177" s="490">
        <f t="shared" si="62"/>
        <v>0</v>
      </c>
      <c r="P177" s="490">
        <f t="shared" si="62"/>
        <v>0</v>
      </c>
      <c r="Q177" s="490">
        <f t="shared" si="62"/>
        <v>0</v>
      </c>
      <c r="R177" s="490">
        <f t="shared" si="62"/>
        <v>0</v>
      </c>
      <c r="S177" s="490">
        <f t="shared" si="62"/>
        <v>0</v>
      </c>
      <c r="T177" s="490">
        <f t="shared" si="62"/>
        <v>0</v>
      </c>
      <c r="U177" s="490">
        <f t="shared" si="62"/>
        <v>0</v>
      </c>
      <c r="V177" s="490">
        <f t="shared" si="62"/>
        <v>0</v>
      </c>
      <c r="W177" s="490">
        <f t="shared" si="62"/>
        <v>0</v>
      </c>
      <c r="X177" s="490">
        <f t="shared" si="62"/>
        <v>0</v>
      </c>
      <c r="Y177" s="490">
        <f t="shared" si="62"/>
        <v>0</v>
      </c>
      <c r="Z177" s="490">
        <f t="shared" si="62"/>
        <v>0</v>
      </c>
      <c r="AA177" s="490">
        <f t="shared" si="62"/>
        <v>0</v>
      </c>
      <c r="AB177" s="490">
        <f t="shared" si="62"/>
        <v>0</v>
      </c>
      <c r="AC177" s="490">
        <f t="shared" si="62"/>
        <v>0</v>
      </c>
      <c r="AD177" s="490">
        <f t="shared" si="62"/>
        <v>0</v>
      </c>
      <c r="AE177" s="490">
        <f t="shared" si="62"/>
        <v>0</v>
      </c>
      <c r="AF177" s="490">
        <f t="shared" si="62"/>
        <v>0</v>
      </c>
    </row>
    <row r="178" spans="2:32">
      <c r="B178" s="1"/>
    </row>
    <row r="179" spans="2:32" ht="14.4" thickBot="1">
      <c r="B179" s="1"/>
    </row>
    <row r="180" spans="2:32" ht="53.4" thickBot="1">
      <c r="B180" s="500" t="s">
        <v>538</v>
      </c>
    </row>
    <row r="181" spans="2:32" ht="14.4" thickBot="1">
      <c r="B181" s="1"/>
    </row>
    <row r="182" spans="2:32" ht="16.2" customHeight="1">
      <c r="B182" s="298" t="s">
        <v>190</v>
      </c>
    </row>
    <row r="183" spans="2:32" ht="83.4" thickBot="1">
      <c r="B183" s="299" t="s">
        <v>539</v>
      </c>
    </row>
    <row r="184" spans="2:32" ht="16.2" customHeight="1" thickBot="1">
      <c r="B184" s="1"/>
    </row>
    <row r="185" spans="2:32" ht="16.2" customHeight="1">
      <c r="B185" s="300" t="s">
        <v>189</v>
      </c>
      <c r="C185" s="301" t="s">
        <v>192</v>
      </c>
      <c r="D185" s="578" t="s">
        <v>377</v>
      </c>
      <c r="E185" s="578"/>
      <c r="F185" s="579"/>
    </row>
    <row r="186" spans="2:32" ht="28.2" thickBot="1">
      <c r="B186" s="302" t="s">
        <v>378</v>
      </c>
      <c r="C186" s="553"/>
      <c r="D186" s="580"/>
      <c r="E186" s="580"/>
      <c r="F186" s="581"/>
    </row>
  </sheetData>
  <sheetProtection algorithmName="SHA-512" hashValue="wCp+yY1iUSp/jWWHL9Bu4mNLDa+CgHanvy3Jbnimm1LdmSBfmYeIFFOtV5Nlx1dhKPsQeAg6AGAkKCcnBwJEOQ==" saltValue="nW6UqZ8apg07oGiU89ZGYQ==" spinCount="100000" sheet="1" objects="1" scenarios="1"/>
  <mergeCells count="2">
    <mergeCell ref="D185:F185"/>
    <mergeCell ref="D186:F186"/>
  </mergeCells>
  <conditionalFormatting sqref="C154:AF157 C159:AF173">
    <cfRule type="expression" dxfId="157" priority="60">
      <formula>NOT(ISBLANK(C$153))</formula>
    </cfRule>
  </conditionalFormatting>
  <conditionalFormatting sqref="C175:AF176 D177:AF177">
    <cfRule type="expression" dxfId="156" priority="11">
      <formula>NOT(ISBLANK(C$267))</formula>
    </cfRule>
  </conditionalFormatting>
  <conditionalFormatting sqref="C177:AF177">
    <cfRule type="expression" dxfId="155" priority="10">
      <formula>NOT(ISBLANK(C$277))</formula>
    </cfRule>
  </conditionalFormatting>
  <conditionalFormatting sqref="D158:AF158">
    <cfRule type="expression" dxfId="154" priority="13">
      <formula>NOT(ISBLANK(D$74))</formula>
    </cfRule>
  </conditionalFormatting>
  <conditionalFormatting sqref="D175:AF175">
    <cfRule type="expression" dxfId="153" priority="14">
      <formula>NOT(ISBLANK(D$265))</formula>
    </cfRule>
  </conditionalFormatting>
  <conditionalFormatting sqref="E89:AH89">
    <cfRule type="expression" dxfId="152" priority="72">
      <formula>NOT(ISBLANK(E$86))</formula>
    </cfRule>
  </conditionalFormatting>
  <conditionalFormatting sqref="E113:AH118">
    <cfRule type="expression" dxfId="151" priority="64">
      <formula>NOT(ISBLANK(E$110))</formula>
    </cfRule>
  </conditionalFormatting>
  <conditionalFormatting sqref="E124:AH129">
    <cfRule type="expression" dxfId="150" priority="27">
      <formula>NOT(ISBLANK(E$123))</formula>
    </cfRule>
  </conditionalFormatting>
  <conditionalFormatting sqref="E130:AH130">
    <cfRule type="expression" dxfId="149" priority="26">
      <formula>NOT(ISBLANK(E$123))</formula>
    </cfRule>
  </conditionalFormatting>
  <conditionalFormatting sqref="F75:AH75">
    <cfRule type="expression" dxfId="148" priority="1">
      <formula>NOT(ISBLANK(F$74))</formula>
    </cfRule>
  </conditionalFormatting>
  <conditionalFormatting sqref="F81:AH81">
    <cfRule type="expression" dxfId="147" priority="2">
      <formula>NOT(ISBLANK(F$74))</formula>
    </cfRule>
  </conditionalFormatting>
  <conditionalFormatting sqref="F87:AH88">
    <cfRule type="expression" dxfId="146" priority="3">
      <formula>NOT(ISBLANK(F$74))</formula>
    </cfRule>
  </conditionalFormatting>
  <conditionalFormatting sqref="F95:AH99">
    <cfRule type="expression" dxfId="145" priority="5">
      <formula>NOT(ISBLANK(F$74))</formula>
    </cfRule>
  </conditionalFormatting>
  <dataValidations count="1">
    <dataValidation type="list" allowBlank="1" showInputMessage="1" showErrorMessage="1" sqref="C186" xr:uid="{E2BD5E69-E8AE-467A-9B15-A7EE548162A4}">
      <formula1>i_n_list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44D1-B1F9-4A5F-9302-38D9C4501B3E}">
  <sheetPr codeName="Munka31">
    <tabColor rgb="FF0070C0"/>
  </sheetPr>
  <dimension ref="A1:AH188"/>
  <sheetViews>
    <sheetView topLeftCell="A147" zoomScale="70" zoomScaleNormal="70" workbookViewId="0">
      <selection activeCell="F179" sqref="F179"/>
    </sheetView>
  </sheetViews>
  <sheetFormatPr defaultColWidth="9.19921875" defaultRowHeight="13.8"/>
  <cols>
    <col min="1" max="1" width="9.19921875" style="47"/>
    <col min="2" max="2" width="56.19921875" style="47" customWidth="1"/>
    <col min="3" max="32" width="18.69921875" style="47" customWidth="1"/>
    <col min="33" max="16384" width="9.19921875" style="47"/>
  </cols>
  <sheetData>
    <row r="1" spans="1:5" ht="14.4" thickBot="1"/>
    <row r="2" spans="1:5" ht="14.4" thickBot="1">
      <c r="B2" s="41" t="s">
        <v>548</v>
      </c>
    </row>
    <row r="3" spans="1:5" ht="14.4" thickBot="1">
      <c r="B3" s="1"/>
    </row>
    <row r="4" spans="1:5" ht="79.8" thickBot="1">
      <c r="B4" s="500" t="s">
        <v>549</v>
      </c>
    </row>
    <row r="5" spans="1:5">
      <c r="B5" s="1"/>
    </row>
    <row r="6" spans="1:5">
      <c r="B6" s="1"/>
    </row>
    <row r="7" spans="1:5" s="83" customFormat="1">
      <c r="A7" s="493"/>
      <c r="B7" s="6" t="s">
        <v>489</v>
      </c>
    </row>
    <row r="8" spans="1:5">
      <c r="B8" s="1"/>
    </row>
    <row r="9" spans="1:5">
      <c r="B9" s="1"/>
    </row>
    <row r="10" spans="1:5" ht="27.6">
      <c r="B10" s="8" t="s">
        <v>288</v>
      </c>
      <c r="C10" s="503" t="s">
        <v>506</v>
      </c>
      <c r="D10" s="503" t="s">
        <v>507</v>
      </c>
      <c r="E10" s="503" t="s">
        <v>508</v>
      </c>
    </row>
    <row r="11" spans="1:5">
      <c r="B11" s="10" t="s">
        <v>265</v>
      </c>
      <c r="C11" s="501"/>
      <c r="D11" s="501"/>
      <c r="E11" s="132">
        <f t="shared" ref="E11:E22" si="0">SUM(C11:D11)</f>
        <v>0</v>
      </c>
    </row>
    <row r="12" spans="1:5">
      <c r="B12" s="10" t="s">
        <v>269</v>
      </c>
      <c r="C12" s="501"/>
      <c r="D12" s="501"/>
      <c r="E12" s="132">
        <f t="shared" si="0"/>
        <v>0</v>
      </c>
    </row>
    <row r="13" spans="1:5">
      <c r="B13" s="10" t="s">
        <v>276</v>
      </c>
      <c r="C13" s="501"/>
      <c r="D13" s="501"/>
      <c r="E13" s="132">
        <f t="shared" si="0"/>
        <v>0</v>
      </c>
    </row>
    <row r="14" spans="1:5">
      <c r="B14" s="10" t="s">
        <v>282</v>
      </c>
      <c r="C14" s="501"/>
      <c r="D14" s="501"/>
      <c r="E14" s="132">
        <f t="shared" si="0"/>
        <v>0</v>
      </c>
    </row>
    <row r="15" spans="1:5">
      <c r="B15" s="10" t="s">
        <v>286</v>
      </c>
      <c r="C15" s="501"/>
      <c r="D15" s="501"/>
      <c r="E15" s="132">
        <f t="shared" si="0"/>
        <v>0</v>
      </c>
    </row>
    <row r="16" spans="1:5">
      <c r="B16" s="10" t="s">
        <v>287</v>
      </c>
      <c r="C16" s="501"/>
      <c r="D16" s="501"/>
      <c r="E16" s="132">
        <f t="shared" si="0"/>
        <v>0</v>
      </c>
    </row>
    <row r="17" spans="2:9">
      <c r="B17" s="10" t="s">
        <v>327</v>
      </c>
      <c r="C17" s="501"/>
      <c r="D17" s="501"/>
      <c r="E17" s="132">
        <f t="shared" si="0"/>
        <v>0</v>
      </c>
    </row>
    <row r="18" spans="2:9">
      <c r="B18" s="10" t="s">
        <v>327</v>
      </c>
      <c r="C18" s="501"/>
      <c r="D18" s="501"/>
      <c r="E18" s="132">
        <f t="shared" si="0"/>
        <v>0</v>
      </c>
    </row>
    <row r="19" spans="2:9">
      <c r="B19" s="10" t="s">
        <v>327</v>
      </c>
      <c r="C19" s="501"/>
      <c r="D19" s="501"/>
      <c r="E19" s="132">
        <f t="shared" si="0"/>
        <v>0</v>
      </c>
    </row>
    <row r="20" spans="2:9">
      <c r="B20" s="10" t="s">
        <v>327</v>
      </c>
      <c r="C20" s="501"/>
      <c r="D20" s="501"/>
      <c r="E20" s="132">
        <f t="shared" si="0"/>
        <v>0</v>
      </c>
    </row>
    <row r="21" spans="2:9">
      <c r="B21" s="510" t="s">
        <v>328</v>
      </c>
      <c r="C21" s="502">
        <f>SUM(C11:C15)</f>
        <v>0</v>
      </c>
      <c r="D21" s="502">
        <f>SUM(D11:D15)</f>
        <v>0</v>
      </c>
      <c r="E21" s="133">
        <f t="shared" si="0"/>
        <v>0</v>
      </c>
    </row>
    <row r="22" spans="2:9">
      <c r="B22" s="510" t="s">
        <v>329</v>
      </c>
      <c r="C22" s="13">
        <f>SUM(C11:C20)</f>
        <v>0</v>
      </c>
      <c r="D22" s="13">
        <f>SUM(D11:D20)</f>
        <v>0</v>
      </c>
      <c r="E22" s="133">
        <f t="shared" si="0"/>
        <v>0</v>
      </c>
    </row>
    <row r="23" spans="2:9">
      <c r="B23" s="1"/>
    </row>
    <row r="24" spans="2:9">
      <c r="B24" s="1"/>
    </row>
    <row r="25" spans="2:9">
      <c r="B25" s="8" t="s">
        <v>104</v>
      </c>
      <c r="C25" s="14" t="s">
        <v>325</v>
      </c>
      <c r="D25" s="14" t="s">
        <v>326</v>
      </c>
      <c r="E25" s="491">
        <f>start_year</f>
        <v>2025</v>
      </c>
      <c r="F25" s="491">
        <f>E25+1</f>
        <v>2026</v>
      </c>
      <c r="G25" s="491">
        <f t="shared" ref="G25:I25" si="1">F25+1</f>
        <v>2027</v>
      </c>
      <c r="H25" s="491">
        <f t="shared" si="1"/>
        <v>2028</v>
      </c>
      <c r="I25" s="491">
        <f t="shared" si="1"/>
        <v>2029</v>
      </c>
    </row>
    <row r="26" spans="2:9">
      <c r="B26" s="10" t="s">
        <v>265</v>
      </c>
      <c r="C26" s="11">
        <f>SUM(E26:I26)</f>
        <v>0</v>
      </c>
      <c r="D26" s="11">
        <f>E26+NPV([0]!fdr_áll,F26:I26)</f>
        <v>0</v>
      </c>
      <c r="E26" s="287"/>
      <c r="F26" s="287"/>
      <c r="G26" s="287"/>
      <c r="H26" s="287"/>
      <c r="I26" s="287"/>
    </row>
    <row r="27" spans="2:9">
      <c r="B27" s="10" t="s">
        <v>269</v>
      </c>
      <c r="C27" s="11">
        <f t="shared" ref="C27:C37" si="2">SUM(E27:I27)</f>
        <v>0</v>
      </c>
      <c r="D27" s="11">
        <f>E27+NPV([0]!fdr_áll,F27:I27)</f>
        <v>0</v>
      </c>
      <c r="E27" s="287"/>
      <c r="F27" s="287"/>
      <c r="G27" s="287"/>
      <c r="H27" s="287"/>
      <c r="I27" s="287"/>
    </row>
    <row r="28" spans="2:9">
      <c r="B28" s="10" t="s">
        <v>276</v>
      </c>
      <c r="C28" s="11">
        <f t="shared" si="2"/>
        <v>0</v>
      </c>
      <c r="D28" s="11">
        <f>E28+NPV([0]!fdr_áll,F28:I28)</f>
        <v>0</v>
      </c>
      <c r="E28" s="287"/>
      <c r="F28" s="287"/>
      <c r="G28" s="287"/>
      <c r="H28" s="287"/>
      <c r="I28" s="287"/>
    </row>
    <row r="29" spans="2:9">
      <c r="B29" s="10" t="s">
        <v>282</v>
      </c>
      <c r="C29" s="11">
        <f t="shared" si="2"/>
        <v>0</v>
      </c>
      <c r="D29" s="11">
        <f>E29+NPV([0]!fdr_áll,F29:I29)</f>
        <v>0</v>
      </c>
      <c r="E29" s="287"/>
      <c r="F29" s="287"/>
      <c r="G29" s="287"/>
      <c r="H29" s="287"/>
      <c r="I29" s="287"/>
    </row>
    <row r="30" spans="2:9">
      <c r="B30" s="10" t="s">
        <v>286</v>
      </c>
      <c r="C30" s="11">
        <f t="shared" si="2"/>
        <v>0</v>
      </c>
      <c r="D30" s="11">
        <f>E30+NPV([0]!fdr_áll,F30:I30)</f>
        <v>0</v>
      </c>
      <c r="E30" s="287"/>
      <c r="F30" s="287"/>
      <c r="G30" s="287"/>
      <c r="H30" s="287"/>
      <c r="I30" s="287"/>
    </row>
    <row r="31" spans="2:9">
      <c r="B31" s="10" t="s">
        <v>287</v>
      </c>
      <c r="C31" s="11">
        <f t="shared" si="2"/>
        <v>0</v>
      </c>
      <c r="D31" s="11">
        <f>E31+NPV([0]!fdr_áll,F31:I31)</f>
        <v>0</v>
      </c>
      <c r="E31" s="287"/>
      <c r="F31" s="287"/>
      <c r="G31" s="287"/>
      <c r="H31" s="287"/>
      <c r="I31" s="287"/>
    </row>
    <row r="32" spans="2:9">
      <c r="B32" s="10" t="s">
        <v>327</v>
      </c>
      <c r="C32" s="11">
        <f t="shared" si="2"/>
        <v>0</v>
      </c>
      <c r="D32" s="11">
        <f>E32+NPV([0]!fdr_áll,F32:I32)</f>
        <v>0</v>
      </c>
      <c r="E32" s="287"/>
      <c r="F32" s="287"/>
      <c r="G32" s="287"/>
      <c r="H32" s="287"/>
      <c r="I32" s="287"/>
    </row>
    <row r="33" spans="2:9">
      <c r="B33" s="10" t="s">
        <v>327</v>
      </c>
      <c r="C33" s="11">
        <f t="shared" si="2"/>
        <v>0</v>
      </c>
      <c r="D33" s="11">
        <f>E33+NPV([0]!fdr_áll,F33:I33)</f>
        <v>0</v>
      </c>
      <c r="E33" s="287"/>
      <c r="F33" s="287"/>
      <c r="G33" s="287"/>
      <c r="H33" s="287"/>
      <c r="I33" s="287"/>
    </row>
    <row r="34" spans="2:9">
      <c r="B34" s="10" t="s">
        <v>327</v>
      </c>
      <c r="C34" s="11">
        <f t="shared" si="2"/>
        <v>0</v>
      </c>
      <c r="D34" s="11">
        <f>E34+NPV([0]!fdr_áll,F34:I34)</f>
        <v>0</v>
      </c>
      <c r="E34" s="287"/>
      <c r="F34" s="287"/>
      <c r="G34" s="287"/>
      <c r="H34" s="287"/>
      <c r="I34" s="287"/>
    </row>
    <row r="35" spans="2:9">
      <c r="B35" s="10" t="s">
        <v>327</v>
      </c>
      <c r="C35" s="11">
        <f t="shared" si="2"/>
        <v>0</v>
      </c>
      <c r="D35" s="11">
        <f>E35+NPV([0]!fdr_áll,F35:I35)</f>
        <v>0</v>
      </c>
      <c r="E35" s="287"/>
      <c r="F35" s="287"/>
      <c r="G35" s="287"/>
      <c r="H35" s="287"/>
      <c r="I35" s="287"/>
    </row>
    <row r="36" spans="2:9">
      <c r="B36" s="510" t="s">
        <v>328</v>
      </c>
      <c r="C36" s="13">
        <f t="shared" si="2"/>
        <v>0</v>
      </c>
      <c r="D36" s="13">
        <f>E36+NPV([0]!fdr_áll,F36:I36)</f>
        <v>0</v>
      </c>
      <c r="E36" s="502">
        <f>SUM(E26:E30)</f>
        <v>0</v>
      </c>
      <c r="F36" s="502">
        <f t="shared" ref="F36:I36" si="3">SUM(F26:F30)</f>
        <v>0</v>
      </c>
      <c r="G36" s="502">
        <f t="shared" si="3"/>
        <v>0</v>
      </c>
      <c r="H36" s="502">
        <f t="shared" si="3"/>
        <v>0</v>
      </c>
      <c r="I36" s="502">
        <f t="shared" si="3"/>
        <v>0</v>
      </c>
    </row>
    <row r="37" spans="2:9">
      <c r="B37" s="510" t="s">
        <v>329</v>
      </c>
      <c r="C37" s="13">
        <f t="shared" si="2"/>
        <v>0</v>
      </c>
      <c r="D37" s="13">
        <f>E37+NPV([0]!fdr_áll,F37:I37)</f>
        <v>0</v>
      </c>
      <c r="E37" s="13">
        <f>SUM(E26:E35)</f>
        <v>0</v>
      </c>
      <c r="F37" s="13">
        <f t="shared" ref="F37:I37" si="4">SUM(F26:F35)</f>
        <v>0</v>
      </c>
      <c r="G37" s="13">
        <f t="shared" si="4"/>
        <v>0</v>
      </c>
      <c r="H37" s="13">
        <f t="shared" si="4"/>
        <v>0</v>
      </c>
      <c r="I37" s="13">
        <f t="shared" si="4"/>
        <v>0</v>
      </c>
    </row>
    <row r="38" spans="2:9">
      <c r="B38" s="1"/>
    </row>
    <row r="39" spans="2:9">
      <c r="B39" s="1"/>
    </row>
    <row r="40" spans="2:9">
      <c r="B40" s="8" t="s">
        <v>105</v>
      </c>
      <c r="C40" s="14" t="s">
        <v>325</v>
      </c>
      <c r="D40" s="14" t="s">
        <v>326</v>
      </c>
      <c r="E40" s="491">
        <f>start_year</f>
        <v>2025</v>
      </c>
      <c r="F40" s="491">
        <f>E40+1</f>
        <v>2026</v>
      </c>
      <c r="G40" s="491">
        <f t="shared" ref="G40:I40" si="5">F40+1</f>
        <v>2027</v>
      </c>
      <c r="H40" s="491">
        <f t="shared" si="5"/>
        <v>2028</v>
      </c>
      <c r="I40" s="491">
        <f t="shared" si="5"/>
        <v>2029</v>
      </c>
    </row>
    <row r="41" spans="2:9">
      <c r="B41" s="10" t="s">
        <v>265</v>
      </c>
      <c r="C41" s="11">
        <f>SUM(E41:I41)</f>
        <v>0</v>
      </c>
      <c r="D41" s="11">
        <f>E41+NPV([0]!fdr_áll,F41:I41)</f>
        <v>0</v>
      </c>
      <c r="E41" s="287"/>
      <c r="F41" s="287"/>
      <c r="G41" s="287"/>
      <c r="H41" s="287"/>
      <c r="I41" s="287"/>
    </row>
    <row r="42" spans="2:9">
      <c r="B42" s="10" t="s">
        <v>269</v>
      </c>
      <c r="C42" s="11">
        <f t="shared" ref="C42:C52" si="6">SUM(E42:I42)</f>
        <v>0</v>
      </c>
      <c r="D42" s="11">
        <f>E42+NPV([0]!fdr_áll,F42:I42)</f>
        <v>0</v>
      </c>
      <c r="E42" s="287"/>
      <c r="F42" s="287"/>
      <c r="G42" s="287"/>
      <c r="H42" s="287"/>
      <c r="I42" s="287"/>
    </row>
    <row r="43" spans="2:9">
      <c r="B43" s="10" t="s">
        <v>276</v>
      </c>
      <c r="C43" s="11">
        <f t="shared" si="6"/>
        <v>0</v>
      </c>
      <c r="D43" s="11">
        <f>E43+NPV([0]!fdr_áll,F43:I43)</f>
        <v>0</v>
      </c>
      <c r="E43" s="287"/>
      <c r="F43" s="287"/>
      <c r="G43" s="287"/>
      <c r="H43" s="287"/>
      <c r="I43" s="287"/>
    </row>
    <row r="44" spans="2:9">
      <c r="B44" s="10" t="s">
        <v>282</v>
      </c>
      <c r="C44" s="11">
        <f t="shared" si="6"/>
        <v>0</v>
      </c>
      <c r="D44" s="11">
        <f>E44+NPV([0]!fdr_áll,F44:I44)</f>
        <v>0</v>
      </c>
      <c r="E44" s="287"/>
      <c r="F44" s="287"/>
      <c r="G44" s="287"/>
      <c r="H44" s="287"/>
      <c r="I44" s="287"/>
    </row>
    <row r="45" spans="2:9">
      <c r="B45" s="10" t="s">
        <v>286</v>
      </c>
      <c r="C45" s="11">
        <f t="shared" si="6"/>
        <v>0</v>
      </c>
      <c r="D45" s="11">
        <f>E45+NPV([0]!fdr_áll,F45:I45)</f>
        <v>0</v>
      </c>
      <c r="E45" s="287"/>
      <c r="F45" s="287"/>
      <c r="G45" s="287"/>
      <c r="H45" s="287"/>
      <c r="I45" s="287"/>
    </row>
    <row r="46" spans="2:9">
      <c r="B46" s="10" t="s">
        <v>287</v>
      </c>
      <c r="C46" s="11">
        <f t="shared" si="6"/>
        <v>0</v>
      </c>
      <c r="D46" s="11">
        <f>E46+NPV([0]!fdr_áll,F46:I46)</f>
        <v>0</v>
      </c>
      <c r="E46" s="287"/>
      <c r="F46" s="287"/>
      <c r="G46" s="287"/>
      <c r="H46" s="287"/>
      <c r="I46" s="287"/>
    </row>
    <row r="47" spans="2:9">
      <c r="B47" s="10" t="s">
        <v>327</v>
      </c>
      <c r="C47" s="11">
        <f t="shared" si="6"/>
        <v>0</v>
      </c>
      <c r="D47" s="11">
        <f>E47+NPV([0]!fdr_áll,F47:I47)</f>
        <v>0</v>
      </c>
      <c r="E47" s="287"/>
      <c r="F47" s="287"/>
      <c r="G47" s="287"/>
      <c r="H47" s="287"/>
      <c r="I47" s="287"/>
    </row>
    <row r="48" spans="2:9">
      <c r="B48" s="10" t="s">
        <v>327</v>
      </c>
      <c r="C48" s="11">
        <f t="shared" si="6"/>
        <v>0</v>
      </c>
      <c r="D48" s="11">
        <f>E48+NPV([0]!fdr_áll,F48:I48)</f>
        <v>0</v>
      </c>
      <c r="E48" s="287"/>
      <c r="F48" s="287"/>
      <c r="G48" s="287"/>
      <c r="H48" s="287"/>
      <c r="I48" s="287"/>
    </row>
    <row r="49" spans="2:9">
      <c r="B49" s="10" t="s">
        <v>327</v>
      </c>
      <c r="C49" s="11">
        <f t="shared" si="6"/>
        <v>0</v>
      </c>
      <c r="D49" s="11">
        <f>E49+NPV([0]!fdr_áll,F49:I49)</f>
        <v>0</v>
      </c>
      <c r="E49" s="287"/>
      <c r="F49" s="287"/>
      <c r="G49" s="287"/>
      <c r="H49" s="287"/>
      <c r="I49" s="287"/>
    </row>
    <row r="50" spans="2:9">
      <c r="B50" s="10" t="s">
        <v>327</v>
      </c>
      <c r="C50" s="11">
        <f t="shared" si="6"/>
        <v>0</v>
      </c>
      <c r="D50" s="11">
        <f>E50+NPV([0]!fdr_áll,F50:I50)</f>
        <v>0</v>
      </c>
      <c r="E50" s="287"/>
      <c r="F50" s="287"/>
      <c r="G50" s="287"/>
      <c r="H50" s="287"/>
      <c r="I50" s="287"/>
    </row>
    <row r="51" spans="2:9">
      <c r="B51" s="510" t="s">
        <v>328</v>
      </c>
      <c r="C51" s="13">
        <f t="shared" si="6"/>
        <v>0</v>
      </c>
      <c r="D51" s="13">
        <f>E51+NPV([0]!fdr_áll,F51:I51)</f>
        <v>0</v>
      </c>
      <c r="E51" s="502">
        <f>SUM(E41:E45)</f>
        <v>0</v>
      </c>
      <c r="F51" s="502">
        <f t="shared" ref="F51:I51" si="7">SUM(F41:F45)</f>
        <v>0</v>
      </c>
      <c r="G51" s="502">
        <f t="shared" si="7"/>
        <v>0</v>
      </c>
      <c r="H51" s="502">
        <f t="shared" si="7"/>
        <v>0</v>
      </c>
      <c r="I51" s="502">
        <f t="shared" si="7"/>
        <v>0</v>
      </c>
    </row>
    <row r="52" spans="2:9">
      <c r="B52" s="510" t="s">
        <v>329</v>
      </c>
      <c r="C52" s="13">
        <f t="shared" si="6"/>
        <v>0</v>
      </c>
      <c r="D52" s="13">
        <f>E52+NPV([0]!fdr_áll,F52:I52)</f>
        <v>0</v>
      </c>
      <c r="E52" s="13">
        <f>SUM(E41:E50)</f>
        <v>0</v>
      </c>
      <c r="F52" s="13">
        <f t="shared" ref="F52:I52" si="8">SUM(F41:F50)</f>
        <v>0</v>
      </c>
      <c r="G52" s="13">
        <f t="shared" si="8"/>
        <v>0</v>
      </c>
      <c r="H52" s="13">
        <f t="shared" si="8"/>
        <v>0</v>
      </c>
      <c r="I52" s="13">
        <f t="shared" si="8"/>
        <v>0</v>
      </c>
    </row>
    <row r="53" spans="2:9">
      <c r="B53" s="1"/>
    </row>
    <row r="54" spans="2:9">
      <c r="B54" s="1"/>
    </row>
    <row r="55" spans="2:9">
      <c r="B55" s="8" t="s">
        <v>331</v>
      </c>
      <c r="C55" s="14" t="s">
        <v>325</v>
      </c>
      <c r="D55" s="14" t="s">
        <v>326</v>
      </c>
      <c r="E55" s="491">
        <f>start_year</f>
        <v>2025</v>
      </c>
      <c r="F55" s="491">
        <f>E55+1</f>
        <v>2026</v>
      </c>
      <c r="G55" s="491">
        <f t="shared" ref="G55:I55" si="9">F55+1</f>
        <v>2027</v>
      </c>
      <c r="H55" s="491">
        <f t="shared" si="9"/>
        <v>2028</v>
      </c>
      <c r="I55" s="491">
        <f t="shared" si="9"/>
        <v>2029</v>
      </c>
    </row>
    <row r="56" spans="2:9">
      <c r="B56" s="10" t="s">
        <v>265</v>
      </c>
      <c r="C56" s="11">
        <f>SUM(E56:I56)</f>
        <v>0</v>
      </c>
      <c r="D56" s="11">
        <f t="shared" ref="D56:D67" si="10">E56+NPV(fdr_áll,F56:I56)</f>
        <v>0</v>
      </c>
      <c r="E56" s="11">
        <f t="shared" ref="E56:I65" si="11">E26+E41</f>
        <v>0</v>
      </c>
      <c r="F56" s="11">
        <f t="shared" si="11"/>
        <v>0</v>
      </c>
      <c r="G56" s="11">
        <f t="shared" si="11"/>
        <v>0</v>
      </c>
      <c r="H56" s="11">
        <f t="shared" si="11"/>
        <v>0</v>
      </c>
      <c r="I56" s="11">
        <f t="shared" si="11"/>
        <v>0</v>
      </c>
    </row>
    <row r="57" spans="2:9">
      <c r="B57" s="10" t="s">
        <v>269</v>
      </c>
      <c r="C57" s="11">
        <f t="shared" ref="C57:C67" si="12">SUM(E57:I57)</f>
        <v>0</v>
      </c>
      <c r="D57" s="11">
        <f t="shared" si="10"/>
        <v>0</v>
      </c>
      <c r="E57" s="11">
        <f t="shared" si="11"/>
        <v>0</v>
      </c>
      <c r="F57" s="11">
        <f t="shared" si="11"/>
        <v>0</v>
      </c>
      <c r="G57" s="11">
        <f t="shared" si="11"/>
        <v>0</v>
      </c>
      <c r="H57" s="11">
        <f t="shared" si="11"/>
        <v>0</v>
      </c>
      <c r="I57" s="11">
        <f t="shared" si="11"/>
        <v>0</v>
      </c>
    </row>
    <row r="58" spans="2:9">
      <c r="B58" s="10" t="s">
        <v>276</v>
      </c>
      <c r="C58" s="11">
        <f t="shared" si="12"/>
        <v>0</v>
      </c>
      <c r="D58" s="11">
        <f t="shared" si="10"/>
        <v>0</v>
      </c>
      <c r="E58" s="11">
        <f t="shared" si="11"/>
        <v>0</v>
      </c>
      <c r="F58" s="11">
        <f t="shared" si="11"/>
        <v>0</v>
      </c>
      <c r="G58" s="11">
        <f t="shared" si="11"/>
        <v>0</v>
      </c>
      <c r="H58" s="11">
        <f t="shared" si="11"/>
        <v>0</v>
      </c>
      <c r="I58" s="11">
        <f t="shared" si="11"/>
        <v>0</v>
      </c>
    </row>
    <row r="59" spans="2:9">
      <c r="B59" s="10" t="s">
        <v>282</v>
      </c>
      <c r="C59" s="11">
        <f t="shared" si="12"/>
        <v>0</v>
      </c>
      <c r="D59" s="11">
        <f t="shared" si="10"/>
        <v>0</v>
      </c>
      <c r="E59" s="11">
        <f t="shared" si="11"/>
        <v>0</v>
      </c>
      <c r="F59" s="11">
        <f t="shared" si="11"/>
        <v>0</v>
      </c>
      <c r="G59" s="11">
        <f t="shared" si="11"/>
        <v>0</v>
      </c>
      <c r="H59" s="11">
        <f t="shared" si="11"/>
        <v>0</v>
      </c>
      <c r="I59" s="11">
        <f t="shared" si="11"/>
        <v>0</v>
      </c>
    </row>
    <row r="60" spans="2:9">
      <c r="B60" s="10" t="s">
        <v>286</v>
      </c>
      <c r="C60" s="11">
        <f t="shared" si="12"/>
        <v>0</v>
      </c>
      <c r="D60" s="11">
        <f t="shared" si="10"/>
        <v>0</v>
      </c>
      <c r="E60" s="11">
        <f t="shared" si="11"/>
        <v>0</v>
      </c>
      <c r="F60" s="11">
        <f t="shared" si="11"/>
        <v>0</v>
      </c>
      <c r="G60" s="11">
        <f t="shared" si="11"/>
        <v>0</v>
      </c>
      <c r="H60" s="11">
        <f t="shared" si="11"/>
        <v>0</v>
      </c>
      <c r="I60" s="11">
        <f t="shared" si="11"/>
        <v>0</v>
      </c>
    </row>
    <row r="61" spans="2:9">
      <c r="B61" s="10" t="s">
        <v>287</v>
      </c>
      <c r="C61" s="11">
        <f t="shared" si="12"/>
        <v>0</v>
      </c>
      <c r="D61" s="11">
        <f t="shared" si="10"/>
        <v>0</v>
      </c>
      <c r="E61" s="11">
        <f t="shared" si="11"/>
        <v>0</v>
      </c>
      <c r="F61" s="11">
        <f t="shared" si="11"/>
        <v>0</v>
      </c>
      <c r="G61" s="11">
        <f t="shared" si="11"/>
        <v>0</v>
      </c>
      <c r="H61" s="11">
        <f t="shared" si="11"/>
        <v>0</v>
      </c>
      <c r="I61" s="11">
        <f t="shared" si="11"/>
        <v>0</v>
      </c>
    </row>
    <row r="62" spans="2:9">
      <c r="B62" s="10" t="s">
        <v>327</v>
      </c>
      <c r="C62" s="11">
        <f t="shared" si="12"/>
        <v>0</v>
      </c>
      <c r="D62" s="11">
        <f t="shared" si="10"/>
        <v>0</v>
      </c>
      <c r="E62" s="11">
        <f t="shared" si="11"/>
        <v>0</v>
      </c>
      <c r="F62" s="11">
        <f t="shared" si="11"/>
        <v>0</v>
      </c>
      <c r="G62" s="11">
        <f t="shared" si="11"/>
        <v>0</v>
      </c>
      <c r="H62" s="11">
        <f t="shared" si="11"/>
        <v>0</v>
      </c>
      <c r="I62" s="11">
        <f t="shared" si="11"/>
        <v>0</v>
      </c>
    </row>
    <row r="63" spans="2:9">
      <c r="B63" s="10" t="s">
        <v>327</v>
      </c>
      <c r="C63" s="11">
        <f t="shared" si="12"/>
        <v>0</v>
      </c>
      <c r="D63" s="11">
        <f t="shared" si="10"/>
        <v>0</v>
      </c>
      <c r="E63" s="11">
        <f t="shared" si="11"/>
        <v>0</v>
      </c>
      <c r="F63" s="11">
        <f t="shared" si="11"/>
        <v>0</v>
      </c>
      <c r="G63" s="11">
        <f t="shared" si="11"/>
        <v>0</v>
      </c>
      <c r="H63" s="11">
        <f t="shared" si="11"/>
        <v>0</v>
      </c>
      <c r="I63" s="11">
        <f t="shared" si="11"/>
        <v>0</v>
      </c>
    </row>
    <row r="64" spans="2:9">
      <c r="B64" s="10" t="s">
        <v>327</v>
      </c>
      <c r="C64" s="11">
        <f t="shared" si="12"/>
        <v>0</v>
      </c>
      <c r="D64" s="11">
        <f t="shared" si="10"/>
        <v>0</v>
      </c>
      <c r="E64" s="11">
        <f t="shared" si="11"/>
        <v>0</v>
      </c>
      <c r="F64" s="11">
        <f t="shared" si="11"/>
        <v>0</v>
      </c>
      <c r="G64" s="11">
        <f t="shared" si="11"/>
        <v>0</v>
      </c>
      <c r="H64" s="11">
        <f t="shared" si="11"/>
        <v>0</v>
      </c>
      <c r="I64" s="11">
        <f t="shared" si="11"/>
        <v>0</v>
      </c>
    </row>
    <row r="65" spans="1:34">
      <c r="B65" s="10" t="s">
        <v>327</v>
      </c>
      <c r="C65" s="11">
        <f t="shared" si="12"/>
        <v>0</v>
      </c>
      <c r="D65" s="11">
        <f t="shared" si="10"/>
        <v>0</v>
      </c>
      <c r="E65" s="11">
        <f t="shared" si="11"/>
        <v>0</v>
      </c>
      <c r="F65" s="11">
        <f t="shared" si="11"/>
        <v>0</v>
      </c>
      <c r="G65" s="11">
        <f t="shared" si="11"/>
        <v>0</v>
      </c>
      <c r="H65" s="11">
        <f t="shared" si="11"/>
        <v>0</v>
      </c>
      <c r="I65" s="11">
        <f t="shared" si="11"/>
        <v>0</v>
      </c>
    </row>
    <row r="66" spans="1:34">
      <c r="B66" s="510" t="s">
        <v>328</v>
      </c>
      <c r="C66" s="13">
        <f t="shared" si="12"/>
        <v>0</v>
      </c>
      <c r="D66" s="13">
        <f t="shared" si="10"/>
        <v>0</v>
      </c>
      <c r="E66" s="13">
        <f>SUM(E56:E60,E62:E65)</f>
        <v>0</v>
      </c>
      <c r="F66" s="13">
        <f t="shared" ref="F66:I66" si="13">SUM(F56:F60,F62:F65)</f>
        <v>0</v>
      </c>
      <c r="G66" s="13">
        <f t="shared" si="13"/>
        <v>0</v>
      </c>
      <c r="H66" s="13">
        <f t="shared" si="13"/>
        <v>0</v>
      </c>
      <c r="I66" s="13">
        <f t="shared" si="13"/>
        <v>0</v>
      </c>
    </row>
    <row r="67" spans="1:34">
      <c r="B67" s="510" t="s">
        <v>329</v>
      </c>
      <c r="C67" s="13">
        <f t="shared" si="12"/>
        <v>0</v>
      </c>
      <c r="D67" s="13">
        <f t="shared" si="10"/>
        <v>0</v>
      </c>
      <c r="E67" s="13">
        <f>SUM(E56:E65)</f>
        <v>0</v>
      </c>
      <c r="F67" s="13">
        <f t="shared" ref="F67:I67" si="14">SUM(F56:F65)</f>
        <v>0</v>
      </c>
      <c r="G67" s="13">
        <f t="shared" si="14"/>
        <v>0</v>
      </c>
      <c r="H67" s="13">
        <f t="shared" si="14"/>
        <v>0</v>
      </c>
      <c r="I67" s="13">
        <f t="shared" si="14"/>
        <v>0</v>
      </c>
    </row>
    <row r="68" spans="1:34">
      <c r="B68" s="1"/>
    </row>
    <row r="69" spans="1:34">
      <c r="B69" s="1"/>
    </row>
    <row r="70" spans="1:34" s="83" customFormat="1">
      <c r="A70" s="493"/>
      <c r="B70" s="6" t="s">
        <v>301</v>
      </c>
    </row>
    <row r="71" spans="1:34">
      <c r="B71" s="1"/>
    </row>
    <row r="72" spans="1:34">
      <c r="B72" s="14" t="s">
        <v>479</v>
      </c>
      <c r="C72" s="14" t="s">
        <v>325</v>
      </c>
      <c r="D72" s="14" t="s">
        <v>326</v>
      </c>
      <c r="E72" s="491">
        <f>start_year</f>
        <v>2025</v>
      </c>
      <c r="F72" s="491">
        <f>E72+1</f>
        <v>2026</v>
      </c>
      <c r="G72" s="491">
        <f t="shared" ref="G72:AH72" si="15">F72+1</f>
        <v>2027</v>
      </c>
      <c r="H72" s="491">
        <f t="shared" si="15"/>
        <v>2028</v>
      </c>
      <c r="I72" s="491">
        <f t="shared" si="15"/>
        <v>2029</v>
      </c>
      <c r="J72" s="491">
        <f t="shared" si="15"/>
        <v>2030</v>
      </c>
      <c r="K72" s="491">
        <f t="shared" si="15"/>
        <v>2031</v>
      </c>
      <c r="L72" s="491">
        <f t="shared" si="15"/>
        <v>2032</v>
      </c>
      <c r="M72" s="491">
        <f t="shared" si="15"/>
        <v>2033</v>
      </c>
      <c r="N72" s="491">
        <f t="shared" si="15"/>
        <v>2034</v>
      </c>
      <c r="O72" s="491">
        <f t="shared" si="15"/>
        <v>2035</v>
      </c>
      <c r="P72" s="491">
        <f t="shared" si="15"/>
        <v>2036</v>
      </c>
      <c r="Q72" s="491">
        <f t="shared" si="15"/>
        <v>2037</v>
      </c>
      <c r="R72" s="491">
        <f t="shared" si="15"/>
        <v>2038</v>
      </c>
      <c r="S72" s="491">
        <f t="shared" si="15"/>
        <v>2039</v>
      </c>
      <c r="T72" s="491">
        <f t="shared" si="15"/>
        <v>2040</v>
      </c>
      <c r="U72" s="491">
        <f t="shared" si="15"/>
        <v>2041</v>
      </c>
      <c r="V72" s="491">
        <f t="shared" si="15"/>
        <v>2042</v>
      </c>
      <c r="W72" s="491">
        <f t="shared" si="15"/>
        <v>2043</v>
      </c>
      <c r="X72" s="491">
        <f t="shared" si="15"/>
        <v>2044</v>
      </c>
      <c r="Y72" s="491">
        <f t="shared" si="15"/>
        <v>2045</v>
      </c>
      <c r="Z72" s="491">
        <f t="shared" si="15"/>
        <v>2046</v>
      </c>
      <c r="AA72" s="491">
        <f t="shared" si="15"/>
        <v>2047</v>
      </c>
      <c r="AB72" s="491">
        <f t="shared" si="15"/>
        <v>2048</v>
      </c>
      <c r="AC72" s="491">
        <f t="shared" si="15"/>
        <v>2049</v>
      </c>
      <c r="AD72" s="491">
        <f t="shared" si="15"/>
        <v>2050</v>
      </c>
      <c r="AE72" s="491">
        <f t="shared" si="15"/>
        <v>2051</v>
      </c>
      <c r="AF72" s="491">
        <f t="shared" si="15"/>
        <v>2052</v>
      </c>
      <c r="AG72" s="491">
        <f t="shared" si="15"/>
        <v>2053</v>
      </c>
      <c r="AH72" s="491">
        <f t="shared" si="15"/>
        <v>2054</v>
      </c>
    </row>
    <row r="73" spans="1:34">
      <c r="B73" s="8" t="s">
        <v>550</v>
      </c>
      <c r="C73" s="11">
        <f>SUM(E73:AH73)</f>
        <v>0</v>
      </c>
      <c r="D73" s="11">
        <f>E73+NPV(fdr_áll,F73:AH73)</f>
        <v>0</v>
      </c>
      <c r="E73" s="287"/>
      <c r="F73" s="287"/>
      <c r="G73" s="287"/>
      <c r="H73" s="287"/>
      <c r="I73" s="287"/>
      <c r="J73" s="287"/>
      <c r="K73" s="287"/>
      <c r="L73" s="287"/>
      <c r="M73" s="287"/>
      <c r="N73" s="287"/>
      <c r="O73" s="287"/>
      <c r="P73" s="287"/>
      <c r="Q73" s="287"/>
      <c r="R73" s="287"/>
      <c r="S73" s="287"/>
      <c r="T73" s="287"/>
      <c r="U73" s="287"/>
      <c r="V73" s="287"/>
      <c r="W73" s="287"/>
      <c r="X73" s="287"/>
      <c r="Y73" s="287"/>
      <c r="Z73" s="287"/>
      <c r="AA73" s="287"/>
      <c r="AB73" s="287"/>
      <c r="AC73" s="287"/>
      <c r="AD73" s="287"/>
      <c r="AE73" s="287"/>
      <c r="AF73" s="287"/>
      <c r="AG73" s="287"/>
      <c r="AH73" s="287"/>
    </row>
    <row r="74" spans="1:34" ht="14.4" thickBot="1">
      <c r="B74" s="1"/>
    </row>
    <row r="75" spans="1:34" ht="27" thickBot="1">
      <c r="B75" s="500" t="s">
        <v>551</v>
      </c>
    </row>
    <row r="76" spans="1:34">
      <c r="B76" s="1"/>
    </row>
    <row r="77" spans="1:34" s="83" customFormat="1">
      <c r="A77" s="493"/>
      <c r="B77" s="6" t="s">
        <v>509</v>
      </c>
    </row>
    <row r="78" spans="1:34">
      <c r="B78" s="1"/>
    </row>
    <row r="79" spans="1:34">
      <c r="B79" s="14" t="s">
        <v>479</v>
      </c>
      <c r="C79" s="14" t="s">
        <v>325</v>
      </c>
      <c r="D79" s="14" t="s">
        <v>326</v>
      </c>
      <c r="E79" s="491">
        <f>start_year</f>
        <v>2025</v>
      </c>
      <c r="F79" s="491">
        <f>E79+1</f>
        <v>2026</v>
      </c>
      <c r="G79" s="491">
        <f t="shared" ref="G79:AH79" si="16">F79+1</f>
        <v>2027</v>
      </c>
      <c r="H79" s="491">
        <f t="shared" si="16"/>
        <v>2028</v>
      </c>
      <c r="I79" s="491">
        <f t="shared" si="16"/>
        <v>2029</v>
      </c>
      <c r="J79" s="491">
        <f t="shared" si="16"/>
        <v>2030</v>
      </c>
      <c r="K79" s="491">
        <f t="shared" si="16"/>
        <v>2031</v>
      </c>
      <c r="L79" s="491">
        <f t="shared" si="16"/>
        <v>2032</v>
      </c>
      <c r="M79" s="491">
        <f t="shared" si="16"/>
        <v>2033</v>
      </c>
      <c r="N79" s="491">
        <f t="shared" si="16"/>
        <v>2034</v>
      </c>
      <c r="O79" s="491">
        <f t="shared" si="16"/>
        <v>2035</v>
      </c>
      <c r="P79" s="491">
        <f t="shared" si="16"/>
        <v>2036</v>
      </c>
      <c r="Q79" s="491">
        <f t="shared" si="16"/>
        <v>2037</v>
      </c>
      <c r="R79" s="491">
        <f t="shared" si="16"/>
        <v>2038</v>
      </c>
      <c r="S79" s="491">
        <f t="shared" si="16"/>
        <v>2039</v>
      </c>
      <c r="T79" s="491">
        <f t="shared" si="16"/>
        <v>2040</v>
      </c>
      <c r="U79" s="491">
        <f t="shared" si="16"/>
        <v>2041</v>
      </c>
      <c r="V79" s="491">
        <f t="shared" si="16"/>
        <v>2042</v>
      </c>
      <c r="W79" s="491">
        <f t="shared" si="16"/>
        <v>2043</v>
      </c>
      <c r="X79" s="491">
        <f t="shared" si="16"/>
        <v>2044</v>
      </c>
      <c r="Y79" s="491">
        <f t="shared" si="16"/>
        <v>2045</v>
      </c>
      <c r="Z79" s="491">
        <f t="shared" si="16"/>
        <v>2046</v>
      </c>
      <c r="AA79" s="491">
        <f t="shared" si="16"/>
        <v>2047</v>
      </c>
      <c r="AB79" s="491">
        <f t="shared" si="16"/>
        <v>2048</v>
      </c>
      <c r="AC79" s="491">
        <f t="shared" si="16"/>
        <v>2049</v>
      </c>
      <c r="AD79" s="491">
        <f t="shared" si="16"/>
        <v>2050</v>
      </c>
      <c r="AE79" s="491">
        <f t="shared" si="16"/>
        <v>2051</v>
      </c>
      <c r="AF79" s="491">
        <f t="shared" si="16"/>
        <v>2052</v>
      </c>
      <c r="AG79" s="491">
        <f t="shared" si="16"/>
        <v>2053</v>
      </c>
      <c r="AH79" s="491">
        <f t="shared" si="16"/>
        <v>2054</v>
      </c>
    </row>
    <row r="80" spans="1:34">
      <c r="B80" s="35" t="s">
        <v>341</v>
      </c>
      <c r="C80" s="11">
        <f>SUM(E80:AH80)</f>
        <v>0</v>
      </c>
      <c r="D80" s="11">
        <f>E80+NPV(fdr_áll,F80:AH80)</f>
        <v>0</v>
      </c>
      <c r="E80" s="287"/>
      <c r="F80" s="287"/>
      <c r="G80" s="287"/>
      <c r="H80" s="287"/>
      <c r="I80" s="287"/>
      <c r="J80" s="287"/>
      <c r="K80" s="287"/>
      <c r="L80" s="287"/>
      <c r="M80" s="287"/>
      <c r="N80" s="287"/>
      <c r="O80" s="287"/>
      <c r="P80" s="287"/>
      <c r="Q80" s="287"/>
      <c r="R80" s="287"/>
      <c r="S80" s="287"/>
      <c r="T80" s="287"/>
      <c r="U80" s="287"/>
      <c r="V80" s="287"/>
      <c r="W80" s="287"/>
      <c r="X80" s="287"/>
      <c r="Y80" s="287"/>
      <c r="Z80" s="287"/>
      <c r="AA80" s="287"/>
      <c r="AB80" s="287"/>
      <c r="AC80" s="287"/>
      <c r="AD80" s="287"/>
      <c r="AE80" s="287"/>
      <c r="AF80" s="287"/>
      <c r="AG80" s="287"/>
      <c r="AH80" s="287"/>
    </row>
    <row r="81" spans="1:34">
      <c r="B81" s="30" t="s">
        <v>342</v>
      </c>
      <c r="C81" s="11">
        <f>SUM(E81:AH81)</f>
        <v>0</v>
      </c>
      <c r="D81" s="11">
        <f>E81+NPV(fdr_áll,F81:AH81)</f>
        <v>0</v>
      </c>
      <c r="E81" s="287"/>
      <c r="F81" s="287"/>
      <c r="G81" s="287"/>
      <c r="H81" s="287"/>
      <c r="I81" s="287"/>
      <c r="J81" s="287"/>
      <c r="K81" s="287"/>
      <c r="L81" s="287"/>
      <c r="M81" s="287"/>
      <c r="N81" s="287"/>
      <c r="O81" s="287"/>
      <c r="P81" s="287"/>
      <c r="Q81" s="287"/>
      <c r="R81" s="287"/>
      <c r="S81" s="287"/>
      <c r="T81" s="287"/>
      <c r="U81" s="287"/>
      <c r="V81" s="287"/>
      <c r="W81" s="287"/>
      <c r="X81" s="287"/>
      <c r="Y81" s="287"/>
      <c r="Z81" s="287"/>
      <c r="AA81" s="287"/>
      <c r="AB81" s="287"/>
      <c r="AC81" s="287"/>
      <c r="AD81" s="287"/>
      <c r="AE81" s="287"/>
      <c r="AF81" s="287"/>
      <c r="AG81" s="287"/>
      <c r="AH81" s="287"/>
    </row>
    <row r="82" spans="1:34">
      <c r="B82" s="35" t="s">
        <v>343</v>
      </c>
      <c r="C82" s="13">
        <f>SUM(E82:AH82)</f>
        <v>0</v>
      </c>
      <c r="D82" s="13">
        <f>E82+NPV(fdr_áll,F82:AH82)</f>
        <v>0</v>
      </c>
      <c r="E82" s="507">
        <f>SUM(E80:E81)</f>
        <v>0</v>
      </c>
      <c r="F82" s="507">
        <f t="shared" ref="F82:AH82" si="17">SUM(F80:F81)</f>
        <v>0</v>
      </c>
      <c r="G82" s="507">
        <f t="shared" si="17"/>
        <v>0</v>
      </c>
      <c r="H82" s="507">
        <f t="shared" si="17"/>
        <v>0</v>
      </c>
      <c r="I82" s="507">
        <f t="shared" si="17"/>
        <v>0</v>
      </c>
      <c r="J82" s="507">
        <f t="shared" si="17"/>
        <v>0</v>
      </c>
      <c r="K82" s="507">
        <f t="shared" si="17"/>
        <v>0</v>
      </c>
      <c r="L82" s="507">
        <f t="shared" si="17"/>
        <v>0</v>
      </c>
      <c r="M82" s="507">
        <f t="shared" si="17"/>
        <v>0</v>
      </c>
      <c r="N82" s="507">
        <f t="shared" si="17"/>
        <v>0</v>
      </c>
      <c r="O82" s="507">
        <f t="shared" si="17"/>
        <v>0</v>
      </c>
      <c r="P82" s="507">
        <f t="shared" si="17"/>
        <v>0</v>
      </c>
      <c r="Q82" s="507">
        <f t="shared" si="17"/>
        <v>0</v>
      </c>
      <c r="R82" s="507">
        <f t="shared" si="17"/>
        <v>0</v>
      </c>
      <c r="S82" s="507">
        <f t="shared" si="17"/>
        <v>0</v>
      </c>
      <c r="T82" s="507">
        <f t="shared" si="17"/>
        <v>0</v>
      </c>
      <c r="U82" s="507">
        <f t="shared" si="17"/>
        <v>0</v>
      </c>
      <c r="V82" s="507">
        <f t="shared" si="17"/>
        <v>0</v>
      </c>
      <c r="W82" s="507">
        <f t="shared" si="17"/>
        <v>0</v>
      </c>
      <c r="X82" s="507">
        <f t="shared" si="17"/>
        <v>0</v>
      </c>
      <c r="Y82" s="507">
        <f t="shared" si="17"/>
        <v>0</v>
      </c>
      <c r="Z82" s="507">
        <f t="shared" si="17"/>
        <v>0</v>
      </c>
      <c r="AA82" s="507">
        <f t="shared" si="17"/>
        <v>0</v>
      </c>
      <c r="AB82" s="507">
        <f t="shared" si="17"/>
        <v>0</v>
      </c>
      <c r="AC82" s="507">
        <f t="shared" si="17"/>
        <v>0</v>
      </c>
      <c r="AD82" s="507">
        <f t="shared" si="17"/>
        <v>0</v>
      </c>
      <c r="AE82" s="507">
        <f t="shared" si="17"/>
        <v>0</v>
      </c>
      <c r="AF82" s="507">
        <f t="shared" si="17"/>
        <v>0</v>
      </c>
      <c r="AG82" s="507">
        <f t="shared" si="17"/>
        <v>0</v>
      </c>
      <c r="AH82" s="507">
        <f t="shared" si="17"/>
        <v>0</v>
      </c>
    </row>
    <row r="83" spans="1:34" ht="14.4" thickBot="1">
      <c r="B83" s="1"/>
    </row>
    <row r="84" spans="1:34" ht="40.200000000000003" thickBot="1">
      <c r="B84" s="500" t="s">
        <v>552</v>
      </c>
    </row>
    <row r="85" spans="1:34">
      <c r="B85" s="1"/>
    </row>
    <row r="86" spans="1:34" s="83" customFormat="1">
      <c r="A86" s="493"/>
      <c r="B86" s="6" t="s">
        <v>553</v>
      </c>
    </row>
    <row r="87" spans="1:34">
      <c r="B87" s="1"/>
    </row>
    <row r="88" spans="1:34">
      <c r="B88" s="14" t="s">
        <v>479</v>
      </c>
      <c r="C88" s="14" t="s">
        <v>325</v>
      </c>
      <c r="D88" s="14" t="s">
        <v>326</v>
      </c>
      <c r="E88" s="491">
        <f>start_year</f>
        <v>2025</v>
      </c>
      <c r="F88" s="491">
        <f>E88+1</f>
        <v>2026</v>
      </c>
      <c r="G88" s="491">
        <f t="shared" ref="G88:AH88" si="18">F88+1</f>
        <v>2027</v>
      </c>
      <c r="H88" s="491">
        <f t="shared" si="18"/>
        <v>2028</v>
      </c>
      <c r="I88" s="491">
        <f t="shared" si="18"/>
        <v>2029</v>
      </c>
      <c r="J88" s="491">
        <f t="shared" si="18"/>
        <v>2030</v>
      </c>
      <c r="K88" s="491">
        <f t="shared" si="18"/>
        <v>2031</v>
      </c>
      <c r="L88" s="491">
        <f t="shared" si="18"/>
        <v>2032</v>
      </c>
      <c r="M88" s="491">
        <f t="shared" si="18"/>
        <v>2033</v>
      </c>
      <c r="N88" s="491">
        <f t="shared" si="18"/>
        <v>2034</v>
      </c>
      <c r="O88" s="491">
        <f t="shared" si="18"/>
        <v>2035</v>
      </c>
      <c r="P88" s="491">
        <f t="shared" si="18"/>
        <v>2036</v>
      </c>
      <c r="Q88" s="491">
        <f t="shared" si="18"/>
        <v>2037</v>
      </c>
      <c r="R88" s="491">
        <f t="shared" si="18"/>
        <v>2038</v>
      </c>
      <c r="S88" s="491">
        <f t="shared" si="18"/>
        <v>2039</v>
      </c>
      <c r="T88" s="491">
        <f t="shared" si="18"/>
        <v>2040</v>
      </c>
      <c r="U88" s="491">
        <f t="shared" si="18"/>
        <v>2041</v>
      </c>
      <c r="V88" s="491">
        <f t="shared" si="18"/>
        <v>2042</v>
      </c>
      <c r="W88" s="491">
        <f t="shared" si="18"/>
        <v>2043</v>
      </c>
      <c r="X88" s="491">
        <f t="shared" si="18"/>
        <v>2044</v>
      </c>
      <c r="Y88" s="491">
        <f t="shared" si="18"/>
        <v>2045</v>
      </c>
      <c r="Z88" s="491">
        <f t="shared" si="18"/>
        <v>2046</v>
      </c>
      <c r="AA88" s="491">
        <f t="shared" si="18"/>
        <v>2047</v>
      </c>
      <c r="AB88" s="491">
        <f t="shared" si="18"/>
        <v>2048</v>
      </c>
      <c r="AC88" s="491">
        <f t="shared" si="18"/>
        <v>2049</v>
      </c>
      <c r="AD88" s="491">
        <f t="shared" si="18"/>
        <v>2050</v>
      </c>
      <c r="AE88" s="491">
        <f t="shared" si="18"/>
        <v>2051</v>
      </c>
      <c r="AF88" s="491">
        <f t="shared" si="18"/>
        <v>2052</v>
      </c>
      <c r="AG88" s="491">
        <f t="shared" si="18"/>
        <v>2053</v>
      </c>
      <c r="AH88" s="491">
        <f t="shared" si="18"/>
        <v>2054</v>
      </c>
    </row>
    <row r="89" spans="1:34">
      <c r="B89" s="8" t="s">
        <v>554</v>
      </c>
      <c r="C89" s="11">
        <f>SUM(E89:AH89)</f>
        <v>0</v>
      </c>
      <c r="D89" s="11">
        <f>E89+NPV(fdr_áll,F89:AH89)</f>
        <v>0</v>
      </c>
      <c r="E89" s="264">
        <f>E82-E73</f>
        <v>0</v>
      </c>
      <c r="F89" s="264">
        <f t="shared" ref="F89:AH89" si="19">F82-F73</f>
        <v>0</v>
      </c>
      <c r="G89" s="264">
        <f t="shared" si="19"/>
        <v>0</v>
      </c>
      <c r="H89" s="264">
        <f t="shared" si="19"/>
        <v>0</v>
      </c>
      <c r="I89" s="264">
        <f t="shared" si="19"/>
        <v>0</v>
      </c>
      <c r="J89" s="264">
        <f t="shared" si="19"/>
        <v>0</v>
      </c>
      <c r="K89" s="264">
        <f t="shared" si="19"/>
        <v>0</v>
      </c>
      <c r="L89" s="264">
        <f t="shared" si="19"/>
        <v>0</v>
      </c>
      <c r="M89" s="264">
        <f t="shared" si="19"/>
        <v>0</v>
      </c>
      <c r="N89" s="264">
        <f t="shared" si="19"/>
        <v>0</v>
      </c>
      <c r="O89" s="264">
        <f t="shared" si="19"/>
        <v>0</v>
      </c>
      <c r="P89" s="264">
        <f t="shared" si="19"/>
        <v>0</v>
      </c>
      <c r="Q89" s="264">
        <f t="shared" si="19"/>
        <v>0</v>
      </c>
      <c r="R89" s="264">
        <f t="shared" si="19"/>
        <v>0</v>
      </c>
      <c r="S89" s="264">
        <f t="shared" si="19"/>
        <v>0</v>
      </c>
      <c r="T89" s="264">
        <f t="shared" si="19"/>
        <v>0</v>
      </c>
      <c r="U89" s="264">
        <f t="shared" si="19"/>
        <v>0</v>
      </c>
      <c r="V89" s="264">
        <f t="shared" si="19"/>
        <v>0</v>
      </c>
      <c r="W89" s="264">
        <f t="shared" si="19"/>
        <v>0</v>
      </c>
      <c r="X89" s="264">
        <f t="shared" si="19"/>
        <v>0</v>
      </c>
      <c r="Y89" s="264">
        <f t="shared" si="19"/>
        <v>0</v>
      </c>
      <c r="Z89" s="264">
        <f t="shared" si="19"/>
        <v>0</v>
      </c>
      <c r="AA89" s="264">
        <f t="shared" si="19"/>
        <v>0</v>
      </c>
      <c r="AB89" s="264">
        <f t="shared" si="19"/>
        <v>0</v>
      </c>
      <c r="AC89" s="264">
        <f t="shared" si="19"/>
        <v>0</v>
      </c>
      <c r="AD89" s="264">
        <f t="shared" si="19"/>
        <v>0</v>
      </c>
      <c r="AE89" s="264">
        <f t="shared" si="19"/>
        <v>0</v>
      </c>
      <c r="AF89" s="264">
        <f t="shared" si="19"/>
        <v>0</v>
      </c>
      <c r="AG89" s="264">
        <f t="shared" si="19"/>
        <v>0</v>
      </c>
      <c r="AH89" s="264">
        <f t="shared" si="19"/>
        <v>0</v>
      </c>
    </row>
    <row r="90" spans="1:34">
      <c r="B90" s="1"/>
    </row>
    <row r="91" spans="1:34">
      <c r="B91" s="1"/>
    </row>
    <row r="92" spans="1:34" s="83" customFormat="1">
      <c r="A92" s="493"/>
      <c r="B92" s="6" t="s">
        <v>312</v>
      </c>
    </row>
    <row r="93" spans="1:34">
      <c r="B93" s="1"/>
    </row>
    <row r="94" spans="1:34">
      <c r="B94" s="14" t="s">
        <v>312</v>
      </c>
      <c r="C94" s="14" t="s">
        <v>325</v>
      </c>
      <c r="D94" s="14" t="s">
        <v>326</v>
      </c>
      <c r="E94" s="491">
        <f>start_year</f>
        <v>2025</v>
      </c>
      <c r="F94" s="491">
        <f>E94+1</f>
        <v>2026</v>
      </c>
      <c r="G94" s="491">
        <f t="shared" ref="G94:AH94" si="20">F94+1</f>
        <v>2027</v>
      </c>
      <c r="H94" s="491">
        <f t="shared" si="20"/>
        <v>2028</v>
      </c>
      <c r="I94" s="491">
        <f t="shared" si="20"/>
        <v>2029</v>
      </c>
      <c r="J94" s="491">
        <f t="shared" si="20"/>
        <v>2030</v>
      </c>
      <c r="K94" s="491">
        <f t="shared" si="20"/>
        <v>2031</v>
      </c>
      <c r="L94" s="491">
        <f t="shared" si="20"/>
        <v>2032</v>
      </c>
      <c r="M94" s="491">
        <f t="shared" si="20"/>
        <v>2033</v>
      </c>
      <c r="N94" s="491">
        <f t="shared" si="20"/>
        <v>2034</v>
      </c>
      <c r="O94" s="491">
        <f t="shared" si="20"/>
        <v>2035</v>
      </c>
      <c r="P94" s="491">
        <f t="shared" si="20"/>
        <v>2036</v>
      </c>
      <c r="Q94" s="491">
        <f t="shared" si="20"/>
        <v>2037</v>
      </c>
      <c r="R94" s="491">
        <f t="shared" si="20"/>
        <v>2038</v>
      </c>
      <c r="S94" s="491">
        <f t="shared" si="20"/>
        <v>2039</v>
      </c>
      <c r="T94" s="491">
        <f t="shared" si="20"/>
        <v>2040</v>
      </c>
      <c r="U94" s="491">
        <f t="shared" si="20"/>
        <v>2041</v>
      </c>
      <c r="V94" s="491">
        <f t="shared" si="20"/>
        <v>2042</v>
      </c>
      <c r="W94" s="491">
        <f t="shared" si="20"/>
        <v>2043</v>
      </c>
      <c r="X94" s="491">
        <f t="shared" si="20"/>
        <v>2044</v>
      </c>
      <c r="Y94" s="491">
        <f t="shared" si="20"/>
        <v>2045</v>
      </c>
      <c r="Z94" s="491">
        <f t="shared" si="20"/>
        <v>2046</v>
      </c>
      <c r="AA94" s="491">
        <f t="shared" si="20"/>
        <v>2047</v>
      </c>
      <c r="AB94" s="491">
        <f t="shared" si="20"/>
        <v>2048</v>
      </c>
      <c r="AC94" s="491">
        <f t="shared" si="20"/>
        <v>2049</v>
      </c>
      <c r="AD94" s="491">
        <f t="shared" si="20"/>
        <v>2050</v>
      </c>
      <c r="AE94" s="491">
        <f t="shared" si="20"/>
        <v>2051</v>
      </c>
      <c r="AF94" s="491">
        <f t="shared" si="20"/>
        <v>2052</v>
      </c>
      <c r="AG94" s="491">
        <f t="shared" si="20"/>
        <v>2053</v>
      </c>
      <c r="AH94" s="491">
        <f t="shared" si="20"/>
        <v>2054</v>
      </c>
    </row>
    <row r="95" spans="1:34">
      <c r="B95" s="10" t="s">
        <v>314</v>
      </c>
      <c r="C95" s="11">
        <f>SUM(E95:AH95)</f>
        <v>0</v>
      </c>
      <c r="D95" s="11">
        <f>E95+NPV(fdr_áll,F95:AH95)</f>
        <v>0</v>
      </c>
      <c r="E95" s="287"/>
      <c r="F95" s="287"/>
      <c r="G95" s="287"/>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87"/>
      <c r="AH95" s="287"/>
    </row>
    <row r="96" spans="1:34">
      <c r="B96" s="10" t="s">
        <v>315</v>
      </c>
      <c r="C96" s="11">
        <f>SUM(E96:AH96)</f>
        <v>0</v>
      </c>
      <c r="D96" s="11">
        <f>E96+NPV(fdr_áll,F96:AH96)</f>
        <v>0</v>
      </c>
      <c r="E96" s="287"/>
      <c r="F96" s="287"/>
      <c r="G96" s="287"/>
      <c r="H96" s="287"/>
      <c r="I96" s="287"/>
      <c r="J96" s="287"/>
      <c r="K96" s="287"/>
      <c r="L96" s="287"/>
      <c r="M96" s="287"/>
      <c r="N96" s="287"/>
      <c r="O96" s="287"/>
      <c r="P96" s="287"/>
      <c r="Q96" s="287"/>
      <c r="R96" s="287"/>
      <c r="S96" s="287"/>
      <c r="T96" s="287"/>
      <c r="U96" s="287"/>
      <c r="V96" s="287"/>
      <c r="W96" s="287"/>
      <c r="X96" s="287"/>
      <c r="Y96" s="287"/>
      <c r="Z96" s="287"/>
      <c r="AA96" s="287"/>
      <c r="AB96" s="287"/>
      <c r="AC96" s="287"/>
      <c r="AD96" s="287"/>
      <c r="AE96" s="287"/>
      <c r="AF96" s="287"/>
      <c r="AG96" s="287"/>
      <c r="AH96" s="287"/>
    </row>
    <row r="97" spans="1:34">
      <c r="B97" s="10" t="s">
        <v>316</v>
      </c>
      <c r="C97" s="11">
        <f>SUM(E97:AH97)</f>
        <v>0</v>
      </c>
      <c r="D97" s="11">
        <f>E97+NPV(fdr_áll,F97:AH97)</f>
        <v>0</v>
      </c>
      <c r="E97" s="287"/>
      <c r="F97" s="287"/>
      <c r="G97" s="287"/>
      <c r="H97" s="287"/>
      <c r="I97" s="287"/>
      <c r="J97" s="287"/>
      <c r="K97" s="287"/>
      <c r="L97" s="287"/>
      <c r="M97" s="287"/>
      <c r="N97" s="287"/>
      <c r="O97" s="287"/>
      <c r="P97" s="287"/>
      <c r="Q97" s="287"/>
      <c r="R97" s="287"/>
      <c r="S97" s="287"/>
      <c r="T97" s="287"/>
      <c r="U97" s="287"/>
      <c r="V97" s="287"/>
      <c r="W97" s="287"/>
      <c r="X97" s="287"/>
      <c r="Y97" s="287"/>
      <c r="Z97" s="287"/>
      <c r="AA97" s="287"/>
      <c r="AB97" s="287"/>
      <c r="AC97" s="287"/>
      <c r="AD97" s="287"/>
      <c r="AE97" s="287"/>
      <c r="AF97" s="287"/>
      <c r="AG97" s="287"/>
      <c r="AH97" s="287"/>
    </row>
    <row r="98" spans="1:34">
      <c r="B98" s="10" t="s">
        <v>317</v>
      </c>
      <c r="C98" s="11">
        <f>SUM(E98:AH98)</f>
        <v>0</v>
      </c>
      <c r="D98" s="11">
        <f>E98+NPV(fdr_áll,F98:AH98)</f>
        <v>0</v>
      </c>
      <c r="E98" s="287"/>
      <c r="F98" s="287"/>
      <c r="G98" s="287"/>
      <c r="H98" s="287"/>
      <c r="I98" s="287"/>
      <c r="J98" s="287"/>
      <c r="K98" s="287"/>
      <c r="L98" s="287"/>
      <c r="M98" s="287"/>
      <c r="N98" s="287"/>
      <c r="O98" s="287"/>
      <c r="P98" s="287"/>
      <c r="Q98" s="287"/>
      <c r="R98" s="287"/>
      <c r="S98" s="287"/>
      <c r="T98" s="287"/>
      <c r="U98" s="287"/>
      <c r="V98" s="287"/>
      <c r="W98" s="287"/>
      <c r="X98" s="287"/>
      <c r="Y98" s="287"/>
      <c r="Z98" s="287"/>
      <c r="AA98" s="287"/>
      <c r="AB98" s="287"/>
      <c r="AC98" s="287"/>
      <c r="AD98" s="287"/>
      <c r="AE98" s="287"/>
      <c r="AF98" s="287"/>
      <c r="AG98" s="287"/>
      <c r="AH98" s="287"/>
    </row>
    <row r="99" spans="1:34">
      <c r="B99" s="10" t="s">
        <v>318</v>
      </c>
      <c r="C99" s="11">
        <f>SUM(E99:AH99)</f>
        <v>0</v>
      </c>
      <c r="D99" s="11">
        <f>E99+NPV(fdr_áll,F99:AH99)</f>
        <v>0</v>
      </c>
      <c r="E99" s="287"/>
      <c r="F99" s="287"/>
      <c r="G99" s="287"/>
      <c r="H99" s="287"/>
      <c r="I99" s="287"/>
      <c r="J99" s="287"/>
      <c r="K99" s="287"/>
      <c r="L99" s="287"/>
      <c r="M99" s="287"/>
      <c r="N99" s="287"/>
      <c r="O99" s="287"/>
      <c r="P99" s="287"/>
      <c r="Q99" s="287"/>
      <c r="R99" s="287"/>
      <c r="S99" s="287"/>
      <c r="T99" s="287"/>
      <c r="U99" s="287"/>
      <c r="V99" s="287"/>
      <c r="W99" s="287"/>
      <c r="X99" s="287"/>
      <c r="Y99" s="287"/>
      <c r="Z99" s="287"/>
      <c r="AA99" s="287"/>
      <c r="AB99" s="287"/>
      <c r="AC99" s="287"/>
      <c r="AD99" s="287"/>
      <c r="AE99" s="287"/>
      <c r="AF99" s="287"/>
      <c r="AG99" s="287"/>
      <c r="AH99" s="287"/>
    </row>
    <row r="100" spans="1:34">
      <c r="B100" s="1"/>
    </row>
    <row r="101" spans="1:34">
      <c r="B101" s="1"/>
    </row>
    <row r="102" spans="1:34" s="83" customFormat="1">
      <c r="A102" s="493"/>
      <c r="B102" s="6" t="s">
        <v>246</v>
      </c>
    </row>
    <row r="103" spans="1:34">
      <c r="B103" s="514"/>
    </row>
    <row r="104" spans="1:34">
      <c r="B104" s="14" t="s">
        <v>246</v>
      </c>
      <c r="C104" s="491">
        <f>last_year</f>
        <v>2044</v>
      </c>
    </row>
    <row r="105" spans="1:34">
      <c r="B105" s="511" t="s">
        <v>332</v>
      </c>
      <c r="C105" s="287"/>
    </row>
    <row r="106" spans="1:34">
      <c r="B106" s="514"/>
    </row>
    <row r="107" spans="1:34">
      <c r="B107" s="1"/>
    </row>
    <row r="108" spans="1:34" s="499" customFormat="1">
      <c r="A108" s="498"/>
      <c r="B108" s="21" t="s">
        <v>519</v>
      </c>
    </row>
    <row r="109" spans="1:34">
      <c r="B109" s="1"/>
    </row>
    <row r="110" spans="1:34">
      <c r="B110" s="39" t="s">
        <v>520</v>
      </c>
      <c r="C110" s="496"/>
      <c r="D110" s="496"/>
      <c r="E110" s="496"/>
      <c r="F110" s="496"/>
      <c r="G110" s="496"/>
      <c r="H110" s="496"/>
      <c r="I110" s="496"/>
      <c r="J110" s="496"/>
      <c r="K110" s="496"/>
      <c r="L110" s="496"/>
      <c r="M110" s="496"/>
      <c r="N110" s="496"/>
      <c r="O110" s="496"/>
      <c r="P110" s="496"/>
      <c r="Q110" s="496"/>
      <c r="R110" s="496"/>
      <c r="S110" s="496"/>
      <c r="T110" s="496"/>
      <c r="U110" s="496"/>
      <c r="V110" s="496"/>
      <c r="W110" s="496"/>
      <c r="X110" s="496"/>
      <c r="Y110" s="496"/>
      <c r="Z110" s="496"/>
      <c r="AA110" s="496"/>
      <c r="AB110" s="496"/>
      <c r="AC110" s="496"/>
      <c r="AD110" s="496"/>
      <c r="AE110" s="496"/>
      <c r="AF110" s="496"/>
      <c r="AG110" s="496"/>
      <c r="AH110" s="496"/>
    </row>
    <row r="111" spans="1:34">
      <c r="B111" s="1"/>
    </row>
    <row r="112" spans="1:34">
      <c r="B112" s="14" t="s">
        <v>335</v>
      </c>
      <c r="C112" s="14" t="s">
        <v>325</v>
      </c>
      <c r="D112" s="14" t="s">
        <v>326</v>
      </c>
      <c r="E112" s="491">
        <f>start_year</f>
        <v>2025</v>
      </c>
      <c r="F112" s="491">
        <f>E112+1</f>
        <v>2026</v>
      </c>
      <c r="G112" s="491">
        <f t="shared" ref="G112:AH112" si="21">F112+1</f>
        <v>2027</v>
      </c>
      <c r="H112" s="491">
        <f t="shared" si="21"/>
        <v>2028</v>
      </c>
      <c r="I112" s="491">
        <f t="shared" si="21"/>
        <v>2029</v>
      </c>
      <c r="J112" s="491">
        <f t="shared" si="21"/>
        <v>2030</v>
      </c>
      <c r="K112" s="491">
        <f t="shared" si="21"/>
        <v>2031</v>
      </c>
      <c r="L112" s="491">
        <f t="shared" si="21"/>
        <v>2032</v>
      </c>
      <c r="M112" s="491">
        <f t="shared" si="21"/>
        <v>2033</v>
      </c>
      <c r="N112" s="491">
        <f t="shared" si="21"/>
        <v>2034</v>
      </c>
      <c r="O112" s="491">
        <f t="shared" si="21"/>
        <v>2035</v>
      </c>
      <c r="P112" s="491">
        <f t="shared" si="21"/>
        <v>2036</v>
      </c>
      <c r="Q112" s="491">
        <f t="shared" si="21"/>
        <v>2037</v>
      </c>
      <c r="R112" s="491">
        <f t="shared" si="21"/>
        <v>2038</v>
      </c>
      <c r="S112" s="491">
        <f t="shared" si="21"/>
        <v>2039</v>
      </c>
      <c r="T112" s="491">
        <f t="shared" si="21"/>
        <v>2040</v>
      </c>
      <c r="U112" s="491">
        <f t="shared" si="21"/>
        <v>2041</v>
      </c>
      <c r="V112" s="491">
        <f t="shared" si="21"/>
        <v>2042</v>
      </c>
      <c r="W112" s="491">
        <f t="shared" si="21"/>
        <v>2043</v>
      </c>
      <c r="X112" s="491">
        <f t="shared" si="21"/>
        <v>2044</v>
      </c>
      <c r="Y112" s="491">
        <f t="shared" si="21"/>
        <v>2045</v>
      </c>
      <c r="Z112" s="491">
        <f t="shared" si="21"/>
        <v>2046</v>
      </c>
      <c r="AA112" s="491">
        <f t="shared" si="21"/>
        <v>2047</v>
      </c>
      <c r="AB112" s="491">
        <f t="shared" si="21"/>
        <v>2048</v>
      </c>
      <c r="AC112" s="491">
        <f t="shared" si="21"/>
        <v>2049</v>
      </c>
      <c r="AD112" s="491">
        <f t="shared" si="21"/>
        <v>2050</v>
      </c>
      <c r="AE112" s="491">
        <f t="shared" si="21"/>
        <v>2051</v>
      </c>
      <c r="AF112" s="491">
        <f t="shared" si="21"/>
        <v>2052</v>
      </c>
      <c r="AG112" s="491">
        <f t="shared" si="21"/>
        <v>2053</v>
      </c>
      <c r="AH112" s="491">
        <f t="shared" si="21"/>
        <v>2054</v>
      </c>
    </row>
    <row r="113" spans="2:34">
      <c r="B113" s="291" t="s">
        <v>336</v>
      </c>
      <c r="C113" s="11">
        <f t="shared" ref="C113:C118" si="22">SUM(E113:AH113)</f>
        <v>0</v>
      </c>
      <c r="D113" s="11">
        <f t="shared" ref="D113:D118" si="23">E113+NPV(fdr_áll,F113:AH113)</f>
        <v>0</v>
      </c>
      <c r="E113" s="264">
        <f>E67</f>
        <v>0</v>
      </c>
      <c r="F113" s="264">
        <f t="shared" ref="F113:I113" si="24">F67</f>
        <v>0</v>
      </c>
      <c r="G113" s="264">
        <f t="shared" si="24"/>
        <v>0</v>
      </c>
      <c r="H113" s="264">
        <f t="shared" si="24"/>
        <v>0</v>
      </c>
      <c r="I113" s="264">
        <f t="shared" si="24"/>
        <v>0</v>
      </c>
      <c r="J113" s="264">
        <v>0</v>
      </c>
      <c r="K113" s="264">
        <v>0</v>
      </c>
      <c r="L113" s="264">
        <v>0</v>
      </c>
      <c r="M113" s="264">
        <v>0</v>
      </c>
      <c r="N113" s="264">
        <v>0</v>
      </c>
      <c r="O113" s="264">
        <v>0</v>
      </c>
      <c r="P113" s="264">
        <v>0</v>
      </c>
      <c r="Q113" s="264">
        <v>0</v>
      </c>
      <c r="R113" s="264">
        <v>0</v>
      </c>
      <c r="S113" s="264">
        <v>0</v>
      </c>
      <c r="T113" s="264">
        <v>0</v>
      </c>
      <c r="U113" s="264">
        <v>0</v>
      </c>
      <c r="V113" s="264">
        <v>0</v>
      </c>
      <c r="W113" s="264">
        <v>0</v>
      </c>
      <c r="X113" s="264">
        <v>0</v>
      </c>
      <c r="Y113" s="264">
        <v>0</v>
      </c>
      <c r="Z113" s="264">
        <v>0</v>
      </c>
      <c r="AA113" s="264">
        <v>0</v>
      </c>
      <c r="AB113" s="264">
        <v>0</v>
      </c>
      <c r="AC113" s="264">
        <v>0</v>
      </c>
      <c r="AD113" s="264">
        <v>0</v>
      </c>
      <c r="AE113" s="264">
        <v>0</v>
      </c>
      <c r="AF113" s="264">
        <v>0</v>
      </c>
      <c r="AG113" s="264">
        <v>0</v>
      </c>
      <c r="AH113" s="264">
        <v>0</v>
      </c>
    </row>
    <row r="114" spans="2:34">
      <c r="B114" s="291" t="s">
        <v>301</v>
      </c>
      <c r="C114" s="11">
        <f t="shared" si="22"/>
        <v>0</v>
      </c>
      <c r="D114" s="11">
        <f t="shared" si="23"/>
        <v>0</v>
      </c>
      <c r="E114" s="264">
        <f>SUM(E115:E116)</f>
        <v>0</v>
      </c>
      <c r="F114" s="264">
        <f t="shared" ref="F114:AH114" si="25">SUM(F115:F116)</f>
        <v>0</v>
      </c>
      <c r="G114" s="264">
        <f t="shared" si="25"/>
        <v>0</v>
      </c>
      <c r="H114" s="264">
        <f t="shared" si="25"/>
        <v>0</v>
      </c>
      <c r="I114" s="264">
        <f t="shared" si="25"/>
        <v>0</v>
      </c>
      <c r="J114" s="264">
        <f t="shared" si="25"/>
        <v>0</v>
      </c>
      <c r="K114" s="264">
        <f t="shared" si="25"/>
        <v>0</v>
      </c>
      <c r="L114" s="264">
        <f t="shared" si="25"/>
        <v>0</v>
      </c>
      <c r="M114" s="264">
        <f t="shared" si="25"/>
        <v>0</v>
      </c>
      <c r="N114" s="264">
        <f t="shared" si="25"/>
        <v>0</v>
      </c>
      <c r="O114" s="264">
        <f t="shared" si="25"/>
        <v>0</v>
      </c>
      <c r="P114" s="264">
        <f t="shared" si="25"/>
        <v>0</v>
      </c>
      <c r="Q114" s="264">
        <f t="shared" si="25"/>
        <v>0</v>
      </c>
      <c r="R114" s="264">
        <f t="shared" si="25"/>
        <v>0</v>
      </c>
      <c r="S114" s="264">
        <f t="shared" si="25"/>
        <v>0</v>
      </c>
      <c r="T114" s="264">
        <f t="shared" si="25"/>
        <v>0</v>
      </c>
      <c r="U114" s="264">
        <f t="shared" si="25"/>
        <v>0</v>
      </c>
      <c r="V114" s="264">
        <f t="shared" si="25"/>
        <v>0</v>
      </c>
      <c r="W114" s="264">
        <f t="shared" si="25"/>
        <v>0</v>
      </c>
      <c r="X114" s="264">
        <f t="shared" si="25"/>
        <v>0</v>
      </c>
      <c r="Y114" s="264">
        <f t="shared" si="25"/>
        <v>0</v>
      </c>
      <c r="Z114" s="264">
        <f t="shared" si="25"/>
        <v>0</v>
      </c>
      <c r="AA114" s="264">
        <f t="shared" si="25"/>
        <v>0</v>
      </c>
      <c r="AB114" s="264">
        <f t="shared" si="25"/>
        <v>0</v>
      </c>
      <c r="AC114" s="264">
        <f t="shared" si="25"/>
        <v>0</v>
      </c>
      <c r="AD114" s="264">
        <f t="shared" si="25"/>
        <v>0</v>
      </c>
      <c r="AE114" s="264">
        <f t="shared" si="25"/>
        <v>0</v>
      </c>
      <c r="AF114" s="264">
        <f t="shared" si="25"/>
        <v>0</v>
      </c>
      <c r="AG114" s="264">
        <f t="shared" si="25"/>
        <v>0</v>
      </c>
      <c r="AH114" s="264">
        <f t="shared" si="25"/>
        <v>0</v>
      </c>
    </row>
    <row r="115" spans="2:34" ht="14.4">
      <c r="B115" s="515" t="s">
        <v>337</v>
      </c>
      <c r="C115" s="24">
        <f t="shared" si="22"/>
        <v>0</v>
      </c>
      <c r="D115" s="24">
        <f t="shared" si="23"/>
        <v>0</v>
      </c>
      <c r="E115" s="287"/>
      <c r="F115" s="287"/>
      <c r="G115" s="287"/>
      <c r="H115" s="287"/>
      <c r="I115" s="287"/>
      <c r="J115" s="287"/>
      <c r="K115" s="287"/>
      <c r="L115" s="287"/>
      <c r="M115" s="287"/>
      <c r="N115" s="287"/>
      <c r="O115" s="287"/>
      <c r="P115" s="287"/>
      <c r="Q115" s="287"/>
      <c r="R115" s="287"/>
      <c r="S115" s="287"/>
      <c r="T115" s="287"/>
      <c r="U115" s="287"/>
      <c r="V115" s="287"/>
      <c r="W115" s="287"/>
      <c r="X115" s="287"/>
      <c r="Y115" s="287"/>
      <c r="Z115" s="287"/>
      <c r="AA115" s="287"/>
      <c r="AB115" s="287"/>
      <c r="AC115" s="287"/>
      <c r="AD115" s="287"/>
      <c r="AE115" s="287"/>
      <c r="AF115" s="287"/>
      <c r="AG115" s="287"/>
      <c r="AH115" s="287"/>
    </row>
    <row r="116" spans="2:34" ht="14.4">
      <c r="B116" s="515" t="s">
        <v>521</v>
      </c>
      <c r="C116" s="24">
        <f t="shared" si="22"/>
        <v>0</v>
      </c>
      <c r="D116" s="24">
        <f t="shared" si="23"/>
        <v>0</v>
      </c>
      <c r="E116" s="287"/>
      <c r="F116" s="287"/>
      <c r="G116" s="287"/>
      <c r="H116" s="287"/>
      <c r="I116" s="287"/>
      <c r="J116" s="287"/>
      <c r="K116" s="287"/>
      <c r="L116" s="287"/>
      <c r="M116" s="287"/>
      <c r="N116" s="287"/>
      <c r="O116" s="287"/>
      <c r="P116" s="287"/>
      <c r="Q116" s="287"/>
      <c r="R116" s="287"/>
      <c r="S116" s="287"/>
      <c r="T116" s="287"/>
      <c r="U116" s="287"/>
      <c r="V116" s="287"/>
      <c r="W116" s="287"/>
      <c r="X116" s="287"/>
      <c r="Y116" s="287"/>
      <c r="Z116" s="287"/>
      <c r="AA116" s="287"/>
      <c r="AB116" s="287"/>
      <c r="AC116" s="287"/>
      <c r="AD116" s="287"/>
      <c r="AE116" s="287"/>
      <c r="AF116" s="287"/>
      <c r="AG116" s="287"/>
      <c r="AH116" s="287"/>
    </row>
    <row r="117" spans="2:34">
      <c r="B117" s="291" t="s">
        <v>246</v>
      </c>
      <c r="C117" s="11">
        <f t="shared" si="22"/>
        <v>0</v>
      </c>
      <c r="D117" s="11">
        <f t="shared" si="23"/>
        <v>0</v>
      </c>
      <c r="E117" s="264">
        <f>IF(E112=$C$104,$C$105,0)</f>
        <v>0</v>
      </c>
      <c r="F117" s="264">
        <f t="shared" ref="F117:AH117" si="26">IF(F112=$C$104,$C$105,0)</f>
        <v>0</v>
      </c>
      <c r="G117" s="264">
        <f t="shared" si="26"/>
        <v>0</v>
      </c>
      <c r="H117" s="264">
        <f t="shared" si="26"/>
        <v>0</v>
      </c>
      <c r="I117" s="264">
        <f t="shared" si="26"/>
        <v>0</v>
      </c>
      <c r="J117" s="264">
        <f t="shared" si="26"/>
        <v>0</v>
      </c>
      <c r="K117" s="264">
        <f t="shared" si="26"/>
        <v>0</v>
      </c>
      <c r="L117" s="264">
        <f t="shared" si="26"/>
        <v>0</v>
      </c>
      <c r="M117" s="264">
        <f t="shared" si="26"/>
        <v>0</v>
      </c>
      <c r="N117" s="264">
        <f t="shared" si="26"/>
        <v>0</v>
      </c>
      <c r="O117" s="264">
        <f t="shared" si="26"/>
        <v>0</v>
      </c>
      <c r="P117" s="264">
        <f t="shared" si="26"/>
        <v>0</v>
      </c>
      <c r="Q117" s="264">
        <f t="shared" si="26"/>
        <v>0</v>
      </c>
      <c r="R117" s="264">
        <f t="shared" si="26"/>
        <v>0</v>
      </c>
      <c r="S117" s="264">
        <f t="shared" si="26"/>
        <v>0</v>
      </c>
      <c r="T117" s="264">
        <f t="shared" si="26"/>
        <v>0</v>
      </c>
      <c r="U117" s="264">
        <f t="shared" si="26"/>
        <v>0</v>
      </c>
      <c r="V117" s="264">
        <f t="shared" si="26"/>
        <v>0</v>
      </c>
      <c r="W117" s="264">
        <f t="shared" si="26"/>
        <v>0</v>
      </c>
      <c r="X117" s="264">
        <f t="shared" si="26"/>
        <v>0</v>
      </c>
      <c r="Y117" s="264">
        <f t="shared" si="26"/>
        <v>0</v>
      </c>
      <c r="Z117" s="264">
        <f t="shared" si="26"/>
        <v>0</v>
      </c>
      <c r="AA117" s="264">
        <f t="shared" si="26"/>
        <v>0</v>
      </c>
      <c r="AB117" s="264">
        <f t="shared" si="26"/>
        <v>0</v>
      </c>
      <c r="AC117" s="264">
        <f t="shared" si="26"/>
        <v>0</v>
      </c>
      <c r="AD117" s="264">
        <f t="shared" si="26"/>
        <v>0</v>
      </c>
      <c r="AE117" s="264">
        <f t="shared" si="26"/>
        <v>0</v>
      </c>
      <c r="AF117" s="264">
        <f t="shared" si="26"/>
        <v>0</v>
      </c>
      <c r="AG117" s="264">
        <f t="shared" si="26"/>
        <v>0</v>
      </c>
      <c r="AH117" s="264">
        <f t="shared" si="26"/>
        <v>0</v>
      </c>
    </row>
    <row r="118" spans="2:34">
      <c r="B118" s="292" t="s">
        <v>288</v>
      </c>
      <c r="C118" s="13">
        <f t="shared" si="22"/>
        <v>0</v>
      </c>
      <c r="D118" s="13">
        <f t="shared" si="23"/>
        <v>0</v>
      </c>
      <c r="E118" s="264">
        <f>SUM(E113:E114)-E117</f>
        <v>0</v>
      </c>
      <c r="F118" s="264">
        <f t="shared" ref="F118:AH118" si="27">SUM(F113:F114)-F117</f>
        <v>0</v>
      </c>
      <c r="G118" s="264">
        <f t="shared" si="27"/>
        <v>0</v>
      </c>
      <c r="H118" s="264">
        <f t="shared" si="27"/>
        <v>0</v>
      </c>
      <c r="I118" s="264">
        <f t="shared" si="27"/>
        <v>0</v>
      </c>
      <c r="J118" s="264">
        <f t="shared" si="27"/>
        <v>0</v>
      </c>
      <c r="K118" s="264">
        <f t="shared" si="27"/>
        <v>0</v>
      </c>
      <c r="L118" s="264">
        <f t="shared" si="27"/>
        <v>0</v>
      </c>
      <c r="M118" s="264">
        <f t="shared" si="27"/>
        <v>0</v>
      </c>
      <c r="N118" s="264">
        <f t="shared" si="27"/>
        <v>0</v>
      </c>
      <c r="O118" s="264">
        <f t="shared" si="27"/>
        <v>0</v>
      </c>
      <c r="P118" s="264">
        <f t="shared" si="27"/>
        <v>0</v>
      </c>
      <c r="Q118" s="264">
        <f t="shared" si="27"/>
        <v>0</v>
      </c>
      <c r="R118" s="264">
        <f t="shared" si="27"/>
        <v>0</v>
      </c>
      <c r="S118" s="264">
        <f t="shared" si="27"/>
        <v>0</v>
      </c>
      <c r="T118" s="264">
        <f t="shared" si="27"/>
        <v>0</v>
      </c>
      <c r="U118" s="264">
        <f t="shared" si="27"/>
        <v>0</v>
      </c>
      <c r="V118" s="264">
        <f t="shared" si="27"/>
        <v>0</v>
      </c>
      <c r="W118" s="264">
        <f t="shared" si="27"/>
        <v>0</v>
      </c>
      <c r="X118" s="264">
        <f t="shared" si="27"/>
        <v>0</v>
      </c>
      <c r="Y118" s="264">
        <f t="shared" si="27"/>
        <v>0</v>
      </c>
      <c r="Z118" s="264">
        <f t="shared" si="27"/>
        <v>0</v>
      </c>
      <c r="AA118" s="264">
        <f t="shared" si="27"/>
        <v>0</v>
      </c>
      <c r="AB118" s="264">
        <f t="shared" si="27"/>
        <v>0</v>
      </c>
      <c r="AC118" s="264">
        <f t="shared" si="27"/>
        <v>0</v>
      </c>
      <c r="AD118" s="264">
        <f t="shared" si="27"/>
        <v>0</v>
      </c>
      <c r="AE118" s="264">
        <f t="shared" si="27"/>
        <v>0</v>
      </c>
      <c r="AF118" s="264">
        <f t="shared" si="27"/>
        <v>0</v>
      </c>
      <c r="AG118" s="264">
        <f t="shared" si="27"/>
        <v>0</v>
      </c>
      <c r="AH118" s="264">
        <f t="shared" si="27"/>
        <v>0</v>
      </c>
    </row>
    <row r="119" spans="2:34">
      <c r="B119" s="1"/>
    </row>
    <row r="120" spans="2:34">
      <c r="B120" s="1"/>
    </row>
    <row r="121" spans="2:34">
      <c r="B121" s="39" t="s">
        <v>522</v>
      </c>
      <c r="C121" s="496"/>
      <c r="D121" s="496"/>
      <c r="E121" s="496"/>
      <c r="F121" s="496"/>
      <c r="G121" s="496"/>
      <c r="H121" s="496"/>
      <c r="I121" s="496"/>
      <c r="J121" s="496"/>
      <c r="K121" s="496"/>
      <c r="L121" s="496"/>
      <c r="M121" s="496"/>
      <c r="N121" s="496"/>
      <c r="O121" s="496"/>
      <c r="P121" s="496"/>
      <c r="Q121" s="496"/>
      <c r="R121" s="496"/>
      <c r="S121" s="496"/>
      <c r="T121" s="496"/>
      <c r="U121" s="496"/>
      <c r="V121" s="496"/>
      <c r="W121" s="496"/>
      <c r="X121" s="496"/>
      <c r="Y121" s="496"/>
      <c r="Z121" s="496"/>
      <c r="AA121" s="496"/>
      <c r="AB121" s="496"/>
      <c r="AC121" s="496"/>
      <c r="AD121" s="496"/>
      <c r="AE121" s="496"/>
      <c r="AF121" s="496"/>
      <c r="AG121" s="496"/>
      <c r="AH121" s="496"/>
    </row>
    <row r="122" spans="2:34">
      <c r="B122" s="1"/>
    </row>
    <row r="123" spans="2:34">
      <c r="B123" s="14" t="s">
        <v>344</v>
      </c>
      <c r="C123" s="14" t="s">
        <v>325</v>
      </c>
      <c r="D123" s="14" t="s">
        <v>326</v>
      </c>
      <c r="E123" s="491">
        <f>start_year</f>
        <v>2025</v>
      </c>
      <c r="F123" s="491">
        <f>E123+1</f>
        <v>2026</v>
      </c>
      <c r="G123" s="491">
        <f t="shared" ref="G123:AH123" si="28">F123+1</f>
        <v>2027</v>
      </c>
      <c r="H123" s="491">
        <f t="shared" si="28"/>
        <v>2028</v>
      </c>
      <c r="I123" s="491">
        <f t="shared" si="28"/>
        <v>2029</v>
      </c>
      <c r="J123" s="491">
        <f t="shared" si="28"/>
        <v>2030</v>
      </c>
      <c r="K123" s="491">
        <f t="shared" si="28"/>
        <v>2031</v>
      </c>
      <c r="L123" s="491">
        <f t="shared" si="28"/>
        <v>2032</v>
      </c>
      <c r="M123" s="491">
        <f t="shared" si="28"/>
        <v>2033</v>
      </c>
      <c r="N123" s="491">
        <f t="shared" si="28"/>
        <v>2034</v>
      </c>
      <c r="O123" s="491">
        <f t="shared" si="28"/>
        <v>2035</v>
      </c>
      <c r="P123" s="491">
        <f t="shared" si="28"/>
        <v>2036</v>
      </c>
      <c r="Q123" s="491">
        <f t="shared" si="28"/>
        <v>2037</v>
      </c>
      <c r="R123" s="491">
        <f t="shared" si="28"/>
        <v>2038</v>
      </c>
      <c r="S123" s="491">
        <f t="shared" si="28"/>
        <v>2039</v>
      </c>
      <c r="T123" s="491">
        <f t="shared" si="28"/>
        <v>2040</v>
      </c>
      <c r="U123" s="491">
        <f t="shared" si="28"/>
        <v>2041</v>
      </c>
      <c r="V123" s="491">
        <f t="shared" si="28"/>
        <v>2042</v>
      </c>
      <c r="W123" s="491">
        <f t="shared" si="28"/>
        <v>2043</v>
      </c>
      <c r="X123" s="491">
        <f t="shared" si="28"/>
        <v>2044</v>
      </c>
      <c r="Y123" s="491">
        <f t="shared" si="28"/>
        <v>2045</v>
      </c>
      <c r="Z123" s="491">
        <f t="shared" si="28"/>
        <v>2046</v>
      </c>
      <c r="AA123" s="491">
        <f t="shared" si="28"/>
        <v>2047</v>
      </c>
      <c r="AB123" s="491">
        <f t="shared" si="28"/>
        <v>2048</v>
      </c>
      <c r="AC123" s="491">
        <f t="shared" si="28"/>
        <v>2049</v>
      </c>
      <c r="AD123" s="491">
        <f t="shared" si="28"/>
        <v>2050</v>
      </c>
      <c r="AE123" s="491">
        <f t="shared" si="28"/>
        <v>2051</v>
      </c>
      <c r="AF123" s="491">
        <f t="shared" si="28"/>
        <v>2052</v>
      </c>
      <c r="AG123" s="491">
        <f t="shared" si="28"/>
        <v>2053</v>
      </c>
      <c r="AH123" s="491">
        <f t="shared" si="28"/>
        <v>2054</v>
      </c>
    </row>
    <row r="124" spans="2:34">
      <c r="B124" s="291" t="s">
        <v>345</v>
      </c>
      <c r="C124" s="11">
        <f t="shared" ref="C124:C130" si="29">SUM(E124:AH124)</f>
        <v>0</v>
      </c>
      <c r="D124" s="11">
        <f t="shared" ref="D124:D130" si="30">E124+NPV(fdr_áll,F124:AH124)</f>
        <v>0</v>
      </c>
      <c r="E124" s="264">
        <f>E113</f>
        <v>0</v>
      </c>
      <c r="F124" s="264">
        <f t="shared" ref="F124:AH124" si="31">F113</f>
        <v>0</v>
      </c>
      <c r="G124" s="264">
        <f t="shared" si="31"/>
        <v>0</v>
      </c>
      <c r="H124" s="264">
        <f t="shared" si="31"/>
        <v>0</v>
      </c>
      <c r="I124" s="264">
        <f t="shared" si="31"/>
        <v>0</v>
      </c>
      <c r="J124" s="264">
        <f t="shared" si="31"/>
        <v>0</v>
      </c>
      <c r="K124" s="264">
        <f t="shared" si="31"/>
        <v>0</v>
      </c>
      <c r="L124" s="264">
        <f t="shared" si="31"/>
        <v>0</v>
      </c>
      <c r="M124" s="264">
        <f t="shared" si="31"/>
        <v>0</v>
      </c>
      <c r="N124" s="264">
        <f t="shared" si="31"/>
        <v>0</v>
      </c>
      <c r="O124" s="264">
        <f t="shared" si="31"/>
        <v>0</v>
      </c>
      <c r="P124" s="264">
        <f t="shared" si="31"/>
        <v>0</v>
      </c>
      <c r="Q124" s="264">
        <f t="shared" si="31"/>
        <v>0</v>
      </c>
      <c r="R124" s="264">
        <f t="shared" si="31"/>
        <v>0</v>
      </c>
      <c r="S124" s="264">
        <f t="shared" si="31"/>
        <v>0</v>
      </c>
      <c r="T124" s="264">
        <f t="shared" si="31"/>
        <v>0</v>
      </c>
      <c r="U124" s="264">
        <f t="shared" si="31"/>
        <v>0</v>
      </c>
      <c r="V124" s="264">
        <f t="shared" si="31"/>
        <v>0</v>
      </c>
      <c r="W124" s="264">
        <f t="shared" si="31"/>
        <v>0</v>
      </c>
      <c r="X124" s="264">
        <f t="shared" si="31"/>
        <v>0</v>
      </c>
      <c r="Y124" s="264">
        <f t="shared" si="31"/>
        <v>0</v>
      </c>
      <c r="Z124" s="264">
        <f t="shared" si="31"/>
        <v>0</v>
      </c>
      <c r="AA124" s="264">
        <f t="shared" si="31"/>
        <v>0</v>
      </c>
      <c r="AB124" s="264">
        <f t="shared" si="31"/>
        <v>0</v>
      </c>
      <c r="AC124" s="264">
        <f t="shared" si="31"/>
        <v>0</v>
      </c>
      <c r="AD124" s="264">
        <f t="shared" si="31"/>
        <v>0</v>
      </c>
      <c r="AE124" s="264">
        <f t="shared" si="31"/>
        <v>0</v>
      </c>
      <c r="AF124" s="264">
        <f t="shared" si="31"/>
        <v>0</v>
      </c>
      <c r="AG124" s="264">
        <f t="shared" si="31"/>
        <v>0</v>
      </c>
      <c r="AH124" s="264">
        <f t="shared" si="31"/>
        <v>0</v>
      </c>
    </row>
    <row r="125" spans="2:34">
      <c r="B125" s="291" t="s">
        <v>346</v>
      </c>
      <c r="C125" s="11">
        <f t="shared" si="29"/>
        <v>0</v>
      </c>
      <c r="D125" s="11">
        <f t="shared" si="30"/>
        <v>0</v>
      </c>
      <c r="E125" s="264">
        <f>E114</f>
        <v>0</v>
      </c>
      <c r="F125" s="264">
        <f t="shared" ref="F125:AH125" si="32">F114</f>
        <v>0</v>
      </c>
      <c r="G125" s="264">
        <f t="shared" si="32"/>
        <v>0</v>
      </c>
      <c r="H125" s="264">
        <f t="shared" si="32"/>
        <v>0</v>
      </c>
      <c r="I125" s="264">
        <f t="shared" si="32"/>
        <v>0</v>
      </c>
      <c r="J125" s="264">
        <f t="shared" si="32"/>
        <v>0</v>
      </c>
      <c r="K125" s="264">
        <f t="shared" si="32"/>
        <v>0</v>
      </c>
      <c r="L125" s="264">
        <f t="shared" si="32"/>
        <v>0</v>
      </c>
      <c r="M125" s="264">
        <f t="shared" si="32"/>
        <v>0</v>
      </c>
      <c r="N125" s="264">
        <f t="shared" si="32"/>
        <v>0</v>
      </c>
      <c r="O125" s="264">
        <f t="shared" si="32"/>
        <v>0</v>
      </c>
      <c r="P125" s="264">
        <f t="shared" si="32"/>
        <v>0</v>
      </c>
      <c r="Q125" s="264">
        <f t="shared" si="32"/>
        <v>0</v>
      </c>
      <c r="R125" s="264">
        <f t="shared" si="32"/>
        <v>0</v>
      </c>
      <c r="S125" s="264">
        <f t="shared" si="32"/>
        <v>0</v>
      </c>
      <c r="T125" s="264">
        <f t="shared" si="32"/>
        <v>0</v>
      </c>
      <c r="U125" s="264">
        <f t="shared" si="32"/>
        <v>0</v>
      </c>
      <c r="V125" s="264">
        <f t="shared" si="32"/>
        <v>0</v>
      </c>
      <c r="W125" s="264">
        <f t="shared" si="32"/>
        <v>0</v>
      </c>
      <c r="X125" s="264">
        <f t="shared" si="32"/>
        <v>0</v>
      </c>
      <c r="Y125" s="264">
        <f t="shared" si="32"/>
        <v>0</v>
      </c>
      <c r="Z125" s="264">
        <f t="shared" si="32"/>
        <v>0</v>
      </c>
      <c r="AA125" s="264">
        <f t="shared" si="32"/>
        <v>0</v>
      </c>
      <c r="AB125" s="264">
        <f t="shared" si="32"/>
        <v>0</v>
      </c>
      <c r="AC125" s="264">
        <f t="shared" si="32"/>
        <v>0</v>
      </c>
      <c r="AD125" s="264">
        <f t="shared" si="32"/>
        <v>0</v>
      </c>
      <c r="AE125" s="264">
        <f t="shared" si="32"/>
        <v>0</v>
      </c>
      <c r="AF125" s="264">
        <f t="shared" si="32"/>
        <v>0</v>
      </c>
      <c r="AG125" s="264">
        <f t="shared" si="32"/>
        <v>0</v>
      </c>
      <c r="AH125" s="264">
        <f t="shared" si="32"/>
        <v>0</v>
      </c>
    </row>
    <row r="126" spans="2:34">
      <c r="B126" s="291" t="s">
        <v>349</v>
      </c>
      <c r="C126" s="11">
        <f t="shared" si="29"/>
        <v>0</v>
      </c>
      <c r="D126" s="11">
        <f t="shared" si="30"/>
        <v>0</v>
      </c>
      <c r="E126" s="264">
        <f>SUM(E124:E125)</f>
        <v>0</v>
      </c>
      <c r="F126" s="264">
        <f t="shared" ref="F126:AH126" si="33">SUM(F124:F125)</f>
        <v>0</v>
      </c>
      <c r="G126" s="264">
        <f t="shared" si="33"/>
        <v>0</v>
      </c>
      <c r="H126" s="264">
        <f t="shared" si="33"/>
        <v>0</v>
      </c>
      <c r="I126" s="264">
        <f t="shared" si="33"/>
        <v>0</v>
      </c>
      <c r="J126" s="264">
        <f t="shared" si="33"/>
        <v>0</v>
      </c>
      <c r="K126" s="264">
        <f t="shared" si="33"/>
        <v>0</v>
      </c>
      <c r="L126" s="264">
        <f t="shared" si="33"/>
        <v>0</v>
      </c>
      <c r="M126" s="264">
        <f t="shared" si="33"/>
        <v>0</v>
      </c>
      <c r="N126" s="264">
        <f t="shared" si="33"/>
        <v>0</v>
      </c>
      <c r="O126" s="264">
        <f t="shared" si="33"/>
        <v>0</v>
      </c>
      <c r="P126" s="264">
        <f t="shared" si="33"/>
        <v>0</v>
      </c>
      <c r="Q126" s="264">
        <f t="shared" si="33"/>
        <v>0</v>
      </c>
      <c r="R126" s="264">
        <f t="shared" si="33"/>
        <v>0</v>
      </c>
      <c r="S126" s="264">
        <f t="shared" si="33"/>
        <v>0</v>
      </c>
      <c r="T126" s="264">
        <f t="shared" si="33"/>
        <v>0</v>
      </c>
      <c r="U126" s="264">
        <f t="shared" si="33"/>
        <v>0</v>
      </c>
      <c r="V126" s="264">
        <f t="shared" si="33"/>
        <v>0</v>
      </c>
      <c r="W126" s="264">
        <f t="shared" si="33"/>
        <v>0</v>
      </c>
      <c r="X126" s="264">
        <f t="shared" si="33"/>
        <v>0</v>
      </c>
      <c r="Y126" s="264">
        <f t="shared" si="33"/>
        <v>0</v>
      </c>
      <c r="Z126" s="264">
        <f t="shared" si="33"/>
        <v>0</v>
      </c>
      <c r="AA126" s="264">
        <f t="shared" si="33"/>
        <v>0</v>
      </c>
      <c r="AB126" s="264">
        <f t="shared" si="33"/>
        <v>0</v>
      </c>
      <c r="AC126" s="264">
        <f t="shared" si="33"/>
        <v>0</v>
      </c>
      <c r="AD126" s="264">
        <f t="shared" si="33"/>
        <v>0</v>
      </c>
      <c r="AE126" s="264">
        <f t="shared" si="33"/>
        <v>0</v>
      </c>
      <c r="AF126" s="264">
        <f t="shared" si="33"/>
        <v>0</v>
      </c>
      <c r="AG126" s="264">
        <f t="shared" si="33"/>
        <v>0</v>
      </c>
      <c r="AH126" s="264">
        <f t="shared" si="33"/>
        <v>0</v>
      </c>
    </row>
    <row r="127" spans="2:34">
      <c r="B127" s="291" t="s">
        <v>350</v>
      </c>
      <c r="C127" s="11">
        <f t="shared" si="29"/>
        <v>0</v>
      </c>
      <c r="D127" s="11">
        <f t="shared" si="30"/>
        <v>0</v>
      </c>
      <c r="E127" s="264">
        <f>E80</f>
        <v>0</v>
      </c>
      <c r="F127" s="264">
        <f t="shared" ref="F127:AH127" si="34">F80</f>
        <v>0</v>
      </c>
      <c r="G127" s="264">
        <f t="shared" si="34"/>
        <v>0</v>
      </c>
      <c r="H127" s="264">
        <f t="shared" si="34"/>
        <v>0</v>
      </c>
      <c r="I127" s="264">
        <f t="shared" si="34"/>
        <v>0</v>
      </c>
      <c r="J127" s="264">
        <f t="shared" si="34"/>
        <v>0</v>
      </c>
      <c r="K127" s="264">
        <f t="shared" si="34"/>
        <v>0</v>
      </c>
      <c r="L127" s="264">
        <f t="shared" si="34"/>
        <v>0</v>
      </c>
      <c r="M127" s="264">
        <f t="shared" si="34"/>
        <v>0</v>
      </c>
      <c r="N127" s="264">
        <f t="shared" si="34"/>
        <v>0</v>
      </c>
      <c r="O127" s="264">
        <f t="shared" si="34"/>
        <v>0</v>
      </c>
      <c r="P127" s="264">
        <f t="shared" si="34"/>
        <v>0</v>
      </c>
      <c r="Q127" s="264">
        <f t="shared" si="34"/>
        <v>0</v>
      </c>
      <c r="R127" s="264">
        <f t="shared" si="34"/>
        <v>0</v>
      </c>
      <c r="S127" s="264">
        <f t="shared" si="34"/>
        <v>0</v>
      </c>
      <c r="T127" s="264">
        <f t="shared" si="34"/>
        <v>0</v>
      </c>
      <c r="U127" s="264">
        <f t="shared" si="34"/>
        <v>0</v>
      </c>
      <c r="V127" s="264">
        <f t="shared" si="34"/>
        <v>0</v>
      </c>
      <c r="W127" s="264">
        <f t="shared" si="34"/>
        <v>0</v>
      </c>
      <c r="X127" s="264">
        <f t="shared" si="34"/>
        <v>0</v>
      </c>
      <c r="Y127" s="264">
        <f t="shared" si="34"/>
        <v>0</v>
      </c>
      <c r="Z127" s="264">
        <f t="shared" si="34"/>
        <v>0</v>
      </c>
      <c r="AA127" s="264">
        <f t="shared" si="34"/>
        <v>0</v>
      </c>
      <c r="AB127" s="264">
        <f t="shared" si="34"/>
        <v>0</v>
      </c>
      <c r="AC127" s="264">
        <f t="shared" si="34"/>
        <v>0</v>
      </c>
      <c r="AD127" s="264">
        <f t="shared" si="34"/>
        <v>0</v>
      </c>
      <c r="AE127" s="264">
        <f t="shared" si="34"/>
        <v>0</v>
      </c>
      <c r="AF127" s="264">
        <f t="shared" si="34"/>
        <v>0</v>
      </c>
      <c r="AG127" s="264">
        <f t="shared" si="34"/>
        <v>0</v>
      </c>
      <c r="AH127" s="264">
        <f t="shared" si="34"/>
        <v>0</v>
      </c>
    </row>
    <row r="128" spans="2:34">
      <c r="B128" s="291" t="s">
        <v>351</v>
      </c>
      <c r="C128" s="11">
        <f t="shared" si="29"/>
        <v>0</v>
      </c>
      <c r="D128" s="11">
        <f t="shared" si="30"/>
        <v>0</v>
      </c>
      <c r="E128" s="264">
        <f>E127</f>
        <v>0</v>
      </c>
      <c r="F128" s="264">
        <f t="shared" ref="F128:AH128" si="35">F127</f>
        <v>0</v>
      </c>
      <c r="G128" s="264">
        <f t="shared" si="35"/>
        <v>0</v>
      </c>
      <c r="H128" s="264">
        <f t="shared" si="35"/>
        <v>0</v>
      </c>
      <c r="I128" s="264">
        <f t="shared" si="35"/>
        <v>0</v>
      </c>
      <c r="J128" s="264">
        <f t="shared" si="35"/>
        <v>0</v>
      </c>
      <c r="K128" s="264">
        <f t="shared" si="35"/>
        <v>0</v>
      </c>
      <c r="L128" s="264">
        <f t="shared" si="35"/>
        <v>0</v>
      </c>
      <c r="M128" s="264">
        <f t="shared" si="35"/>
        <v>0</v>
      </c>
      <c r="N128" s="264">
        <f t="shared" si="35"/>
        <v>0</v>
      </c>
      <c r="O128" s="264">
        <f t="shared" si="35"/>
        <v>0</v>
      </c>
      <c r="P128" s="264">
        <f t="shared" si="35"/>
        <v>0</v>
      </c>
      <c r="Q128" s="264">
        <f t="shared" si="35"/>
        <v>0</v>
      </c>
      <c r="R128" s="264">
        <f t="shared" si="35"/>
        <v>0</v>
      </c>
      <c r="S128" s="264">
        <f t="shared" si="35"/>
        <v>0</v>
      </c>
      <c r="T128" s="264">
        <f t="shared" si="35"/>
        <v>0</v>
      </c>
      <c r="U128" s="264">
        <f t="shared" si="35"/>
        <v>0</v>
      </c>
      <c r="V128" s="264">
        <f t="shared" si="35"/>
        <v>0</v>
      </c>
      <c r="W128" s="264">
        <f t="shared" si="35"/>
        <v>0</v>
      </c>
      <c r="X128" s="264">
        <f t="shared" si="35"/>
        <v>0</v>
      </c>
      <c r="Y128" s="264">
        <f t="shared" si="35"/>
        <v>0</v>
      </c>
      <c r="Z128" s="264">
        <f t="shared" si="35"/>
        <v>0</v>
      </c>
      <c r="AA128" s="264">
        <f t="shared" si="35"/>
        <v>0</v>
      </c>
      <c r="AB128" s="264">
        <f t="shared" si="35"/>
        <v>0</v>
      </c>
      <c r="AC128" s="264">
        <f t="shared" si="35"/>
        <v>0</v>
      </c>
      <c r="AD128" s="264">
        <f t="shared" si="35"/>
        <v>0</v>
      </c>
      <c r="AE128" s="264">
        <f t="shared" si="35"/>
        <v>0</v>
      </c>
      <c r="AF128" s="264">
        <f t="shared" si="35"/>
        <v>0</v>
      </c>
      <c r="AG128" s="264">
        <f t="shared" si="35"/>
        <v>0</v>
      </c>
      <c r="AH128" s="264">
        <f t="shared" si="35"/>
        <v>0</v>
      </c>
    </row>
    <row r="129" spans="2:34">
      <c r="B129" s="291" t="s">
        <v>352</v>
      </c>
      <c r="C129" s="11">
        <f t="shared" si="29"/>
        <v>0</v>
      </c>
      <c r="D129" s="11">
        <f t="shared" si="30"/>
        <v>0</v>
      </c>
      <c r="E129" s="264">
        <f>E117</f>
        <v>0</v>
      </c>
      <c r="F129" s="264">
        <f t="shared" ref="F129:AH129" si="36">F117</f>
        <v>0</v>
      </c>
      <c r="G129" s="264">
        <f t="shared" si="36"/>
        <v>0</v>
      </c>
      <c r="H129" s="264">
        <f t="shared" si="36"/>
        <v>0</v>
      </c>
      <c r="I129" s="264">
        <f t="shared" si="36"/>
        <v>0</v>
      </c>
      <c r="J129" s="264">
        <f t="shared" si="36"/>
        <v>0</v>
      </c>
      <c r="K129" s="264">
        <f t="shared" si="36"/>
        <v>0</v>
      </c>
      <c r="L129" s="264">
        <f t="shared" si="36"/>
        <v>0</v>
      </c>
      <c r="M129" s="264">
        <f t="shared" si="36"/>
        <v>0</v>
      </c>
      <c r="N129" s="264">
        <f t="shared" si="36"/>
        <v>0</v>
      </c>
      <c r="O129" s="264">
        <f t="shared" si="36"/>
        <v>0</v>
      </c>
      <c r="P129" s="264">
        <f t="shared" si="36"/>
        <v>0</v>
      </c>
      <c r="Q129" s="264">
        <f t="shared" si="36"/>
        <v>0</v>
      </c>
      <c r="R129" s="264">
        <f t="shared" si="36"/>
        <v>0</v>
      </c>
      <c r="S129" s="264">
        <f t="shared" si="36"/>
        <v>0</v>
      </c>
      <c r="T129" s="264">
        <f t="shared" si="36"/>
        <v>0</v>
      </c>
      <c r="U129" s="264">
        <f t="shared" si="36"/>
        <v>0</v>
      </c>
      <c r="V129" s="264">
        <f t="shared" si="36"/>
        <v>0</v>
      </c>
      <c r="W129" s="264">
        <f t="shared" si="36"/>
        <v>0</v>
      </c>
      <c r="X129" s="264">
        <f t="shared" si="36"/>
        <v>0</v>
      </c>
      <c r="Y129" s="264">
        <f t="shared" si="36"/>
        <v>0</v>
      </c>
      <c r="Z129" s="264">
        <f t="shared" si="36"/>
        <v>0</v>
      </c>
      <c r="AA129" s="264">
        <f t="shared" si="36"/>
        <v>0</v>
      </c>
      <c r="AB129" s="264">
        <f t="shared" si="36"/>
        <v>0</v>
      </c>
      <c r="AC129" s="264">
        <f t="shared" si="36"/>
        <v>0</v>
      </c>
      <c r="AD129" s="264">
        <f t="shared" si="36"/>
        <v>0</v>
      </c>
      <c r="AE129" s="264">
        <f t="shared" si="36"/>
        <v>0</v>
      </c>
      <c r="AF129" s="264">
        <f t="shared" si="36"/>
        <v>0</v>
      </c>
      <c r="AG129" s="264">
        <f t="shared" si="36"/>
        <v>0</v>
      </c>
      <c r="AH129" s="264">
        <f t="shared" si="36"/>
        <v>0</v>
      </c>
    </row>
    <row r="130" spans="2:34">
      <c r="B130" s="292" t="s">
        <v>353</v>
      </c>
      <c r="C130" s="11">
        <f t="shared" si="29"/>
        <v>0</v>
      </c>
      <c r="D130" s="11">
        <f t="shared" si="30"/>
        <v>0</v>
      </c>
      <c r="E130" s="264">
        <f>E128+E129-E126</f>
        <v>0</v>
      </c>
      <c r="F130" s="264">
        <f t="shared" ref="F130:AH130" si="37">F128+F129-F126</f>
        <v>0</v>
      </c>
      <c r="G130" s="264">
        <f t="shared" si="37"/>
        <v>0</v>
      </c>
      <c r="H130" s="264">
        <f t="shared" si="37"/>
        <v>0</v>
      </c>
      <c r="I130" s="264">
        <f t="shared" si="37"/>
        <v>0</v>
      </c>
      <c r="J130" s="264">
        <f t="shared" si="37"/>
        <v>0</v>
      </c>
      <c r="K130" s="264">
        <f t="shared" si="37"/>
        <v>0</v>
      </c>
      <c r="L130" s="264">
        <f t="shared" si="37"/>
        <v>0</v>
      </c>
      <c r="M130" s="264">
        <f t="shared" si="37"/>
        <v>0</v>
      </c>
      <c r="N130" s="264">
        <f t="shared" si="37"/>
        <v>0</v>
      </c>
      <c r="O130" s="264">
        <f t="shared" si="37"/>
        <v>0</v>
      </c>
      <c r="P130" s="264">
        <f t="shared" si="37"/>
        <v>0</v>
      </c>
      <c r="Q130" s="264">
        <f t="shared" si="37"/>
        <v>0</v>
      </c>
      <c r="R130" s="264">
        <f t="shared" si="37"/>
        <v>0</v>
      </c>
      <c r="S130" s="264">
        <f t="shared" si="37"/>
        <v>0</v>
      </c>
      <c r="T130" s="264">
        <f t="shared" si="37"/>
        <v>0</v>
      </c>
      <c r="U130" s="264">
        <f t="shared" si="37"/>
        <v>0</v>
      </c>
      <c r="V130" s="264">
        <f t="shared" si="37"/>
        <v>0</v>
      </c>
      <c r="W130" s="264">
        <f t="shared" si="37"/>
        <v>0</v>
      </c>
      <c r="X130" s="264">
        <f t="shared" si="37"/>
        <v>0</v>
      </c>
      <c r="Y130" s="264">
        <f t="shared" si="37"/>
        <v>0</v>
      </c>
      <c r="Z130" s="264">
        <f t="shared" si="37"/>
        <v>0</v>
      </c>
      <c r="AA130" s="264">
        <f t="shared" si="37"/>
        <v>0</v>
      </c>
      <c r="AB130" s="264">
        <f t="shared" si="37"/>
        <v>0</v>
      </c>
      <c r="AC130" s="264">
        <f t="shared" si="37"/>
        <v>0</v>
      </c>
      <c r="AD130" s="264">
        <f t="shared" si="37"/>
        <v>0</v>
      </c>
      <c r="AE130" s="264">
        <f t="shared" si="37"/>
        <v>0</v>
      </c>
      <c r="AF130" s="264">
        <f t="shared" si="37"/>
        <v>0</v>
      </c>
      <c r="AG130" s="264">
        <f t="shared" si="37"/>
        <v>0</v>
      </c>
      <c r="AH130" s="264">
        <f t="shared" si="37"/>
        <v>0</v>
      </c>
    </row>
    <row r="131" spans="2:34">
      <c r="B131" s="291" t="s">
        <v>354</v>
      </c>
      <c r="C131" s="558">
        <f>D130</f>
        <v>0</v>
      </c>
      <c r="D131" s="1"/>
    </row>
    <row r="132" spans="2:34">
      <c r="B132" s="291" t="s">
        <v>355</v>
      </c>
      <c r="C132" s="557" t="str">
        <f>IFERROR(IRR(E130:AH130),"--")</f>
        <v>--</v>
      </c>
      <c r="D132" s="1"/>
    </row>
    <row r="133" spans="2:34">
      <c r="B133" s="1"/>
    </row>
    <row r="134" spans="2:34">
      <c r="B134" s="1"/>
    </row>
    <row r="135" spans="2:34">
      <c r="B135" s="39" t="s">
        <v>523</v>
      </c>
      <c r="C135" s="496"/>
      <c r="D135" s="496"/>
      <c r="E135" s="496"/>
      <c r="F135" s="496"/>
      <c r="G135" s="496"/>
      <c r="H135" s="496"/>
      <c r="I135" s="496"/>
      <c r="J135" s="496"/>
      <c r="K135" s="496"/>
      <c r="L135" s="496"/>
      <c r="M135" s="496"/>
      <c r="N135" s="496"/>
      <c r="O135" s="496"/>
      <c r="P135" s="496"/>
      <c r="Q135" s="496"/>
      <c r="R135" s="496"/>
      <c r="S135" s="496"/>
      <c r="T135" s="496"/>
      <c r="U135" s="496"/>
      <c r="V135" s="496"/>
      <c r="W135" s="496"/>
      <c r="X135" s="496"/>
      <c r="Y135" s="496"/>
      <c r="Z135" s="496"/>
      <c r="AA135" s="496"/>
      <c r="AB135" s="496"/>
      <c r="AC135" s="496"/>
      <c r="AD135" s="496"/>
      <c r="AE135" s="496"/>
      <c r="AF135" s="496"/>
      <c r="AG135" s="496"/>
      <c r="AH135" s="496"/>
    </row>
    <row r="136" spans="2:34">
      <c r="B136" s="1"/>
    </row>
    <row r="137" spans="2:34">
      <c r="B137" s="14" t="s">
        <v>335</v>
      </c>
      <c r="C137" s="14" t="s">
        <v>524</v>
      </c>
      <c r="D137" s="14" t="s">
        <v>514</v>
      </c>
      <c r="E137" s="14" t="s">
        <v>525</v>
      </c>
    </row>
    <row r="138" spans="2:34">
      <c r="B138" s="30" t="s">
        <v>526</v>
      </c>
      <c r="C138" s="488"/>
      <c r="D138" s="11">
        <f>D124</f>
        <v>0</v>
      </c>
      <c r="E138" s="53">
        <f>D138/eur</f>
        <v>0</v>
      </c>
    </row>
    <row r="139" spans="2:34">
      <c r="B139" s="30" t="s">
        <v>555</v>
      </c>
      <c r="C139" s="488"/>
      <c r="D139" s="11">
        <f>D89</f>
        <v>0</v>
      </c>
      <c r="E139" s="53">
        <f>D139/eur</f>
        <v>0</v>
      </c>
    </row>
    <row r="140" spans="2:34">
      <c r="B140" s="30" t="s">
        <v>556</v>
      </c>
      <c r="C140" s="504"/>
      <c r="D140" s="488"/>
      <c r="E140" s="488"/>
    </row>
    <row r="141" spans="2:34">
      <c r="B141" s="30" t="s">
        <v>530</v>
      </c>
      <c r="C141" s="488"/>
      <c r="D141" s="11">
        <f>C37</f>
        <v>0</v>
      </c>
      <c r="E141" s="53">
        <f>D141/eur</f>
        <v>0</v>
      </c>
    </row>
    <row r="142" spans="2:34">
      <c r="B142" s="30" t="s">
        <v>531</v>
      </c>
      <c r="C142" s="488"/>
      <c r="D142" s="11">
        <f>C52</f>
        <v>0</v>
      </c>
      <c r="E142" s="53">
        <f>D142/eur</f>
        <v>0</v>
      </c>
    </row>
    <row r="143" spans="2:34">
      <c r="B143" s="30" t="s">
        <v>557</v>
      </c>
      <c r="C143" s="488"/>
      <c r="D143" s="11">
        <f>D141*C140</f>
        <v>0</v>
      </c>
      <c r="E143" s="53">
        <f>D143/eur</f>
        <v>0</v>
      </c>
    </row>
    <row r="144" spans="2:34">
      <c r="B144" s="30" t="s">
        <v>118</v>
      </c>
      <c r="C144" s="504"/>
      <c r="D144" s="488"/>
      <c r="E144" s="488"/>
    </row>
    <row r="145" spans="2:34">
      <c r="B145" s="30" t="s">
        <v>119</v>
      </c>
      <c r="C145" s="504"/>
      <c r="D145" s="488"/>
      <c r="E145" s="488"/>
    </row>
    <row r="146" spans="2:34">
      <c r="B146" s="30" t="s">
        <v>533</v>
      </c>
      <c r="C146" s="488"/>
      <c r="D146" s="11">
        <f>D143*C144</f>
        <v>0</v>
      </c>
      <c r="E146" s="53">
        <f>D146/eur</f>
        <v>0</v>
      </c>
    </row>
    <row r="147" spans="2:34">
      <c r="B147" s="30" t="s">
        <v>534</v>
      </c>
      <c r="C147" s="488"/>
      <c r="D147" s="11">
        <f>D143*C145</f>
        <v>0</v>
      </c>
      <c r="E147" s="53">
        <f>D147/eur</f>
        <v>0</v>
      </c>
    </row>
    <row r="148" spans="2:34">
      <c r="B148" s="30" t="s">
        <v>535</v>
      </c>
      <c r="C148" s="488"/>
      <c r="D148" s="11">
        <f>D141-D143+D142</f>
        <v>0</v>
      </c>
      <c r="E148" s="53">
        <f>D148/eur</f>
        <v>0</v>
      </c>
    </row>
    <row r="149" spans="2:34">
      <c r="B149" s="30" t="s">
        <v>536</v>
      </c>
      <c r="C149" s="488"/>
      <c r="D149" s="11">
        <f>SUM(D147:D148)</f>
        <v>0</v>
      </c>
      <c r="E149" s="53">
        <f>D149/eur</f>
        <v>0</v>
      </c>
    </row>
    <row r="150" spans="2:34">
      <c r="B150" s="1"/>
    </row>
    <row r="151" spans="2:34">
      <c r="B151" s="1"/>
    </row>
    <row r="152" spans="2:34">
      <c r="B152" s="39" t="s">
        <v>537</v>
      </c>
      <c r="C152" s="496"/>
      <c r="D152" s="496"/>
      <c r="E152" s="496"/>
      <c r="F152" s="496"/>
      <c r="G152" s="496"/>
      <c r="H152" s="496"/>
      <c r="I152" s="496"/>
      <c r="J152" s="496"/>
      <c r="K152" s="496"/>
      <c r="L152" s="496"/>
      <c r="M152" s="496"/>
      <c r="N152" s="496"/>
      <c r="O152" s="496"/>
      <c r="P152" s="496"/>
      <c r="Q152" s="496"/>
      <c r="R152" s="496"/>
      <c r="S152" s="496"/>
      <c r="T152" s="496"/>
      <c r="U152" s="496"/>
      <c r="V152" s="496"/>
      <c r="W152" s="496"/>
      <c r="X152" s="496"/>
      <c r="Y152" s="496"/>
      <c r="Z152" s="496"/>
      <c r="AA152" s="496"/>
      <c r="AB152" s="496"/>
      <c r="AC152" s="496"/>
      <c r="AD152" s="496"/>
      <c r="AE152" s="496"/>
      <c r="AF152" s="496"/>
      <c r="AG152" s="496"/>
      <c r="AH152" s="496"/>
    </row>
    <row r="153" spans="2:34">
      <c r="B153" s="1"/>
    </row>
    <row r="154" spans="2:34">
      <c r="B154" s="1"/>
    </row>
    <row r="155" spans="2:34">
      <c r="B155" s="14" t="s">
        <v>370</v>
      </c>
      <c r="C155" s="491">
        <f>start_year</f>
        <v>2025</v>
      </c>
      <c r="D155" s="491">
        <f>C155+1</f>
        <v>2026</v>
      </c>
      <c r="E155" s="491">
        <f t="shared" ref="E155:AF155" si="38">D155+1</f>
        <v>2027</v>
      </c>
      <c r="F155" s="491">
        <f t="shared" si="38"/>
        <v>2028</v>
      </c>
      <c r="G155" s="491">
        <f t="shared" si="38"/>
        <v>2029</v>
      </c>
      <c r="H155" s="491">
        <f t="shared" si="38"/>
        <v>2030</v>
      </c>
      <c r="I155" s="491">
        <f t="shared" si="38"/>
        <v>2031</v>
      </c>
      <c r="J155" s="491">
        <f t="shared" si="38"/>
        <v>2032</v>
      </c>
      <c r="K155" s="491">
        <f t="shared" si="38"/>
        <v>2033</v>
      </c>
      <c r="L155" s="491">
        <f t="shared" si="38"/>
        <v>2034</v>
      </c>
      <c r="M155" s="491">
        <f t="shared" si="38"/>
        <v>2035</v>
      </c>
      <c r="N155" s="491">
        <f t="shared" si="38"/>
        <v>2036</v>
      </c>
      <c r="O155" s="491">
        <f t="shared" si="38"/>
        <v>2037</v>
      </c>
      <c r="P155" s="491">
        <f t="shared" si="38"/>
        <v>2038</v>
      </c>
      <c r="Q155" s="491">
        <f t="shared" si="38"/>
        <v>2039</v>
      </c>
      <c r="R155" s="491">
        <f t="shared" si="38"/>
        <v>2040</v>
      </c>
      <c r="S155" s="491">
        <f t="shared" si="38"/>
        <v>2041</v>
      </c>
      <c r="T155" s="491">
        <f t="shared" si="38"/>
        <v>2042</v>
      </c>
      <c r="U155" s="491">
        <f t="shared" si="38"/>
        <v>2043</v>
      </c>
      <c r="V155" s="491">
        <f t="shared" si="38"/>
        <v>2044</v>
      </c>
      <c r="W155" s="491">
        <f t="shared" si="38"/>
        <v>2045</v>
      </c>
      <c r="X155" s="491">
        <f t="shared" si="38"/>
        <v>2046</v>
      </c>
      <c r="Y155" s="491">
        <f t="shared" si="38"/>
        <v>2047</v>
      </c>
      <c r="Z155" s="491">
        <f t="shared" si="38"/>
        <v>2048</v>
      </c>
      <c r="AA155" s="491">
        <f t="shared" si="38"/>
        <v>2049</v>
      </c>
      <c r="AB155" s="491">
        <f t="shared" si="38"/>
        <v>2050</v>
      </c>
      <c r="AC155" s="491">
        <f t="shared" si="38"/>
        <v>2051</v>
      </c>
      <c r="AD155" s="491">
        <f t="shared" si="38"/>
        <v>2052</v>
      </c>
      <c r="AE155" s="491">
        <f t="shared" si="38"/>
        <v>2053</v>
      </c>
      <c r="AF155" s="491">
        <f t="shared" si="38"/>
        <v>2054</v>
      </c>
    </row>
    <row r="156" spans="2:34">
      <c r="B156" s="10" t="s">
        <v>379</v>
      </c>
      <c r="C156" s="264">
        <f>E124</f>
        <v>0</v>
      </c>
      <c r="D156" s="264">
        <f t="shared" ref="D156:AF156" si="39">F124</f>
        <v>0</v>
      </c>
      <c r="E156" s="264">
        <f t="shared" si="39"/>
        <v>0</v>
      </c>
      <c r="F156" s="264">
        <f t="shared" si="39"/>
        <v>0</v>
      </c>
      <c r="G156" s="264">
        <f t="shared" si="39"/>
        <v>0</v>
      </c>
      <c r="H156" s="264">
        <f t="shared" si="39"/>
        <v>0</v>
      </c>
      <c r="I156" s="264">
        <f t="shared" si="39"/>
        <v>0</v>
      </c>
      <c r="J156" s="264">
        <f t="shared" si="39"/>
        <v>0</v>
      </c>
      <c r="K156" s="264">
        <f t="shared" si="39"/>
        <v>0</v>
      </c>
      <c r="L156" s="264">
        <f t="shared" si="39"/>
        <v>0</v>
      </c>
      <c r="M156" s="264">
        <f t="shared" si="39"/>
        <v>0</v>
      </c>
      <c r="N156" s="264">
        <f t="shared" si="39"/>
        <v>0</v>
      </c>
      <c r="O156" s="264">
        <f t="shared" si="39"/>
        <v>0</v>
      </c>
      <c r="P156" s="264">
        <f t="shared" si="39"/>
        <v>0</v>
      </c>
      <c r="Q156" s="264">
        <f t="shared" si="39"/>
        <v>0</v>
      </c>
      <c r="R156" s="264">
        <f t="shared" si="39"/>
        <v>0</v>
      </c>
      <c r="S156" s="264">
        <f t="shared" si="39"/>
        <v>0</v>
      </c>
      <c r="T156" s="264">
        <f t="shared" si="39"/>
        <v>0</v>
      </c>
      <c r="U156" s="264">
        <f t="shared" si="39"/>
        <v>0</v>
      </c>
      <c r="V156" s="264">
        <f t="shared" si="39"/>
        <v>0</v>
      </c>
      <c r="W156" s="264">
        <f t="shared" si="39"/>
        <v>0</v>
      </c>
      <c r="X156" s="264">
        <f t="shared" si="39"/>
        <v>0</v>
      </c>
      <c r="Y156" s="264">
        <f t="shared" si="39"/>
        <v>0</v>
      </c>
      <c r="Z156" s="264">
        <f t="shared" si="39"/>
        <v>0</v>
      </c>
      <c r="AA156" s="264">
        <f t="shared" si="39"/>
        <v>0</v>
      </c>
      <c r="AB156" s="264">
        <f t="shared" si="39"/>
        <v>0</v>
      </c>
      <c r="AC156" s="264">
        <f t="shared" si="39"/>
        <v>0</v>
      </c>
      <c r="AD156" s="264">
        <f t="shared" si="39"/>
        <v>0</v>
      </c>
      <c r="AE156" s="264">
        <f t="shared" si="39"/>
        <v>0</v>
      </c>
      <c r="AF156" s="264">
        <f t="shared" si="39"/>
        <v>0</v>
      </c>
      <c r="AG156" s="78"/>
      <c r="AH156" s="78"/>
    </row>
    <row r="157" spans="2:34">
      <c r="B157" s="10" t="s">
        <v>380</v>
      </c>
      <c r="C157" s="264">
        <f>E125</f>
        <v>0</v>
      </c>
      <c r="D157" s="264">
        <f t="shared" ref="D157:AF157" si="40">F125</f>
        <v>0</v>
      </c>
      <c r="E157" s="264">
        <f t="shared" si="40"/>
        <v>0</v>
      </c>
      <c r="F157" s="264">
        <f t="shared" si="40"/>
        <v>0</v>
      </c>
      <c r="G157" s="264">
        <f t="shared" si="40"/>
        <v>0</v>
      </c>
      <c r="H157" s="264">
        <f t="shared" si="40"/>
        <v>0</v>
      </c>
      <c r="I157" s="264">
        <f t="shared" si="40"/>
        <v>0</v>
      </c>
      <c r="J157" s="264">
        <f t="shared" si="40"/>
        <v>0</v>
      </c>
      <c r="K157" s="264">
        <f t="shared" si="40"/>
        <v>0</v>
      </c>
      <c r="L157" s="264">
        <f t="shared" si="40"/>
        <v>0</v>
      </c>
      <c r="M157" s="264">
        <f t="shared" si="40"/>
        <v>0</v>
      </c>
      <c r="N157" s="264">
        <f t="shared" si="40"/>
        <v>0</v>
      </c>
      <c r="O157" s="264">
        <f t="shared" si="40"/>
        <v>0</v>
      </c>
      <c r="P157" s="264">
        <f t="shared" si="40"/>
        <v>0</v>
      </c>
      <c r="Q157" s="264">
        <f t="shared" si="40"/>
        <v>0</v>
      </c>
      <c r="R157" s="264">
        <f t="shared" si="40"/>
        <v>0</v>
      </c>
      <c r="S157" s="264">
        <f t="shared" si="40"/>
        <v>0</v>
      </c>
      <c r="T157" s="264">
        <f t="shared" si="40"/>
        <v>0</v>
      </c>
      <c r="U157" s="264">
        <f t="shared" si="40"/>
        <v>0</v>
      </c>
      <c r="V157" s="264">
        <f t="shared" si="40"/>
        <v>0</v>
      </c>
      <c r="W157" s="264">
        <f t="shared" si="40"/>
        <v>0</v>
      </c>
      <c r="X157" s="264">
        <f t="shared" si="40"/>
        <v>0</v>
      </c>
      <c r="Y157" s="264">
        <f t="shared" si="40"/>
        <v>0</v>
      </c>
      <c r="Z157" s="264">
        <f t="shared" si="40"/>
        <v>0</v>
      </c>
      <c r="AA157" s="264">
        <f t="shared" si="40"/>
        <v>0</v>
      </c>
      <c r="AB157" s="264">
        <f t="shared" si="40"/>
        <v>0</v>
      </c>
      <c r="AC157" s="264">
        <f t="shared" si="40"/>
        <v>0</v>
      </c>
      <c r="AD157" s="264">
        <f t="shared" si="40"/>
        <v>0</v>
      </c>
      <c r="AE157" s="264">
        <f t="shared" si="40"/>
        <v>0</v>
      </c>
      <c r="AF157" s="264">
        <f t="shared" si="40"/>
        <v>0</v>
      </c>
      <c r="AG157" s="78"/>
      <c r="AH157" s="78"/>
    </row>
    <row r="158" spans="2:34">
      <c r="B158" s="10" t="s">
        <v>381</v>
      </c>
      <c r="C158" s="264">
        <f>E97</f>
        <v>0</v>
      </c>
      <c r="D158" s="264">
        <f t="shared" ref="D158:AF158" si="41">F97</f>
        <v>0</v>
      </c>
      <c r="E158" s="264">
        <f t="shared" si="41"/>
        <v>0</v>
      </c>
      <c r="F158" s="264">
        <f t="shared" si="41"/>
        <v>0</v>
      </c>
      <c r="G158" s="264">
        <f t="shared" si="41"/>
        <v>0</v>
      </c>
      <c r="H158" s="264">
        <f t="shared" si="41"/>
        <v>0</v>
      </c>
      <c r="I158" s="264">
        <f t="shared" si="41"/>
        <v>0</v>
      </c>
      <c r="J158" s="264">
        <f t="shared" si="41"/>
        <v>0</v>
      </c>
      <c r="K158" s="264">
        <f t="shared" si="41"/>
        <v>0</v>
      </c>
      <c r="L158" s="264">
        <f t="shared" si="41"/>
        <v>0</v>
      </c>
      <c r="M158" s="264">
        <f t="shared" si="41"/>
        <v>0</v>
      </c>
      <c r="N158" s="264">
        <f t="shared" si="41"/>
        <v>0</v>
      </c>
      <c r="O158" s="264">
        <f t="shared" si="41"/>
        <v>0</v>
      </c>
      <c r="P158" s="264">
        <f t="shared" si="41"/>
        <v>0</v>
      </c>
      <c r="Q158" s="264">
        <f t="shared" si="41"/>
        <v>0</v>
      </c>
      <c r="R158" s="264">
        <f t="shared" si="41"/>
        <v>0</v>
      </c>
      <c r="S158" s="264">
        <f t="shared" si="41"/>
        <v>0</v>
      </c>
      <c r="T158" s="264">
        <f t="shared" si="41"/>
        <v>0</v>
      </c>
      <c r="U158" s="264">
        <f t="shared" si="41"/>
        <v>0</v>
      </c>
      <c r="V158" s="264">
        <f t="shared" si="41"/>
        <v>0</v>
      </c>
      <c r="W158" s="264">
        <f t="shared" si="41"/>
        <v>0</v>
      </c>
      <c r="X158" s="264">
        <f t="shared" si="41"/>
        <v>0</v>
      </c>
      <c r="Y158" s="264">
        <f t="shared" si="41"/>
        <v>0</v>
      </c>
      <c r="Z158" s="264">
        <f t="shared" si="41"/>
        <v>0</v>
      </c>
      <c r="AA158" s="264">
        <f t="shared" si="41"/>
        <v>0</v>
      </c>
      <c r="AB158" s="264">
        <f t="shared" si="41"/>
        <v>0</v>
      </c>
      <c r="AC158" s="264">
        <f t="shared" si="41"/>
        <v>0</v>
      </c>
      <c r="AD158" s="264">
        <f t="shared" si="41"/>
        <v>0</v>
      </c>
      <c r="AE158" s="264">
        <f t="shared" si="41"/>
        <v>0</v>
      </c>
      <c r="AF158" s="264">
        <f t="shared" si="41"/>
        <v>0</v>
      </c>
      <c r="AG158" s="78"/>
      <c r="AH158" s="78"/>
    </row>
    <row r="159" spans="2:34">
      <c r="B159" s="10" t="s">
        <v>382</v>
      </c>
      <c r="C159" s="264">
        <f>E98</f>
        <v>0</v>
      </c>
      <c r="D159" s="264">
        <f t="shared" ref="D159:AF159" si="42">F98</f>
        <v>0</v>
      </c>
      <c r="E159" s="264">
        <f t="shared" si="42"/>
        <v>0</v>
      </c>
      <c r="F159" s="264">
        <f t="shared" si="42"/>
        <v>0</v>
      </c>
      <c r="G159" s="264">
        <f t="shared" si="42"/>
        <v>0</v>
      </c>
      <c r="H159" s="264">
        <f t="shared" si="42"/>
        <v>0</v>
      </c>
      <c r="I159" s="264">
        <f t="shared" si="42"/>
        <v>0</v>
      </c>
      <c r="J159" s="264">
        <f t="shared" si="42"/>
        <v>0</v>
      </c>
      <c r="K159" s="264">
        <f t="shared" si="42"/>
        <v>0</v>
      </c>
      <c r="L159" s="264">
        <f t="shared" si="42"/>
        <v>0</v>
      </c>
      <c r="M159" s="264">
        <f t="shared" si="42"/>
        <v>0</v>
      </c>
      <c r="N159" s="264">
        <f t="shared" si="42"/>
        <v>0</v>
      </c>
      <c r="O159" s="264">
        <f t="shared" si="42"/>
        <v>0</v>
      </c>
      <c r="P159" s="264">
        <f t="shared" si="42"/>
        <v>0</v>
      </c>
      <c r="Q159" s="264">
        <f t="shared" si="42"/>
        <v>0</v>
      </c>
      <c r="R159" s="264">
        <f t="shared" si="42"/>
        <v>0</v>
      </c>
      <c r="S159" s="264">
        <f t="shared" si="42"/>
        <v>0</v>
      </c>
      <c r="T159" s="264">
        <f t="shared" si="42"/>
        <v>0</v>
      </c>
      <c r="U159" s="264">
        <f t="shared" si="42"/>
        <v>0</v>
      </c>
      <c r="V159" s="264">
        <f t="shared" si="42"/>
        <v>0</v>
      </c>
      <c r="W159" s="264">
        <f t="shared" si="42"/>
        <v>0</v>
      </c>
      <c r="X159" s="264">
        <f t="shared" si="42"/>
        <v>0</v>
      </c>
      <c r="Y159" s="264">
        <f t="shared" si="42"/>
        <v>0</v>
      </c>
      <c r="Z159" s="264">
        <f t="shared" si="42"/>
        <v>0</v>
      </c>
      <c r="AA159" s="264">
        <f t="shared" si="42"/>
        <v>0</v>
      </c>
      <c r="AB159" s="264">
        <f t="shared" si="42"/>
        <v>0</v>
      </c>
      <c r="AC159" s="264">
        <f t="shared" si="42"/>
        <v>0</v>
      </c>
      <c r="AD159" s="264">
        <f t="shared" si="42"/>
        <v>0</v>
      </c>
      <c r="AE159" s="264">
        <f t="shared" si="42"/>
        <v>0</v>
      </c>
      <c r="AF159" s="264">
        <f t="shared" si="42"/>
        <v>0</v>
      </c>
      <c r="AG159" s="78"/>
      <c r="AH159" s="78"/>
    </row>
    <row r="160" spans="2:34">
      <c r="B160" s="10" t="s">
        <v>383</v>
      </c>
      <c r="C160" s="287"/>
      <c r="D160" s="287"/>
      <c r="E160" s="287"/>
      <c r="F160" s="287"/>
      <c r="G160" s="287"/>
      <c r="H160" s="287"/>
      <c r="I160" s="287"/>
      <c r="J160" s="287"/>
      <c r="K160" s="287"/>
      <c r="L160" s="287"/>
      <c r="M160" s="287"/>
      <c r="N160" s="287"/>
      <c r="O160" s="287"/>
      <c r="P160" s="287"/>
      <c r="Q160" s="287"/>
      <c r="R160" s="287"/>
      <c r="S160" s="287"/>
      <c r="T160" s="287"/>
      <c r="U160" s="287"/>
      <c r="V160" s="287"/>
      <c r="W160" s="287"/>
      <c r="X160" s="287"/>
      <c r="Y160" s="287"/>
      <c r="Z160" s="287"/>
      <c r="AA160" s="287"/>
      <c r="AB160" s="287"/>
      <c r="AC160" s="287"/>
      <c r="AD160" s="287"/>
      <c r="AE160" s="287"/>
      <c r="AF160" s="287"/>
      <c r="AG160" s="78"/>
      <c r="AH160" s="78"/>
    </row>
    <row r="161" spans="2:34">
      <c r="B161" s="8" t="s">
        <v>384</v>
      </c>
      <c r="C161" s="507">
        <f>SUM(C156:C160)</f>
        <v>0</v>
      </c>
      <c r="D161" s="507">
        <f t="shared" ref="D161:AF161" si="43">SUM(D156:D160)</f>
        <v>0</v>
      </c>
      <c r="E161" s="507">
        <f t="shared" si="43"/>
        <v>0</v>
      </c>
      <c r="F161" s="507">
        <f t="shared" si="43"/>
        <v>0</v>
      </c>
      <c r="G161" s="507">
        <f t="shared" si="43"/>
        <v>0</v>
      </c>
      <c r="H161" s="507">
        <f t="shared" si="43"/>
        <v>0</v>
      </c>
      <c r="I161" s="507">
        <f t="shared" si="43"/>
        <v>0</v>
      </c>
      <c r="J161" s="507">
        <f t="shared" si="43"/>
        <v>0</v>
      </c>
      <c r="K161" s="507">
        <f t="shared" si="43"/>
        <v>0</v>
      </c>
      <c r="L161" s="507">
        <f t="shared" si="43"/>
        <v>0</v>
      </c>
      <c r="M161" s="507">
        <f t="shared" si="43"/>
        <v>0</v>
      </c>
      <c r="N161" s="507">
        <f t="shared" si="43"/>
        <v>0</v>
      </c>
      <c r="O161" s="507">
        <f t="shared" si="43"/>
        <v>0</v>
      </c>
      <c r="P161" s="507">
        <f t="shared" si="43"/>
        <v>0</v>
      </c>
      <c r="Q161" s="507">
        <f t="shared" si="43"/>
        <v>0</v>
      </c>
      <c r="R161" s="507">
        <f t="shared" si="43"/>
        <v>0</v>
      </c>
      <c r="S161" s="507">
        <f t="shared" si="43"/>
        <v>0</v>
      </c>
      <c r="T161" s="507">
        <f t="shared" si="43"/>
        <v>0</v>
      </c>
      <c r="U161" s="507">
        <f t="shared" si="43"/>
        <v>0</v>
      </c>
      <c r="V161" s="507">
        <f t="shared" si="43"/>
        <v>0</v>
      </c>
      <c r="W161" s="507">
        <f t="shared" si="43"/>
        <v>0</v>
      </c>
      <c r="X161" s="507">
        <f t="shared" si="43"/>
        <v>0</v>
      </c>
      <c r="Y161" s="507">
        <f t="shared" si="43"/>
        <v>0</v>
      </c>
      <c r="Z161" s="507">
        <f t="shared" si="43"/>
        <v>0</v>
      </c>
      <c r="AA161" s="507">
        <f t="shared" si="43"/>
        <v>0</v>
      </c>
      <c r="AB161" s="507">
        <f t="shared" si="43"/>
        <v>0</v>
      </c>
      <c r="AC161" s="507">
        <f t="shared" si="43"/>
        <v>0</v>
      </c>
      <c r="AD161" s="507">
        <f t="shared" si="43"/>
        <v>0</v>
      </c>
      <c r="AE161" s="507">
        <f t="shared" si="43"/>
        <v>0</v>
      </c>
      <c r="AF161" s="507">
        <f t="shared" si="43"/>
        <v>0</v>
      </c>
      <c r="AG161" s="78"/>
      <c r="AH161" s="78"/>
    </row>
    <row r="162" spans="2:34">
      <c r="B162" s="10" t="s">
        <v>385</v>
      </c>
      <c r="C162" s="264">
        <f>E127</f>
        <v>0</v>
      </c>
      <c r="D162" s="264">
        <f t="shared" ref="D162:AF162" si="44">F127</f>
        <v>0</v>
      </c>
      <c r="E162" s="264">
        <f t="shared" si="44"/>
        <v>0</v>
      </c>
      <c r="F162" s="264">
        <f t="shared" si="44"/>
        <v>0</v>
      </c>
      <c r="G162" s="264">
        <f t="shared" si="44"/>
        <v>0</v>
      </c>
      <c r="H162" s="264">
        <f t="shared" si="44"/>
        <v>0</v>
      </c>
      <c r="I162" s="264">
        <f t="shared" si="44"/>
        <v>0</v>
      </c>
      <c r="J162" s="264">
        <f t="shared" si="44"/>
        <v>0</v>
      </c>
      <c r="K162" s="264">
        <f t="shared" si="44"/>
        <v>0</v>
      </c>
      <c r="L162" s="264">
        <f t="shared" si="44"/>
        <v>0</v>
      </c>
      <c r="M162" s="264">
        <f t="shared" si="44"/>
        <v>0</v>
      </c>
      <c r="N162" s="264">
        <f t="shared" si="44"/>
        <v>0</v>
      </c>
      <c r="O162" s="264">
        <f t="shared" si="44"/>
        <v>0</v>
      </c>
      <c r="P162" s="264">
        <f t="shared" si="44"/>
        <v>0</v>
      </c>
      <c r="Q162" s="264">
        <f t="shared" si="44"/>
        <v>0</v>
      </c>
      <c r="R162" s="264">
        <f t="shared" si="44"/>
        <v>0</v>
      </c>
      <c r="S162" s="264">
        <f t="shared" si="44"/>
        <v>0</v>
      </c>
      <c r="T162" s="264">
        <f t="shared" si="44"/>
        <v>0</v>
      </c>
      <c r="U162" s="264">
        <f t="shared" si="44"/>
        <v>0</v>
      </c>
      <c r="V162" s="264">
        <f t="shared" si="44"/>
        <v>0</v>
      </c>
      <c r="W162" s="264">
        <f t="shared" si="44"/>
        <v>0</v>
      </c>
      <c r="X162" s="264">
        <f t="shared" si="44"/>
        <v>0</v>
      </c>
      <c r="Y162" s="264">
        <f t="shared" si="44"/>
        <v>0</v>
      </c>
      <c r="Z162" s="264">
        <f t="shared" si="44"/>
        <v>0</v>
      </c>
      <c r="AA162" s="264">
        <f t="shared" si="44"/>
        <v>0</v>
      </c>
      <c r="AB162" s="264">
        <f t="shared" si="44"/>
        <v>0</v>
      </c>
      <c r="AC162" s="264">
        <f t="shared" si="44"/>
        <v>0</v>
      </c>
      <c r="AD162" s="264">
        <f t="shared" si="44"/>
        <v>0</v>
      </c>
      <c r="AE162" s="264">
        <f t="shared" si="44"/>
        <v>0</v>
      </c>
      <c r="AF162" s="264">
        <f t="shared" si="44"/>
        <v>0</v>
      </c>
      <c r="AG162" s="78"/>
      <c r="AH162" s="78"/>
    </row>
    <row r="163" spans="2:34">
      <c r="B163" s="10" t="s">
        <v>386</v>
      </c>
      <c r="C163" s="264">
        <f>C179+E81</f>
        <v>0</v>
      </c>
      <c r="D163" s="264">
        <f t="shared" ref="D163:AF163" si="45">D179+F81</f>
        <v>0</v>
      </c>
      <c r="E163" s="264">
        <f t="shared" si="45"/>
        <v>0</v>
      </c>
      <c r="F163" s="264">
        <f t="shared" si="45"/>
        <v>0</v>
      </c>
      <c r="G163" s="264">
        <f t="shared" si="45"/>
        <v>0</v>
      </c>
      <c r="H163" s="264">
        <f t="shared" si="45"/>
        <v>0</v>
      </c>
      <c r="I163" s="264">
        <f t="shared" si="45"/>
        <v>0</v>
      </c>
      <c r="J163" s="264">
        <f t="shared" si="45"/>
        <v>0</v>
      </c>
      <c r="K163" s="264">
        <f t="shared" si="45"/>
        <v>0</v>
      </c>
      <c r="L163" s="264">
        <f t="shared" si="45"/>
        <v>0</v>
      </c>
      <c r="M163" s="264">
        <f t="shared" si="45"/>
        <v>0</v>
      </c>
      <c r="N163" s="264">
        <f t="shared" si="45"/>
        <v>0</v>
      </c>
      <c r="O163" s="264">
        <f t="shared" si="45"/>
        <v>0</v>
      </c>
      <c r="P163" s="264">
        <f t="shared" si="45"/>
        <v>0</v>
      </c>
      <c r="Q163" s="264">
        <f t="shared" si="45"/>
        <v>0</v>
      </c>
      <c r="R163" s="264">
        <f t="shared" si="45"/>
        <v>0</v>
      </c>
      <c r="S163" s="264">
        <f t="shared" si="45"/>
        <v>0</v>
      </c>
      <c r="T163" s="264">
        <f t="shared" si="45"/>
        <v>0</v>
      </c>
      <c r="U163" s="264">
        <f t="shared" si="45"/>
        <v>0</v>
      </c>
      <c r="V163" s="264">
        <f t="shared" si="45"/>
        <v>0</v>
      </c>
      <c r="W163" s="264">
        <f t="shared" si="45"/>
        <v>0</v>
      </c>
      <c r="X163" s="264">
        <f t="shared" si="45"/>
        <v>0</v>
      </c>
      <c r="Y163" s="264">
        <f t="shared" si="45"/>
        <v>0</v>
      </c>
      <c r="Z163" s="264">
        <f t="shared" si="45"/>
        <v>0</v>
      </c>
      <c r="AA163" s="264">
        <f t="shared" si="45"/>
        <v>0</v>
      </c>
      <c r="AB163" s="264">
        <f t="shared" si="45"/>
        <v>0</v>
      </c>
      <c r="AC163" s="264">
        <f t="shared" si="45"/>
        <v>0</v>
      </c>
      <c r="AD163" s="264">
        <f t="shared" si="45"/>
        <v>0</v>
      </c>
      <c r="AE163" s="264">
        <f t="shared" si="45"/>
        <v>0</v>
      </c>
      <c r="AF163" s="264">
        <f t="shared" si="45"/>
        <v>0</v>
      </c>
      <c r="AG163" s="78"/>
      <c r="AH163" s="78"/>
    </row>
    <row r="164" spans="2:34">
      <c r="B164" s="10" t="s">
        <v>387</v>
      </c>
      <c r="C164" s="264">
        <f>E37*$C$140*$C$144</f>
        <v>0</v>
      </c>
      <c r="D164" s="264">
        <f t="shared" ref="D164:G164" si="46">F37*$C$140*$C$144</f>
        <v>0</v>
      </c>
      <c r="E164" s="264">
        <f t="shared" si="46"/>
        <v>0</v>
      </c>
      <c r="F164" s="264">
        <f t="shared" si="46"/>
        <v>0</v>
      </c>
      <c r="G164" s="264">
        <f t="shared" si="46"/>
        <v>0</v>
      </c>
      <c r="H164" s="264">
        <v>0</v>
      </c>
      <c r="I164" s="264">
        <v>0</v>
      </c>
      <c r="J164" s="264">
        <v>0</v>
      </c>
      <c r="K164" s="264">
        <v>0</v>
      </c>
      <c r="L164" s="264">
        <v>0</v>
      </c>
      <c r="M164" s="264">
        <v>0</v>
      </c>
      <c r="N164" s="264">
        <v>0</v>
      </c>
      <c r="O164" s="264">
        <v>0</v>
      </c>
      <c r="P164" s="264">
        <v>0</v>
      </c>
      <c r="Q164" s="264">
        <v>0</v>
      </c>
      <c r="R164" s="264">
        <v>0</v>
      </c>
      <c r="S164" s="264">
        <v>0</v>
      </c>
      <c r="T164" s="264">
        <v>0</v>
      </c>
      <c r="U164" s="264">
        <v>0</v>
      </c>
      <c r="V164" s="264">
        <v>0</v>
      </c>
      <c r="W164" s="264">
        <v>0</v>
      </c>
      <c r="X164" s="264">
        <v>0</v>
      </c>
      <c r="Y164" s="264">
        <v>0</v>
      </c>
      <c r="Z164" s="264">
        <v>0</v>
      </c>
      <c r="AA164" s="264">
        <v>0</v>
      </c>
      <c r="AB164" s="264">
        <v>0</v>
      </c>
      <c r="AC164" s="264">
        <v>0</v>
      </c>
      <c r="AD164" s="264">
        <v>0</v>
      </c>
      <c r="AE164" s="264">
        <v>0</v>
      </c>
      <c r="AF164" s="264">
        <v>0</v>
      </c>
      <c r="AG164" s="78"/>
      <c r="AH164" s="78"/>
    </row>
    <row r="165" spans="2:34">
      <c r="B165" s="512" t="s">
        <v>388</v>
      </c>
      <c r="C165" s="509">
        <f>SUM(C166:C167)</f>
        <v>0</v>
      </c>
      <c r="D165" s="509">
        <f>SUM(D166:D167)</f>
        <v>0</v>
      </c>
      <c r="E165" s="509">
        <f t="shared" ref="E165:AF165" si="47">SUM(E166:E167)</f>
        <v>0</v>
      </c>
      <c r="F165" s="509">
        <f t="shared" si="47"/>
        <v>0</v>
      </c>
      <c r="G165" s="509">
        <f t="shared" si="47"/>
        <v>0</v>
      </c>
      <c r="H165" s="509">
        <f t="shared" si="47"/>
        <v>0</v>
      </c>
      <c r="I165" s="509">
        <f t="shared" si="47"/>
        <v>0</v>
      </c>
      <c r="J165" s="509">
        <f t="shared" si="47"/>
        <v>0</v>
      </c>
      <c r="K165" s="509">
        <f t="shared" si="47"/>
        <v>0</v>
      </c>
      <c r="L165" s="509">
        <f t="shared" si="47"/>
        <v>0</v>
      </c>
      <c r="M165" s="509">
        <f t="shared" si="47"/>
        <v>0</v>
      </c>
      <c r="N165" s="509">
        <f t="shared" si="47"/>
        <v>0</v>
      </c>
      <c r="O165" s="509">
        <f t="shared" si="47"/>
        <v>0</v>
      </c>
      <c r="P165" s="509">
        <f t="shared" si="47"/>
        <v>0</v>
      </c>
      <c r="Q165" s="509">
        <f t="shared" si="47"/>
        <v>0</v>
      </c>
      <c r="R165" s="509">
        <f t="shared" si="47"/>
        <v>0</v>
      </c>
      <c r="S165" s="509">
        <f t="shared" si="47"/>
        <v>0</v>
      </c>
      <c r="T165" s="509">
        <f t="shared" si="47"/>
        <v>0</v>
      </c>
      <c r="U165" s="509">
        <f t="shared" si="47"/>
        <v>0</v>
      </c>
      <c r="V165" s="509">
        <f t="shared" si="47"/>
        <v>0</v>
      </c>
      <c r="W165" s="509">
        <f t="shared" si="47"/>
        <v>0</v>
      </c>
      <c r="X165" s="509">
        <f t="shared" si="47"/>
        <v>0</v>
      </c>
      <c r="Y165" s="509">
        <f t="shared" si="47"/>
        <v>0</v>
      </c>
      <c r="Z165" s="509">
        <f t="shared" si="47"/>
        <v>0</v>
      </c>
      <c r="AA165" s="509">
        <f t="shared" si="47"/>
        <v>0</v>
      </c>
      <c r="AB165" s="509">
        <f t="shared" si="47"/>
        <v>0</v>
      </c>
      <c r="AC165" s="509">
        <f t="shared" si="47"/>
        <v>0</v>
      </c>
      <c r="AD165" s="509">
        <f t="shared" si="47"/>
        <v>0</v>
      </c>
      <c r="AE165" s="509">
        <f t="shared" si="47"/>
        <v>0</v>
      </c>
      <c r="AF165" s="509">
        <f t="shared" si="47"/>
        <v>0</v>
      </c>
      <c r="AG165" s="78"/>
      <c r="AH165" s="78"/>
    </row>
    <row r="166" spans="2:34">
      <c r="B166" s="10" t="s">
        <v>389</v>
      </c>
      <c r="C166" s="264">
        <f>C156-C164</f>
        <v>0</v>
      </c>
      <c r="D166" s="264">
        <f t="shared" ref="D166:AF166" si="48">D156-D164</f>
        <v>0</v>
      </c>
      <c r="E166" s="264">
        <f t="shared" si="48"/>
        <v>0</v>
      </c>
      <c r="F166" s="264">
        <f t="shared" si="48"/>
        <v>0</v>
      </c>
      <c r="G166" s="264">
        <f t="shared" si="48"/>
        <v>0</v>
      </c>
      <c r="H166" s="264">
        <f t="shared" si="48"/>
        <v>0</v>
      </c>
      <c r="I166" s="264">
        <f t="shared" si="48"/>
        <v>0</v>
      </c>
      <c r="J166" s="264">
        <f t="shared" si="48"/>
        <v>0</v>
      </c>
      <c r="K166" s="264">
        <f t="shared" si="48"/>
        <v>0</v>
      </c>
      <c r="L166" s="264">
        <f t="shared" si="48"/>
        <v>0</v>
      </c>
      <c r="M166" s="264">
        <f t="shared" si="48"/>
        <v>0</v>
      </c>
      <c r="N166" s="264">
        <f t="shared" si="48"/>
        <v>0</v>
      </c>
      <c r="O166" s="264">
        <f t="shared" si="48"/>
        <v>0</v>
      </c>
      <c r="P166" s="264">
        <f t="shared" si="48"/>
        <v>0</v>
      </c>
      <c r="Q166" s="264">
        <f t="shared" si="48"/>
        <v>0</v>
      </c>
      <c r="R166" s="264">
        <f t="shared" si="48"/>
        <v>0</v>
      </c>
      <c r="S166" s="264">
        <f t="shared" si="48"/>
        <v>0</v>
      </c>
      <c r="T166" s="264">
        <f t="shared" si="48"/>
        <v>0</v>
      </c>
      <c r="U166" s="264">
        <f t="shared" si="48"/>
        <v>0</v>
      </c>
      <c r="V166" s="264">
        <f t="shared" si="48"/>
        <v>0</v>
      </c>
      <c r="W166" s="264">
        <f t="shared" si="48"/>
        <v>0</v>
      </c>
      <c r="X166" s="264">
        <f t="shared" si="48"/>
        <v>0</v>
      </c>
      <c r="Y166" s="264">
        <f t="shared" si="48"/>
        <v>0</v>
      </c>
      <c r="Z166" s="264">
        <f t="shared" si="48"/>
        <v>0</v>
      </c>
      <c r="AA166" s="264">
        <f t="shared" si="48"/>
        <v>0</v>
      </c>
      <c r="AB166" s="264">
        <f t="shared" si="48"/>
        <v>0</v>
      </c>
      <c r="AC166" s="264">
        <f t="shared" si="48"/>
        <v>0</v>
      </c>
      <c r="AD166" s="264">
        <f t="shared" si="48"/>
        <v>0</v>
      </c>
      <c r="AE166" s="264">
        <f t="shared" si="48"/>
        <v>0</v>
      </c>
      <c r="AF166" s="264">
        <f t="shared" si="48"/>
        <v>0</v>
      </c>
      <c r="AG166" s="78"/>
      <c r="AH166" s="78"/>
    </row>
    <row r="167" spans="2:34">
      <c r="B167" s="512" t="s">
        <v>390</v>
      </c>
      <c r="C167" s="509">
        <f>SUM(C168:C169)</f>
        <v>0</v>
      </c>
      <c r="D167" s="509">
        <f>SUM(D168:D169)</f>
        <v>0</v>
      </c>
      <c r="E167" s="509">
        <f t="shared" ref="E167:AF167" si="49">SUM(E168:E169)</f>
        <v>0</v>
      </c>
      <c r="F167" s="509">
        <f t="shared" si="49"/>
        <v>0</v>
      </c>
      <c r="G167" s="509">
        <f t="shared" si="49"/>
        <v>0</v>
      </c>
      <c r="H167" s="509">
        <f t="shared" si="49"/>
        <v>0</v>
      </c>
      <c r="I167" s="509">
        <f t="shared" si="49"/>
        <v>0</v>
      </c>
      <c r="J167" s="509">
        <f t="shared" si="49"/>
        <v>0</v>
      </c>
      <c r="K167" s="509">
        <f t="shared" si="49"/>
        <v>0</v>
      </c>
      <c r="L167" s="509">
        <f t="shared" si="49"/>
        <v>0</v>
      </c>
      <c r="M167" s="509">
        <f t="shared" si="49"/>
        <v>0</v>
      </c>
      <c r="N167" s="509">
        <f t="shared" si="49"/>
        <v>0</v>
      </c>
      <c r="O167" s="509">
        <f t="shared" si="49"/>
        <v>0</v>
      </c>
      <c r="P167" s="509">
        <f t="shared" si="49"/>
        <v>0</v>
      </c>
      <c r="Q167" s="509">
        <f t="shared" si="49"/>
        <v>0</v>
      </c>
      <c r="R167" s="509">
        <f t="shared" si="49"/>
        <v>0</v>
      </c>
      <c r="S167" s="509">
        <f t="shared" si="49"/>
        <v>0</v>
      </c>
      <c r="T167" s="509">
        <f t="shared" si="49"/>
        <v>0</v>
      </c>
      <c r="U167" s="509">
        <f t="shared" si="49"/>
        <v>0</v>
      </c>
      <c r="V167" s="509">
        <f t="shared" si="49"/>
        <v>0</v>
      </c>
      <c r="W167" s="509">
        <f t="shared" si="49"/>
        <v>0</v>
      </c>
      <c r="X167" s="509">
        <f t="shared" si="49"/>
        <v>0</v>
      </c>
      <c r="Y167" s="509">
        <f t="shared" si="49"/>
        <v>0</v>
      </c>
      <c r="Z167" s="509">
        <f t="shared" si="49"/>
        <v>0</v>
      </c>
      <c r="AA167" s="509">
        <f t="shared" si="49"/>
        <v>0</v>
      </c>
      <c r="AB167" s="509">
        <f t="shared" si="49"/>
        <v>0</v>
      </c>
      <c r="AC167" s="509">
        <f t="shared" si="49"/>
        <v>0</v>
      </c>
      <c r="AD167" s="509">
        <f t="shared" si="49"/>
        <v>0</v>
      </c>
      <c r="AE167" s="509">
        <f t="shared" si="49"/>
        <v>0</v>
      </c>
      <c r="AF167" s="509">
        <f t="shared" si="49"/>
        <v>0</v>
      </c>
      <c r="AG167" s="78"/>
      <c r="AH167" s="78"/>
    </row>
    <row r="168" spans="2:34">
      <c r="B168" s="10" t="s">
        <v>391</v>
      </c>
      <c r="C168" s="264">
        <f>E95</f>
        <v>0</v>
      </c>
      <c r="D168" s="264">
        <f t="shared" ref="D168:AF168" si="50">F95</f>
        <v>0</v>
      </c>
      <c r="E168" s="264">
        <f t="shared" si="50"/>
        <v>0</v>
      </c>
      <c r="F168" s="264">
        <f t="shared" si="50"/>
        <v>0</v>
      </c>
      <c r="G168" s="264">
        <f t="shared" si="50"/>
        <v>0</v>
      </c>
      <c r="H168" s="264">
        <f t="shared" si="50"/>
        <v>0</v>
      </c>
      <c r="I168" s="264">
        <f t="shared" si="50"/>
        <v>0</v>
      </c>
      <c r="J168" s="264">
        <f t="shared" si="50"/>
        <v>0</v>
      </c>
      <c r="K168" s="264">
        <f t="shared" si="50"/>
        <v>0</v>
      </c>
      <c r="L168" s="264">
        <f t="shared" si="50"/>
        <v>0</v>
      </c>
      <c r="M168" s="264">
        <f t="shared" si="50"/>
        <v>0</v>
      </c>
      <c r="N168" s="264">
        <f t="shared" si="50"/>
        <v>0</v>
      </c>
      <c r="O168" s="264">
        <f t="shared" si="50"/>
        <v>0</v>
      </c>
      <c r="P168" s="264">
        <f t="shared" si="50"/>
        <v>0</v>
      </c>
      <c r="Q168" s="264">
        <f t="shared" si="50"/>
        <v>0</v>
      </c>
      <c r="R168" s="264">
        <f t="shared" si="50"/>
        <v>0</v>
      </c>
      <c r="S168" s="264">
        <f t="shared" si="50"/>
        <v>0</v>
      </c>
      <c r="T168" s="264">
        <f t="shared" si="50"/>
        <v>0</v>
      </c>
      <c r="U168" s="264">
        <f t="shared" si="50"/>
        <v>0</v>
      </c>
      <c r="V168" s="264">
        <f t="shared" si="50"/>
        <v>0</v>
      </c>
      <c r="W168" s="264">
        <f t="shared" si="50"/>
        <v>0</v>
      </c>
      <c r="X168" s="264">
        <f t="shared" si="50"/>
        <v>0</v>
      </c>
      <c r="Y168" s="264">
        <f t="shared" si="50"/>
        <v>0</v>
      </c>
      <c r="Z168" s="264">
        <f t="shared" si="50"/>
        <v>0</v>
      </c>
      <c r="AA168" s="264">
        <f t="shared" si="50"/>
        <v>0</v>
      </c>
      <c r="AB168" s="264">
        <f t="shared" si="50"/>
        <v>0</v>
      </c>
      <c r="AC168" s="264">
        <f t="shared" si="50"/>
        <v>0</v>
      </c>
      <c r="AD168" s="264">
        <f t="shared" si="50"/>
        <v>0</v>
      </c>
      <c r="AE168" s="264">
        <f t="shared" si="50"/>
        <v>0</v>
      </c>
      <c r="AF168" s="264">
        <f t="shared" si="50"/>
        <v>0</v>
      </c>
      <c r="AG168" s="78"/>
      <c r="AH168" s="78"/>
    </row>
    <row r="169" spans="2:34">
      <c r="B169" s="512" t="s">
        <v>392</v>
      </c>
      <c r="C169" s="509">
        <f>SUM(C170:C171)</f>
        <v>0</v>
      </c>
      <c r="D169" s="509">
        <f>SUM(D170:D171)</f>
        <v>0</v>
      </c>
      <c r="E169" s="509">
        <f t="shared" ref="E169:AF169" si="51">SUM(E170:E171)</f>
        <v>0</v>
      </c>
      <c r="F169" s="509">
        <f t="shared" si="51"/>
        <v>0</v>
      </c>
      <c r="G169" s="509">
        <f t="shared" si="51"/>
        <v>0</v>
      </c>
      <c r="H169" s="509">
        <f t="shared" si="51"/>
        <v>0</v>
      </c>
      <c r="I169" s="509">
        <f t="shared" si="51"/>
        <v>0</v>
      </c>
      <c r="J169" s="509">
        <f t="shared" si="51"/>
        <v>0</v>
      </c>
      <c r="K169" s="509">
        <f t="shared" si="51"/>
        <v>0</v>
      </c>
      <c r="L169" s="509">
        <f t="shared" si="51"/>
        <v>0</v>
      </c>
      <c r="M169" s="509">
        <f t="shared" si="51"/>
        <v>0</v>
      </c>
      <c r="N169" s="509">
        <f t="shared" si="51"/>
        <v>0</v>
      </c>
      <c r="O169" s="509">
        <f t="shared" si="51"/>
        <v>0</v>
      </c>
      <c r="P169" s="509">
        <f t="shared" si="51"/>
        <v>0</v>
      </c>
      <c r="Q169" s="509">
        <f t="shared" si="51"/>
        <v>0</v>
      </c>
      <c r="R169" s="509">
        <f t="shared" si="51"/>
        <v>0</v>
      </c>
      <c r="S169" s="509">
        <f t="shared" si="51"/>
        <v>0</v>
      </c>
      <c r="T169" s="509">
        <f t="shared" si="51"/>
        <v>0</v>
      </c>
      <c r="U169" s="509">
        <f t="shared" si="51"/>
        <v>0</v>
      </c>
      <c r="V169" s="509">
        <f t="shared" si="51"/>
        <v>0</v>
      </c>
      <c r="W169" s="509">
        <f t="shared" si="51"/>
        <v>0</v>
      </c>
      <c r="X169" s="509">
        <f t="shared" si="51"/>
        <v>0</v>
      </c>
      <c r="Y169" s="509">
        <f t="shared" si="51"/>
        <v>0</v>
      </c>
      <c r="Z169" s="509">
        <f t="shared" si="51"/>
        <v>0</v>
      </c>
      <c r="AA169" s="509">
        <f t="shared" si="51"/>
        <v>0</v>
      </c>
      <c r="AB169" s="509">
        <f t="shared" si="51"/>
        <v>0</v>
      </c>
      <c r="AC169" s="509">
        <f t="shared" si="51"/>
        <v>0</v>
      </c>
      <c r="AD169" s="509">
        <f t="shared" si="51"/>
        <v>0</v>
      </c>
      <c r="AE169" s="509">
        <f t="shared" si="51"/>
        <v>0</v>
      </c>
      <c r="AF169" s="509">
        <f t="shared" si="51"/>
        <v>0</v>
      </c>
      <c r="AG169" s="78"/>
      <c r="AH169" s="78"/>
    </row>
    <row r="170" spans="2:34">
      <c r="B170" s="10" t="s">
        <v>393</v>
      </c>
      <c r="C170" s="264">
        <f>E96</f>
        <v>0</v>
      </c>
      <c r="D170" s="264">
        <f t="shared" ref="D170:AF170" si="52">F96</f>
        <v>0</v>
      </c>
      <c r="E170" s="264">
        <f t="shared" si="52"/>
        <v>0</v>
      </c>
      <c r="F170" s="264">
        <f t="shared" si="52"/>
        <v>0</v>
      </c>
      <c r="G170" s="264">
        <f t="shared" si="52"/>
        <v>0</v>
      </c>
      <c r="H170" s="264">
        <f t="shared" si="52"/>
        <v>0</v>
      </c>
      <c r="I170" s="264">
        <f t="shared" si="52"/>
        <v>0</v>
      </c>
      <c r="J170" s="264">
        <f t="shared" si="52"/>
        <v>0</v>
      </c>
      <c r="K170" s="264">
        <f t="shared" si="52"/>
        <v>0</v>
      </c>
      <c r="L170" s="264">
        <f t="shared" si="52"/>
        <v>0</v>
      </c>
      <c r="M170" s="264">
        <f t="shared" si="52"/>
        <v>0</v>
      </c>
      <c r="N170" s="264">
        <f t="shared" si="52"/>
        <v>0</v>
      </c>
      <c r="O170" s="264">
        <f t="shared" si="52"/>
        <v>0</v>
      </c>
      <c r="P170" s="264">
        <f t="shared" si="52"/>
        <v>0</v>
      </c>
      <c r="Q170" s="264">
        <f t="shared" si="52"/>
        <v>0</v>
      </c>
      <c r="R170" s="264">
        <f t="shared" si="52"/>
        <v>0</v>
      </c>
      <c r="S170" s="264">
        <f t="shared" si="52"/>
        <v>0</v>
      </c>
      <c r="T170" s="264">
        <f t="shared" si="52"/>
        <v>0</v>
      </c>
      <c r="U170" s="264">
        <f t="shared" si="52"/>
        <v>0</v>
      </c>
      <c r="V170" s="264">
        <f t="shared" si="52"/>
        <v>0</v>
      </c>
      <c r="W170" s="264">
        <f t="shared" si="52"/>
        <v>0</v>
      </c>
      <c r="X170" s="264">
        <f t="shared" si="52"/>
        <v>0</v>
      </c>
      <c r="Y170" s="264">
        <f t="shared" si="52"/>
        <v>0</v>
      </c>
      <c r="Z170" s="264">
        <f t="shared" si="52"/>
        <v>0</v>
      </c>
      <c r="AA170" s="264">
        <f t="shared" si="52"/>
        <v>0</v>
      </c>
      <c r="AB170" s="264">
        <f t="shared" si="52"/>
        <v>0</v>
      </c>
      <c r="AC170" s="264">
        <f t="shared" si="52"/>
        <v>0</v>
      </c>
      <c r="AD170" s="264">
        <f t="shared" si="52"/>
        <v>0</v>
      </c>
      <c r="AE170" s="264">
        <f t="shared" si="52"/>
        <v>0</v>
      </c>
      <c r="AF170" s="264">
        <f t="shared" si="52"/>
        <v>0</v>
      </c>
      <c r="AG170" s="78"/>
      <c r="AH170" s="78"/>
    </row>
    <row r="171" spans="2:34">
      <c r="B171" s="10" t="s">
        <v>394</v>
      </c>
      <c r="C171" s="264">
        <f>E99</f>
        <v>0</v>
      </c>
      <c r="D171" s="264">
        <f t="shared" ref="D171:AF171" si="53">F99</f>
        <v>0</v>
      </c>
      <c r="E171" s="264">
        <f t="shared" si="53"/>
        <v>0</v>
      </c>
      <c r="F171" s="264">
        <f t="shared" si="53"/>
        <v>0</v>
      </c>
      <c r="G171" s="264">
        <f t="shared" si="53"/>
        <v>0</v>
      </c>
      <c r="H171" s="264">
        <f t="shared" si="53"/>
        <v>0</v>
      </c>
      <c r="I171" s="264">
        <f t="shared" si="53"/>
        <v>0</v>
      </c>
      <c r="J171" s="264">
        <f t="shared" si="53"/>
        <v>0</v>
      </c>
      <c r="K171" s="264">
        <f t="shared" si="53"/>
        <v>0</v>
      </c>
      <c r="L171" s="264">
        <f t="shared" si="53"/>
        <v>0</v>
      </c>
      <c r="M171" s="264">
        <f t="shared" si="53"/>
        <v>0</v>
      </c>
      <c r="N171" s="264">
        <f t="shared" si="53"/>
        <v>0</v>
      </c>
      <c r="O171" s="264">
        <f t="shared" si="53"/>
        <v>0</v>
      </c>
      <c r="P171" s="264">
        <f t="shared" si="53"/>
        <v>0</v>
      </c>
      <c r="Q171" s="264">
        <f t="shared" si="53"/>
        <v>0</v>
      </c>
      <c r="R171" s="264">
        <f t="shared" si="53"/>
        <v>0</v>
      </c>
      <c r="S171" s="264">
        <f t="shared" si="53"/>
        <v>0</v>
      </c>
      <c r="T171" s="264">
        <f t="shared" si="53"/>
        <v>0</v>
      </c>
      <c r="U171" s="264">
        <f t="shared" si="53"/>
        <v>0</v>
      </c>
      <c r="V171" s="264">
        <f t="shared" si="53"/>
        <v>0</v>
      </c>
      <c r="W171" s="264">
        <f t="shared" si="53"/>
        <v>0</v>
      </c>
      <c r="X171" s="264">
        <f t="shared" si="53"/>
        <v>0</v>
      </c>
      <c r="Y171" s="264">
        <f t="shared" si="53"/>
        <v>0</v>
      </c>
      <c r="Z171" s="264">
        <f t="shared" si="53"/>
        <v>0</v>
      </c>
      <c r="AA171" s="264">
        <f t="shared" si="53"/>
        <v>0</v>
      </c>
      <c r="AB171" s="264">
        <f t="shared" si="53"/>
        <v>0</v>
      </c>
      <c r="AC171" s="264">
        <f t="shared" si="53"/>
        <v>0</v>
      </c>
      <c r="AD171" s="264">
        <f t="shared" si="53"/>
        <v>0</v>
      </c>
      <c r="AE171" s="264">
        <f t="shared" si="53"/>
        <v>0</v>
      </c>
      <c r="AF171" s="264">
        <f t="shared" si="53"/>
        <v>0</v>
      </c>
      <c r="AG171" s="78"/>
      <c r="AH171" s="78"/>
    </row>
    <row r="172" spans="2:34">
      <c r="B172" s="10" t="s">
        <v>395</v>
      </c>
      <c r="C172" s="264">
        <f>E129</f>
        <v>0</v>
      </c>
      <c r="D172" s="264">
        <f t="shared" ref="D172:AF172" si="54">F129</f>
        <v>0</v>
      </c>
      <c r="E172" s="264">
        <f t="shared" si="54"/>
        <v>0</v>
      </c>
      <c r="F172" s="264">
        <f t="shared" si="54"/>
        <v>0</v>
      </c>
      <c r="G172" s="264">
        <f t="shared" si="54"/>
        <v>0</v>
      </c>
      <c r="H172" s="264">
        <f t="shared" si="54"/>
        <v>0</v>
      </c>
      <c r="I172" s="264">
        <f t="shared" si="54"/>
        <v>0</v>
      </c>
      <c r="J172" s="264">
        <f t="shared" si="54"/>
        <v>0</v>
      </c>
      <c r="K172" s="264">
        <f t="shared" si="54"/>
        <v>0</v>
      </c>
      <c r="L172" s="264">
        <f t="shared" si="54"/>
        <v>0</v>
      </c>
      <c r="M172" s="264">
        <f t="shared" si="54"/>
        <v>0</v>
      </c>
      <c r="N172" s="264">
        <f t="shared" si="54"/>
        <v>0</v>
      </c>
      <c r="O172" s="264">
        <f t="shared" si="54"/>
        <v>0</v>
      </c>
      <c r="P172" s="264">
        <f t="shared" si="54"/>
        <v>0</v>
      </c>
      <c r="Q172" s="264">
        <f t="shared" si="54"/>
        <v>0</v>
      </c>
      <c r="R172" s="264">
        <f t="shared" si="54"/>
        <v>0</v>
      </c>
      <c r="S172" s="264">
        <f t="shared" si="54"/>
        <v>0</v>
      </c>
      <c r="T172" s="264">
        <f t="shared" si="54"/>
        <v>0</v>
      </c>
      <c r="U172" s="264">
        <f t="shared" si="54"/>
        <v>0</v>
      </c>
      <c r="V172" s="264">
        <f t="shared" si="54"/>
        <v>0</v>
      </c>
      <c r="W172" s="264">
        <f t="shared" si="54"/>
        <v>0</v>
      </c>
      <c r="X172" s="264">
        <f t="shared" si="54"/>
        <v>0</v>
      </c>
      <c r="Y172" s="264">
        <f t="shared" si="54"/>
        <v>0</v>
      </c>
      <c r="Z172" s="264">
        <f t="shared" si="54"/>
        <v>0</v>
      </c>
      <c r="AA172" s="264">
        <f t="shared" si="54"/>
        <v>0</v>
      </c>
      <c r="AB172" s="264">
        <f t="shared" si="54"/>
        <v>0</v>
      </c>
      <c r="AC172" s="264">
        <f t="shared" si="54"/>
        <v>0</v>
      </c>
      <c r="AD172" s="264">
        <f t="shared" si="54"/>
        <v>0</v>
      </c>
      <c r="AE172" s="264">
        <f t="shared" si="54"/>
        <v>0</v>
      </c>
      <c r="AF172" s="264">
        <f t="shared" si="54"/>
        <v>0</v>
      </c>
      <c r="AG172" s="78"/>
      <c r="AH172" s="78"/>
    </row>
    <row r="173" spans="2:34">
      <c r="B173" s="8" t="s">
        <v>396</v>
      </c>
      <c r="C173" s="507">
        <f>SUM(C162:C165)</f>
        <v>0</v>
      </c>
      <c r="D173" s="507">
        <f>SUM(D162:D165)</f>
        <v>0</v>
      </c>
      <c r="E173" s="507">
        <f t="shared" ref="E173:AF173" si="55">SUM(E162:E165)</f>
        <v>0</v>
      </c>
      <c r="F173" s="507">
        <f t="shared" si="55"/>
        <v>0</v>
      </c>
      <c r="G173" s="507">
        <f t="shared" si="55"/>
        <v>0</v>
      </c>
      <c r="H173" s="507">
        <f t="shared" si="55"/>
        <v>0</v>
      </c>
      <c r="I173" s="507">
        <f t="shared" si="55"/>
        <v>0</v>
      </c>
      <c r="J173" s="507">
        <f t="shared" si="55"/>
        <v>0</v>
      </c>
      <c r="K173" s="507">
        <f t="shared" si="55"/>
        <v>0</v>
      </c>
      <c r="L173" s="507">
        <f t="shared" si="55"/>
        <v>0</v>
      </c>
      <c r="M173" s="507">
        <f t="shared" si="55"/>
        <v>0</v>
      </c>
      <c r="N173" s="507">
        <f t="shared" si="55"/>
        <v>0</v>
      </c>
      <c r="O173" s="507">
        <f t="shared" si="55"/>
        <v>0</v>
      </c>
      <c r="P173" s="507">
        <f t="shared" si="55"/>
        <v>0</v>
      </c>
      <c r="Q173" s="507">
        <f t="shared" si="55"/>
        <v>0</v>
      </c>
      <c r="R173" s="507">
        <f t="shared" si="55"/>
        <v>0</v>
      </c>
      <c r="S173" s="507">
        <f t="shared" si="55"/>
        <v>0</v>
      </c>
      <c r="T173" s="507">
        <f t="shared" si="55"/>
        <v>0</v>
      </c>
      <c r="U173" s="507">
        <f t="shared" si="55"/>
        <v>0</v>
      </c>
      <c r="V173" s="507">
        <f t="shared" si="55"/>
        <v>0</v>
      </c>
      <c r="W173" s="507">
        <f t="shared" si="55"/>
        <v>0</v>
      </c>
      <c r="X173" s="507">
        <f t="shared" si="55"/>
        <v>0</v>
      </c>
      <c r="Y173" s="507">
        <f t="shared" si="55"/>
        <v>0</v>
      </c>
      <c r="Z173" s="507">
        <f t="shared" si="55"/>
        <v>0</v>
      </c>
      <c r="AA173" s="507">
        <f t="shared" si="55"/>
        <v>0</v>
      </c>
      <c r="AB173" s="507">
        <f t="shared" si="55"/>
        <v>0</v>
      </c>
      <c r="AC173" s="507">
        <f t="shared" si="55"/>
        <v>0</v>
      </c>
      <c r="AD173" s="507">
        <f t="shared" si="55"/>
        <v>0</v>
      </c>
      <c r="AE173" s="507">
        <f t="shared" si="55"/>
        <v>0</v>
      </c>
      <c r="AF173" s="507">
        <f t="shared" si="55"/>
        <v>0</v>
      </c>
      <c r="AG173" s="78"/>
      <c r="AH173" s="78"/>
    </row>
    <row r="174" spans="2:34">
      <c r="B174" s="8" t="s">
        <v>397</v>
      </c>
      <c r="C174" s="507">
        <f>C173-C161</f>
        <v>0</v>
      </c>
      <c r="D174" s="507">
        <f>D173-D161</f>
        <v>0</v>
      </c>
      <c r="E174" s="507">
        <f t="shared" ref="E174:AF174" si="56">E173-E161</f>
        <v>0</v>
      </c>
      <c r="F174" s="507">
        <f t="shared" si="56"/>
        <v>0</v>
      </c>
      <c r="G174" s="507">
        <f t="shared" si="56"/>
        <v>0</v>
      </c>
      <c r="H174" s="507">
        <f t="shared" si="56"/>
        <v>0</v>
      </c>
      <c r="I174" s="507">
        <f t="shared" si="56"/>
        <v>0</v>
      </c>
      <c r="J174" s="507">
        <f t="shared" si="56"/>
        <v>0</v>
      </c>
      <c r="K174" s="507">
        <f t="shared" si="56"/>
        <v>0</v>
      </c>
      <c r="L174" s="507">
        <f t="shared" si="56"/>
        <v>0</v>
      </c>
      <c r="M174" s="507">
        <f t="shared" si="56"/>
        <v>0</v>
      </c>
      <c r="N174" s="507">
        <f t="shared" si="56"/>
        <v>0</v>
      </c>
      <c r="O174" s="507">
        <f t="shared" si="56"/>
        <v>0</v>
      </c>
      <c r="P174" s="507">
        <f t="shared" si="56"/>
        <v>0</v>
      </c>
      <c r="Q174" s="507">
        <f t="shared" si="56"/>
        <v>0</v>
      </c>
      <c r="R174" s="507">
        <f t="shared" si="56"/>
        <v>0</v>
      </c>
      <c r="S174" s="507">
        <f t="shared" si="56"/>
        <v>0</v>
      </c>
      <c r="T174" s="507">
        <f t="shared" si="56"/>
        <v>0</v>
      </c>
      <c r="U174" s="507">
        <f t="shared" si="56"/>
        <v>0</v>
      </c>
      <c r="V174" s="507">
        <f t="shared" si="56"/>
        <v>0</v>
      </c>
      <c r="W174" s="507">
        <f t="shared" si="56"/>
        <v>0</v>
      </c>
      <c r="X174" s="507">
        <f t="shared" si="56"/>
        <v>0</v>
      </c>
      <c r="Y174" s="507">
        <f t="shared" si="56"/>
        <v>0</v>
      </c>
      <c r="Z174" s="507">
        <f t="shared" si="56"/>
        <v>0</v>
      </c>
      <c r="AA174" s="507">
        <f t="shared" si="56"/>
        <v>0</v>
      </c>
      <c r="AB174" s="507">
        <f t="shared" si="56"/>
        <v>0</v>
      </c>
      <c r="AC174" s="507">
        <f t="shared" si="56"/>
        <v>0</v>
      </c>
      <c r="AD174" s="507">
        <f t="shared" si="56"/>
        <v>0</v>
      </c>
      <c r="AE174" s="507">
        <f t="shared" si="56"/>
        <v>0</v>
      </c>
      <c r="AF174" s="507">
        <f t="shared" si="56"/>
        <v>0</v>
      </c>
      <c r="AG174" s="78"/>
      <c r="AH174" s="78"/>
    </row>
    <row r="175" spans="2:34">
      <c r="B175" s="8" t="s">
        <v>398</v>
      </c>
      <c r="C175" s="507">
        <f>C174</f>
        <v>0</v>
      </c>
      <c r="D175" s="507">
        <f>C175+D174</f>
        <v>0</v>
      </c>
      <c r="E175" s="507">
        <f t="shared" ref="E175:AF175" si="57">D175+E174</f>
        <v>0</v>
      </c>
      <c r="F175" s="507">
        <f t="shared" si="57"/>
        <v>0</v>
      </c>
      <c r="G175" s="507">
        <f t="shared" si="57"/>
        <v>0</v>
      </c>
      <c r="H175" s="507">
        <f t="shared" si="57"/>
        <v>0</v>
      </c>
      <c r="I175" s="507">
        <f t="shared" si="57"/>
        <v>0</v>
      </c>
      <c r="J175" s="507">
        <f t="shared" si="57"/>
        <v>0</v>
      </c>
      <c r="K175" s="507">
        <f t="shared" si="57"/>
        <v>0</v>
      </c>
      <c r="L175" s="507">
        <f t="shared" si="57"/>
        <v>0</v>
      </c>
      <c r="M175" s="507">
        <f t="shared" si="57"/>
        <v>0</v>
      </c>
      <c r="N175" s="507">
        <f t="shared" si="57"/>
        <v>0</v>
      </c>
      <c r="O175" s="507">
        <f t="shared" si="57"/>
        <v>0</v>
      </c>
      <c r="P175" s="507">
        <f t="shared" si="57"/>
        <v>0</v>
      </c>
      <c r="Q175" s="507">
        <f t="shared" si="57"/>
        <v>0</v>
      </c>
      <c r="R175" s="507">
        <f t="shared" si="57"/>
        <v>0</v>
      </c>
      <c r="S175" s="507">
        <f t="shared" si="57"/>
        <v>0</v>
      </c>
      <c r="T175" s="507">
        <f t="shared" si="57"/>
        <v>0</v>
      </c>
      <c r="U175" s="507">
        <f t="shared" si="57"/>
        <v>0</v>
      </c>
      <c r="V175" s="507">
        <f t="shared" si="57"/>
        <v>0</v>
      </c>
      <c r="W175" s="507">
        <f t="shared" si="57"/>
        <v>0</v>
      </c>
      <c r="X175" s="507">
        <f t="shared" si="57"/>
        <v>0</v>
      </c>
      <c r="Y175" s="507">
        <f t="shared" si="57"/>
        <v>0</v>
      </c>
      <c r="Z175" s="507">
        <f t="shared" si="57"/>
        <v>0</v>
      </c>
      <c r="AA175" s="507">
        <f t="shared" si="57"/>
        <v>0</v>
      </c>
      <c r="AB175" s="507">
        <f t="shared" si="57"/>
        <v>0</v>
      </c>
      <c r="AC175" s="507">
        <f t="shared" si="57"/>
        <v>0</v>
      </c>
      <c r="AD175" s="507">
        <f t="shared" si="57"/>
        <v>0</v>
      </c>
      <c r="AE175" s="507">
        <f t="shared" si="57"/>
        <v>0</v>
      </c>
      <c r="AF175" s="507">
        <f t="shared" si="57"/>
        <v>0</v>
      </c>
      <c r="AG175" s="78"/>
      <c r="AH175" s="78"/>
    </row>
    <row r="176" spans="2:34">
      <c r="B176" s="1"/>
    </row>
    <row r="177" spans="2:32">
      <c r="B177" s="154" t="s">
        <v>373</v>
      </c>
      <c r="C177" s="489">
        <f>C162+E81-C157</f>
        <v>0</v>
      </c>
      <c r="D177" s="489">
        <f t="shared" ref="D177:AF177" si="58">D162+F81-D157</f>
        <v>0</v>
      </c>
      <c r="E177" s="489">
        <f t="shared" si="58"/>
        <v>0</v>
      </c>
      <c r="F177" s="489">
        <f t="shared" si="58"/>
        <v>0</v>
      </c>
      <c r="G177" s="489">
        <f t="shared" si="58"/>
        <v>0</v>
      </c>
      <c r="H177" s="489">
        <f t="shared" si="58"/>
        <v>0</v>
      </c>
      <c r="I177" s="489">
        <f t="shared" si="58"/>
        <v>0</v>
      </c>
      <c r="J177" s="489">
        <f t="shared" si="58"/>
        <v>0</v>
      </c>
      <c r="K177" s="489">
        <f t="shared" si="58"/>
        <v>0</v>
      </c>
      <c r="L177" s="489">
        <f t="shared" si="58"/>
        <v>0</v>
      </c>
      <c r="M177" s="489">
        <f t="shared" si="58"/>
        <v>0</v>
      </c>
      <c r="N177" s="489">
        <f t="shared" si="58"/>
        <v>0</v>
      </c>
      <c r="O177" s="489">
        <f t="shared" si="58"/>
        <v>0</v>
      </c>
      <c r="P177" s="489">
        <f t="shared" si="58"/>
        <v>0</v>
      </c>
      <c r="Q177" s="489">
        <f t="shared" si="58"/>
        <v>0</v>
      </c>
      <c r="R177" s="489">
        <f t="shared" si="58"/>
        <v>0</v>
      </c>
      <c r="S177" s="489">
        <f t="shared" si="58"/>
        <v>0</v>
      </c>
      <c r="T177" s="489">
        <f t="shared" si="58"/>
        <v>0</v>
      </c>
      <c r="U177" s="489">
        <f t="shared" si="58"/>
        <v>0</v>
      </c>
      <c r="V177" s="489">
        <f t="shared" si="58"/>
        <v>0</v>
      </c>
      <c r="W177" s="489">
        <f t="shared" si="58"/>
        <v>0</v>
      </c>
      <c r="X177" s="489">
        <f t="shared" si="58"/>
        <v>0</v>
      </c>
      <c r="Y177" s="489">
        <f t="shared" si="58"/>
        <v>0</v>
      </c>
      <c r="Z177" s="489">
        <f t="shared" si="58"/>
        <v>0</v>
      </c>
      <c r="AA177" s="489">
        <f t="shared" si="58"/>
        <v>0</v>
      </c>
      <c r="AB177" s="489">
        <f t="shared" si="58"/>
        <v>0</v>
      </c>
      <c r="AC177" s="489">
        <f t="shared" si="58"/>
        <v>0</v>
      </c>
      <c r="AD177" s="489">
        <f t="shared" si="58"/>
        <v>0</v>
      </c>
      <c r="AE177" s="489">
        <f t="shared" si="58"/>
        <v>0</v>
      </c>
      <c r="AF177" s="489">
        <f t="shared" si="58"/>
        <v>0</v>
      </c>
    </row>
    <row r="178" spans="2:32">
      <c r="B178" s="154" t="s">
        <v>374</v>
      </c>
      <c r="C178" s="489">
        <f>C177</f>
        <v>0</v>
      </c>
      <c r="D178" s="489">
        <f>C178+D177+C179</f>
        <v>0</v>
      </c>
      <c r="E178" s="489">
        <f t="shared" ref="E178:AF178" si="59">D178+E177+D179</f>
        <v>0</v>
      </c>
      <c r="F178" s="489">
        <f t="shared" si="59"/>
        <v>0</v>
      </c>
      <c r="G178" s="489">
        <f t="shared" si="59"/>
        <v>0</v>
      </c>
      <c r="H178" s="489">
        <f t="shared" si="59"/>
        <v>0</v>
      </c>
      <c r="I178" s="489">
        <f t="shared" si="59"/>
        <v>0</v>
      </c>
      <c r="J178" s="489">
        <f t="shared" si="59"/>
        <v>0</v>
      </c>
      <c r="K178" s="489">
        <f t="shared" si="59"/>
        <v>0</v>
      </c>
      <c r="L178" s="489">
        <f t="shared" si="59"/>
        <v>0</v>
      </c>
      <c r="M178" s="489">
        <f t="shared" si="59"/>
        <v>0</v>
      </c>
      <c r="N178" s="489">
        <f t="shared" si="59"/>
        <v>0</v>
      </c>
      <c r="O178" s="489">
        <f t="shared" si="59"/>
        <v>0</v>
      </c>
      <c r="P178" s="489">
        <f t="shared" si="59"/>
        <v>0</v>
      </c>
      <c r="Q178" s="489">
        <f t="shared" si="59"/>
        <v>0</v>
      </c>
      <c r="R178" s="489">
        <f t="shared" si="59"/>
        <v>0</v>
      </c>
      <c r="S178" s="489">
        <f t="shared" si="59"/>
        <v>0</v>
      </c>
      <c r="T178" s="489">
        <f t="shared" si="59"/>
        <v>0</v>
      </c>
      <c r="U178" s="489">
        <f t="shared" si="59"/>
        <v>0</v>
      </c>
      <c r="V178" s="489">
        <f t="shared" si="59"/>
        <v>0</v>
      </c>
      <c r="W178" s="489">
        <f t="shared" si="59"/>
        <v>0</v>
      </c>
      <c r="X178" s="489">
        <f t="shared" si="59"/>
        <v>0</v>
      </c>
      <c r="Y178" s="489">
        <f t="shared" si="59"/>
        <v>0</v>
      </c>
      <c r="Z178" s="489">
        <f t="shared" si="59"/>
        <v>0</v>
      </c>
      <c r="AA178" s="489">
        <f t="shared" si="59"/>
        <v>0</v>
      </c>
      <c r="AB178" s="489">
        <f t="shared" si="59"/>
        <v>0</v>
      </c>
      <c r="AC178" s="489">
        <f t="shared" si="59"/>
        <v>0</v>
      </c>
      <c r="AD178" s="489">
        <f t="shared" si="59"/>
        <v>0</v>
      </c>
      <c r="AE178" s="489">
        <f t="shared" si="59"/>
        <v>0</v>
      </c>
      <c r="AF178" s="489">
        <f t="shared" si="59"/>
        <v>0</v>
      </c>
    </row>
    <row r="179" spans="2:32">
      <c r="B179" s="154" t="s">
        <v>375</v>
      </c>
      <c r="C179" s="490">
        <f>IF(C178&lt;0,C178*-1,0)</f>
        <v>0</v>
      </c>
      <c r="D179" s="490">
        <f t="shared" ref="D179:AF179" si="60">IF(D178&lt;0,D178*-1,0)</f>
        <v>0</v>
      </c>
      <c r="E179" s="490">
        <f t="shared" si="60"/>
        <v>0</v>
      </c>
      <c r="F179" s="490">
        <f t="shared" si="60"/>
        <v>0</v>
      </c>
      <c r="G179" s="490">
        <f t="shared" si="60"/>
        <v>0</v>
      </c>
      <c r="H179" s="490">
        <f t="shared" si="60"/>
        <v>0</v>
      </c>
      <c r="I179" s="490">
        <f t="shared" si="60"/>
        <v>0</v>
      </c>
      <c r="J179" s="490">
        <f t="shared" si="60"/>
        <v>0</v>
      </c>
      <c r="K179" s="490">
        <f t="shared" si="60"/>
        <v>0</v>
      </c>
      <c r="L179" s="490">
        <f t="shared" si="60"/>
        <v>0</v>
      </c>
      <c r="M179" s="490">
        <f t="shared" si="60"/>
        <v>0</v>
      </c>
      <c r="N179" s="490">
        <f t="shared" si="60"/>
        <v>0</v>
      </c>
      <c r="O179" s="490">
        <f t="shared" si="60"/>
        <v>0</v>
      </c>
      <c r="P179" s="490">
        <f t="shared" si="60"/>
        <v>0</v>
      </c>
      <c r="Q179" s="490">
        <f t="shared" si="60"/>
        <v>0</v>
      </c>
      <c r="R179" s="490">
        <f t="shared" si="60"/>
        <v>0</v>
      </c>
      <c r="S179" s="490">
        <f t="shared" si="60"/>
        <v>0</v>
      </c>
      <c r="T179" s="490">
        <f t="shared" si="60"/>
        <v>0</v>
      </c>
      <c r="U179" s="490">
        <f t="shared" si="60"/>
        <v>0</v>
      </c>
      <c r="V179" s="490">
        <f t="shared" si="60"/>
        <v>0</v>
      </c>
      <c r="W179" s="490">
        <f t="shared" si="60"/>
        <v>0</v>
      </c>
      <c r="X179" s="490">
        <f t="shared" si="60"/>
        <v>0</v>
      </c>
      <c r="Y179" s="490">
        <f t="shared" si="60"/>
        <v>0</v>
      </c>
      <c r="Z179" s="490">
        <f t="shared" si="60"/>
        <v>0</v>
      </c>
      <c r="AA179" s="490">
        <f t="shared" si="60"/>
        <v>0</v>
      </c>
      <c r="AB179" s="490">
        <f t="shared" si="60"/>
        <v>0</v>
      </c>
      <c r="AC179" s="490">
        <f t="shared" si="60"/>
        <v>0</v>
      </c>
      <c r="AD179" s="490">
        <f t="shared" si="60"/>
        <v>0</v>
      </c>
      <c r="AE179" s="490">
        <f t="shared" si="60"/>
        <v>0</v>
      </c>
      <c r="AF179" s="490">
        <f t="shared" si="60"/>
        <v>0</v>
      </c>
    </row>
    <row r="180" spans="2:32">
      <c r="B180" s="1"/>
    </row>
    <row r="181" spans="2:32" ht="14.4" thickBot="1">
      <c r="B181" s="1"/>
    </row>
    <row r="182" spans="2:32" ht="53.4" thickBot="1">
      <c r="B182" s="500" t="s">
        <v>538</v>
      </c>
    </row>
    <row r="183" spans="2:32" ht="14.4" thickBot="1">
      <c r="B183" s="1"/>
    </row>
    <row r="184" spans="2:32" ht="16.2" customHeight="1">
      <c r="B184" s="298" t="s">
        <v>190</v>
      </c>
    </row>
    <row r="185" spans="2:32" ht="83.4" thickBot="1">
      <c r="B185" s="299" t="s">
        <v>539</v>
      </c>
    </row>
    <row r="186" spans="2:32" ht="16.2" customHeight="1" thickBot="1">
      <c r="B186" s="1"/>
    </row>
    <row r="187" spans="2:32" ht="16.2" customHeight="1">
      <c r="B187" s="300" t="s">
        <v>189</v>
      </c>
      <c r="C187" s="301" t="s">
        <v>192</v>
      </c>
      <c r="D187" s="578" t="s">
        <v>377</v>
      </c>
      <c r="E187" s="578"/>
      <c r="F187" s="579"/>
    </row>
    <row r="188" spans="2:32" ht="28.2" thickBot="1">
      <c r="B188" s="302" t="s">
        <v>378</v>
      </c>
      <c r="C188" s="553"/>
      <c r="D188" s="580"/>
      <c r="E188" s="580"/>
      <c r="F188" s="581"/>
    </row>
  </sheetData>
  <sheetProtection algorithmName="SHA-512" hashValue="1Q77q/Q6+2jdBvZqEoHpyITKTY7RWOMUwyjZwfFAVWwJ4tGy9qZqHeJg+k6ntrMUkq938yslbySozJv5AMaDUQ==" saltValue="5y6rdOnG7SfBpQrmU4Hqmg==" spinCount="100000" sheet="1" objects="1" scenarios="1"/>
  <mergeCells count="2">
    <mergeCell ref="D187:F187"/>
    <mergeCell ref="D188:F188"/>
  </mergeCells>
  <conditionalFormatting sqref="C156:AF159 C161:AF171 C173:AF175">
    <cfRule type="expression" dxfId="144" priority="70">
      <formula>NOT(ISBLANK(C$155))</formula>
    </cfRule>
  </conditionalFormatting>
  <conditionalFormatting sqref="C172:AF172">
    <cfRule type="expression" dxfId="143" priority="30">
      <formula>NOT(ISBLANK(#REF!))</formula>
    </cfRule>
  </conditionalFormatting>
  <conditionalFormatting sqref="C177:AF178 D179:AF179">
    <cfRule type="expression" dxfId="142" priority="13">
      <formula>NOT(ISBLANK(C$267))</formula>
    </cfRule>
  </conditionalFormatting>
  <conditionalFormatting sqref="C179:AF179">
    <cfRule type="expression" dxfId="141" priority="12">
      <formula>NOT(ISBLANK(C$277))</formula>
    </cfRule>
  </conditionalFormatting>
  <conditionalFormatting sqref="D160:AF160">
    <cfRule type="expression" dxfId="140" priority="11">
      <formula>NOT(ISBLANK(D$74))</formula>
    </cfRule>
  </conditionalFormatting>
  <conditionalFormatting sqref="D177:AF177">
    <cfRule type="expression" dxfId="139" priority="15">
      <formula>NOT(ISBLANK(D$265))</formula>
    </cfRule>
  </conditionalFormatting>
  <conditionalFormatting sqref="E82:AH82">
    <cfRule type="expression" dxfId="138" priority="78">
      <formula>NOT(ISBLANK(E$79))</formula>
    </cfRule>
  </conditionalFormatting>
  <conditionalFormatting sqref="E89:AH89">
    <cfRule type="expression" dxfId="137" priority="32">
      <formula>NOT(ISBLANK(E$88))</formula>
    </cfRule>
  </conditionalFormatting>
  <conditionalFormatting sqref="E113:AH114 E117:AH118">
    <cfRule type="expression" dxfId="136" priority="27">
      <formula>NOT(ISBLANK(E$123))</formula>
    </cfRule>
  </conditionalFormatting>
  <conditionalFormatting sqref="E124:AH130">
    <cfRule type="expression" dxfId="135" priority="55">
      <formula>NOT(ISBLANK(E$123))</formula>
    </cfRule>
  </conditionalFormatting>
  <conditionalFormatting sqref="F73:AH73">
    <cfRule type="expression" dxfId="134" priority="1">
      <formula>NOT(ISBLANK(F$74))</formula>
    </cfRule>
  </conditionalFormatting>
  <conditionalFormatting sqref="F80:AH81">
    <cfRule type="expression" dxfId="133" priority="2">
      <formula>NOT(ISBLANK(F$74))</formula>
    </cfRule>
  </conditionalFormatting>
  <conditionalFormatting sqref="F95:AH99">
    <cfRule type="expression" dxfId="132" priority="4">
      <formula>NOT(ISBLANK(F$74))</formula>
    </cfRule>
  </conditionalFormatting>
  <conditionalFormatting sqref="F115:AH116">
    <cfRule type="expression" dxfId="131" priority="9">
      <formula>NOT(ISBLANK(F$74))</formula>
    </cfRule>
  </conditionalFormatting>
  <conditionalFormatting sqref="H156:AF156">
    <cfRule type="expression" dxfId="130" priority="31">
      <formula>NOT(ISBLANK(#REF!))</formula>
    </cfRule>
  </conditionalFormatting>
  <dataValidations count="1">
    <dataValidation type="list" allowBlank="1" showInputMessage="1" showErrorMessage="1" sqref="C188" xr:uid="{266E13E4-670E-4B20-8513-704163C53B00}">
      <formula1>i_n_list</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ACDE-C2EB-4ECC-AD20-26DE8B4BA292}">
  <sheetPr codeName="Munka5">
    <tabColor theme="6" tint="-0.249977111117893"/>
  </sheetPr>
  <dimension ref="A1:AI201"/>
  <sheetViews>
    <sheetView topLeftCell="E173" zoomScale="70" zoomScaleNormal="70" workbookViewId="0">
      <selection activeCell="S193" sqref="S193"/>
    </sheetView>
  </sheetViews>
  <sheetFormatPr defaultColWidth="9.19921875" defaultRowHeight="13.8"/>
  <cols>
    <col min="1" max="1" width="9.19921875" style="1"/>
    <col min="2" max="2" width="23.19921875" style="1" customWidth="1"/>
    <col min="3" max="3" width="56.19921875" style="1" customWidth="1"/>
    <col min="4" max="4" width="29.19921875" style="1" customWidth="1"/>
    <col min="5" max="5" width="53.5" style="1" customWidth="1"/>
    <col min="6" max="6" width="62.5" style="1" customWidth="1"/>
    <col min="7" max="7" width="15.69921875" style="1" customWidth="1"/>
    <col min="8" max="8" width="21.69921875" style="1" customWidth="1"/>
    <col min="9" max="9" width="22.19921875" style="1" customWidth="1"/>
    <col min="10" max="33" width="15.5" style="1" customWidth="1"/>
    <col min="34" max="16384" width="9.19921875" style="1"/>
  </cols>
  <sheetData>
    <row r="1" spans="1:6" ht="14.4" thickBot="1"/>
    <row r="2" spans="1:6" ht="14.4" thickBot="1">
      <c r="C2" s="5" t="s">
        <v>121</v>
      </c>
    </row>
    <row r="3" spans="1:6" ht="14.4" thickBot="1"/>
    <row r="4" spans="1:6" ht="27" thickBot="1">
      <c r="C4" s="120" t="s">
        <v>558</v>
      </c>
    </row>
    <row r="7" spans="1:6" s="7" customFormat="1">
      <c r="A7" s="6"/>
      <c r="C7" s="6" t="s">
        <v>489</v>
      </c>
    </row>
    <row r="10" spans="1:6">
      <c r="C10" s="8" t="s">
        <v>288</v>
      </c>
      <c r="D10" s="9" t="s">
        <v>506</v>
      </c>
      <c r="E10" s="9" t="s">
        <v>507</v>
      </c>
      <c r="F10" s="9" t="s">
        <v>508</v>
      </c>
    </row>
    <row r="11" spans="1:6">
      <c r="C11" s="10" t="s">
        <v>265</v>
      </c>
      <c r="D11" s="130">
        <v>52705000</v>
      </c>
      <c r="E11" s="130">
        <v>0</v>
      </c>
      <c r="F11" s="132">
        <v>52705000</v>
      </c>
    </row>
    <row r="12" spans="1:6">
      <c r="C12" s="10" t="s">
        <v>269</v>
      </c>
      <c r="D12" s="130">
        <v>0</v>
      </c>
      <c r="E12" s="130">
        <v>0</v>
      </c>
      <c r="F12" s="132">
        <v>0</v>
      </c>
    </row>
    <row r="13" spans="1:6">
      <c r="C13" s="10" t="s">
        <v>276</v>
      </c>
      <c r="D13" s="130">
        <v>0</v>
      </c>
      <c r="E13" s="130">
        <v>0</v>
      </c>
      <c r="F13" s="132">
        <v>0</v>
      </c>
    </row>
    <row r="14" spans="1:6">
      <c r="C14" s="10" t="s">
        <v>282</v>
      </c>
      <c r="D14" s="130">
        <v>2000000</v>
      </c>
      <c r="E14" s="130">
        <v>0</v>
      </c>
      <c r="F14" s="132">
        <v>2000000</v>
      </c>
    </row>
    <row r="15" spans="1:6">
      <c r="C15" s="10" t="s">
        <v>286</v>
      </c>
      <c r="D15" s="130">
        <v>0</v>
      </c>
      <c r="E15" s="130">
        <v>0</v>
      </c>
      <c r="F15" s="132">
        <v>0</v>
      </c>
    </row>
    <row r="16" spans="1:6">
      <c r="C16" s="10" t="s">
        <v>287</v>
      </c>
      <c r="D16" s="130">
        <v>24130000</v>
      </c>
      <c r="E16" s="130">
        <v>0</v>
      </c>
      <c r="F16" s="132">
        <v>24130000</v>
      </c>
    </row>
    <row r="17" spans="3:10">
      <c r="C17" s="10" t="s">
        <v>327</v>
      </c>
      <c r="D17" s="130">
        <v>0</v>
      </c>
      <c r="E17" s="130">
        <v>0</v>
      </c>
      <c r="F17" s="132">
        <v>0</v>
      </c>
    </row>
    <row r="18" spans="3:10">
      <c r="C18" s="10" t="s">
        <v>327</v>
      </c>
      <c r="D18" s="130">
        <v>0</v>
      </c>
      <c r="E18" s="130">
        <v>0</v>
      </c>
      <c r="F18" s="132">
        <v>0</v>
      </c>
    </row>
    <row r="19" spans="3:10">
      <c r="C19" s="10" t="s">
        <v>327</v>
      </c>
      <c r="D19" s="130">
        <v>0</v>
      </c>
      <c r="E19" s="130">
        <v>0</v>
      </c>
      <c r="F19" s="132">
        <v>0</v>
      </c>
    </row>
    <row r="20" spans="3:10">
      <c r="C20" s="10" t="s">
        <v>327</v>
      </c>
      <c r="D20" s="130">
        <v>0</v>
      </c>
      <c r="E20" s="130">
        <v>0</v>
      </c>
      <c r="F20" s="132">
        <v>0</v>
      </c>
    </row>
    <row r="21" spans="3:10">
      <c r="C21" s="12" t="s">
        <v>328</v>
      </c>
      <c r="D21" s="131">
        <v>54705000</v>
      </c>
      <c r="E21" s="131">
        <v>0</v>
      </c>
      <c r="F21" s="133">
        <v>54705000</v>
      </c>
    </row>
    <row r="22" spans="3:10">
      <c r="C22" s="12" t="s">
        <v>329</v>
      </c>
      <c r="D22" s="13">
        <v>78835000</v>
      </c>
      <c r="E22" s="13">
        <v>0</v>
      </c>
      <c r="F22" s="133">
        <v>78835000</v>
      </c>
    </row>
    <row r="25" spans="3:10">
      <c r="C25" s="8" t="s">
        <v>104</v>
      </c>
      <c r="D25" s="14" t="s">
        <v>325</v>
      </c>
      <c r="E25" s="14" t="s">
        <v>465</v>
      </c>
      <c r="F25" s="14">
        <v>2025</v>
      </c>
      <c r="G25" s="14">
        <v>2026</v>
      </c>
      <c r="H25" s="14">
        <v>2027</v>
      </c>
      <c r="I25" s="14">
        <v>2028</v>
      </c>
      <c r="J25" s="14">
        <v>2029</v>
      </c>
    </row>
    <row r="26" spans="3:10">
      <c r="C26" s="10" t="s">
        <v>265</v>
      </c>
      <c r="D26" s="11">
        <v>52705000</v>
      </c>
      <c r="E26" s="11">
        <v>52705000</v>
      </c>
      <c r="F26" s="134">
        <v>52705000</v>
      </c>
      <c r="G26" s="134">
        <v>0</v>
      </c>
      <c r="H26" s="134">
        <v>0</v>
      </c>
      <c r="I26" s="134">
        <v>0</v>
      </c>
      <c r="J26" s="134">
        <v>0</v>
      </c>
    </row>
    <row r="27" spans="3:10">
      <c r="C27" s="10" t="s">
        <v>269</v>
      </c>
      <c r="D27" s="11">
        <v>0</v>
      </c>
      <c r="E27" s="11">
        <v>0</v>
      </c>
      <c r="F27" s="134">
        <v>0</v>
      </c>
      <c r="G27" s="134">
        <v>0</v>
      </c>
      <c r="H27" s="134">
        <v>0</v>
      </c>
      <c r="I27" s="134">
        <v>0</v>
      </c>
      <c r="J27" s="134">
        <v>0</v>
      </c>
    </row>
    <row r="28" spans="3:10">
      <c r="C28" s="10" t="s">
        <v>276</v>
      </c>
      <c r="D28" s="11">
        <v>0</v>
      </c>
      <c r="E28" s="11">
        <v>0</v>
      </c>
      <c r="F28" s="134">
        <v>0</v>
      </c>
      <c r="G28" s="134">
        <v>0</v>
      </c>
      <c r="H28" s="134">
        <v>0</v>
      </c>
      <c r="I28" s="134">
        <v>0</v>
      </c>
      <c r="J28" s="134">
        <v>0</v>
      </c>
    </row>
    <row r="29" spans="3:10">
      <c r="C29" s="10" t="s">
        <v>282</v>
      </c>
      <c r="D29" s="11">
        <v>2000000</v>
      </c>
      <c r="E29" s="11">
        <v>2000000</v>
      </c>
      <c r="F29" s="134">
        <v>2000000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24130000</v>
      </c>
      <c r="E31" s="11">
        <v>24130000</v>
      </c>
      <c r="F31" s="134">
        <v>24130000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54705000</v>
      </c>
      <c r="E36" s="13">
        <v>54705000</v>
      </c>
      <c r="F36" s="131">
        <v>54705000</v>
      </c>
      <c r="G36" s="131">
        <v>0</v>
      </c>
      <c r="H36" s="131">
        <v>0</v>
      </c>
      <c r="I36" s="131">
        <v>0</v>
      </c>
      <c r="J36" s="131">
        <v>0</v>
      </c>
    </row>
    <row r="37" spans="3:10">
      <c r="C37" s="12" t="s">
        <v>329</v>
      </c>
      <c r="D37" s="13">
        <v>78835000</v>
      </c>
      <c r="E37" s="13">
        <v>78835000</v>
      </c>
      <c r="F37" s="13">
        <v>78835000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
        <v>0</v>
      </c>
      <c r="G52" s="13">
        <v>0</v>
      </c>
      <c r="H52" s="13">
        <v>0</v>
      </c>
      <c r="I52" s="13">
        <v>0</v>
      </c>
      <c r="J52" s="13">
        <v>0</v>
      </c>
    </row>
    <row r="55" spans="3:10">
      <c r="C55" s="8" t="s">
        <v>331</v>
      </c>
      <c r="D55" s="14" t="s">
        <v>325</v>
      </c>
      <c r="E55" s="14" t="s">
        <v>465</v>
      </c>
      <c r="F55" s="14">
        <v>2025</v>
      </c>
      <c r="G55" s="14">
        <v>2026</v>
      </c>
      <c r="H55" s="14">
        <v>2027</v>
      </c>
      <c r="I55" s="14">
        <v>2028</v>
      </c>
      <c r="J55" s="14">
        <v>2029</v>
      </c>
    </row>
    <row r="56" spans="3:10">
      <c r="C56" s="10" t="s">
        <v>265</v>
      </c>
      <c r="D56" s="11">
        <v>52705000</v>
      </c>
      <c r="E56" s="11">
        <v>52705000</v>
      </c>
      <c r="F56" s="11">
        <v>52705000</v>
      </c>
      <c r="G56" s="11">
        <v>0</v>
      </c>
      <c r="H56" s="11">
        <v>0</v>
      </c>
      <c r="I56" s="11">
        <v>0</v>
      </c>
      <c r="J56" s="11">
        <v>0</v>
      </c>
    </row>
    <row r="57" spans="3:10">
      <c r="C57" s="10" t="s">
        <v>269</v>
      </c>
      <c r="D57" s="11">
        <v>0</v>
      </c>
      <c r="E57" s="11">
        <v>0</v>
      </c>
      <c r="F57" s="11">
        <v>0</v>
      </c>
      <c r="G57" s="11">
        <v>0</v>
      </c>
      <c r="H57" s="11">
        <v>0</v>
      </c>
      <c r="I57" s="11">
        <v>0</v>
      </c>
      <c r="J57" s="11">
        <v>0</v>
      </c>
    </row>
    <row r="58" spans="3:10">
      <c r="C58" s="10" t="s">
        <v>276</v>
      </c>
      <c r="D58" s="11">
        <v>0</v>
      </c>
      <c r="E58" s="11">
        <v>0</v>
      </c>
      <c r="F58" s="11">
        <v>0</v>
      </c>
      <c r="G58" s="11">
        <v>0</v>
      </c>
      <c r="H58" s="11">
        <v>0</v>
      </c>
      <c r="I58" s="11">
        <v>0</v>
      </c>
      <c r="J58" s="11">
        <v>0</v>
      </c>
    </row>
    <row r="59" spans="3:10">
      <c r="C59" s="10" t="s">
        <v>282</v>
      </c>
      <c r="D59" s="11">
        <v>2000000</v>
      </c>
      <c r="E59" s="11">
        <v>2000000</v>
      </c>
      <c r="F59" s="11">
        <v>2000000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24130000</v>
      </c>
      <c r="E61" s="11">
        <v>24130000</v>
      </c>
      <c r="F61" s="11">
        <v>24130000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54705000</v>
      </c>
      <c r="E66" s="13">
        <v>54705000</v>
      </c>
      <c r="F66" s="13">
        <v>54705000</v>
      </c>
      <c r="G66" s="13">
        <v>0</v>
      </c>
      <c r="H66" s="13">
        <v>0</v>
      </c>
      <c r="I66" s="13">
        <v>0</v>
      </c>
      <c r="J66" s="13">
        <v>0</v>
      </c>
    </row>
    <row r="67" spans="1:35">
      <c r="C67" s="12" t="s">
        <v>329</v>
      </c>
      <c r="D67" s="13">
        <v>78835000</v>
      </c>
      <c r="E67" s="13">
        <v>78835000</v>
      </c>
      <c r="F67" s="13">
        <v>78835000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5">
        <v>2025</v>
      </c>
      <c r="G74" s="15">
        <v>2026</v>
      </c>
      <c r="H74" s="15">
        <v>2027</v>
      </c>
      <c r="I74" s="15">
        <v>2028</v>
      </c>
      <c r="J74" s="15">
        <v>2029</v>
      </c>
      <c r="K74" s="15">
        <v>2030</v>
      </c>
      <c r="L74" s="15">
        <v>2031</v>
      </c>
      <c r="M74" s="15">
        <v>2032</v>
      </c>
      <c r="N74" s="15">
        <v>2033</v>
      </c>
      <c r="O74" s="15">
        <v>2034</v>
      </c>
      <c r="P74" s="15">
        <v>2035</v>
      </c>
      <c r="Q74" s="15">
        <v>2036</v>
      </c>
      <c r="R74" s="15">
        <v>2037</v>
      </c>
      <c r="S74" s="15">
        <v>2038</v>
      </c>
      <c r="T74" s="15">
        <v>2039</v>
      </c>
      <c r="U74" s="15">
        <v>2040</v>
      </c>
      <c r="V74" s="15">
        <v>2041</v>
      </c>
      <c r="W74" s="15">
        <v>2042</v>
      </c>
      <c r="X74" s="15">
        <v>2043</v>
      </c>
      <c r="Y74" s="15">
        <v>2044</v>
      </c>
      <c r="Z74" s="15">
        <v>2045</v>
      </c>
      <c r="AA74" s="15">
        <v>2046</v>
      </c>
      <c r="AB74" s="15">
        <v>2047</v>
      </c>
      <c r="AC74" s="15">
        <v>2048</v>
      </c>
      <c r="AD74" s="15">
        <v>2049</v>
      </c>
      <c r="AE74" s="15">
        <v>2050</v>
      </c>
      <c r="AF74" s="15">
        <v>2051</v>
      </c>
      <c r="AG74" s="15">
        <v>2052</v>
      </c>
      <c r="AH74" s="15">
        <v>2053</v>
      </c>
      <c r="AI74" s="15">
        <v>2054</v>
      </c>
    </row>
    <row r="75" spans="1:35">
      <c r="C75" s="10" t="s">
        <v>337</v>
      </c>
      <c r="D75" s="11">
        <v>8700783.2703589164</v>
      </c>
      <c r="E75" s="11">
        <v>3608674.1960840384</v>
      </c>
      <c r="F75" s="135">
        <v>0</v>
      </c>
      <c r="G75" s="135">
        <v>300027.00932272105</v>
      </c>
      <c r="H75" s="135">
        <v>300027.00932272105</v>
      </c>
      <c r="I75" s="135">
        <v>300027.00932272105</v>
      </c>
      <c r="J75" s="135">
        <v>300027.00932272105</v>
      </c>
      <c r="K75" s="135">
        <v>300027.00932272105</v>
      </c>
      <c r="L75" s="135">
        <v>300027.00932272105</v>
      </c>
      <c r="M75" s="135">
        <v>300027.00932272105</v>
      </c>
      <c r="N75" s="135">
        <v>300027.00932272105</v>
      </c>
      <c r="O75" s="135">
        <v>300027.00932272105</v>
      </c>
      <c r="P75" s="135">
        <v>300027.00932272105</v>
      </c>
      <c r="Q75" s="135">
        <v>300027.00932272105</v>
      </c>
      <c r="R75" s="135">
        <v>300027.00932272105</v>
      </c>
      <c r="S75" s="135">
        <v>300027.00932272105</v>
      </c>
      <c r="T75" s="135">
        <v>300027.00932272105</v>
      </c>
      <c r="U75" s="135">
        <v>300027.00932272105</v>
      </c>
      <c r="V75" s="135">
        <v>300027.00932272105</v>
      </c>
      <c r="W75" s="135">
        <v>300027.00932272105</v>
      </c>
      <c r="X75" s="135">
        <v>300027.00932272105</v>
      </c>
      <c r="Y75" s="135">
        <v>300027.00932272105</v>
      </c>
      <c r="Z75" s="135">
        <v>300027.00932272105</v>
      </c>
      <c r="AA75" s="135">
        <v>300027.00932272105</v>
      </c>
      <c r="AB75" s="135">
        <v>300027.00932272105</v>
      </c>
      <c r="AC75" s="135">
        <v>300027.00932272105</v>
      </c>
      <c r="AD75" s="135">
        <v>300027.00932272105</v>
      </c>
      <c r="AE75" s="135">
        <v>300027.00932272105</v>
      </c>
      <c r="AF75" s="135">
        <v>300027.00932272105</v>
      </c>
      <c r="AG75" s="135">
        <v>300027.00932272105</v>
      </c>
      <c r="AH75" s="135">
        <v>300027.00932272105</v>
      </c>
      <c r="AI75" s="135">
        <v>300027.00932272105</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5">
        <v>2025</v>
      </c>
      <c r="G80" s="15">
        <v>2026</v>
      </c>
      <c r="H80" s="15">
        <v>2027</v>
      </c>
      <c r="I80" s="15">
        <v>2028</v>
      </c>
      <c r="J80" s="15">
        <v>2029</v>
      </c>
      <c r="K80" s="15">
        <v>2030</v>
      </c>
      <c r="L80" s="15">
        <v>2031</v>
      </c>
      <c r="M80" s="15">
        <v>2032</v>
      </c>
      <c r="N80" s="15">
        <v>2033</v>
      </c>
      <c r="O80" s="15">
        <v>2034</v>
      </c>
      <c r="P80" s="15">
        <v>2035</v>
      </c>
      <c r="Q80" s="15">
        <v>2036</v>
      </c>
      <c r="R80" s="15">
        <v>2037</v>
      </c>
      <c r="S80" s="15">
        <v>2038</v>
      </c>
      <c r="T80" s="15">
        <v>2039</v>
      </c>
      <c r="U80" s="15">
        <v>2040</v>
      </c>
      <c r="V80" s="15">
        <v>2041</v>
      </c>
      <c r="W80" s="15">
        <v>2042</v>
      </c>
      <c r="X80" s="15">
        <v>2043</v>
      </c>
      <c r="Y80" s="15">
        <v>2044</v>
      </c>
      <c r="Z80" s="15">
        <v>2045</v>
      </c>
      <c r="AA80" s="15">
        <v>2046</v>
      </c>
      <c r="AB80" s="15">
        <v>2047</v>
      </c>
      <c r="AC80" s="15">
        <v>2048</v>
      </c>
      <c r="AD80" s="15">
        <v>2049</v>
      </c>
      <c r="AE80" s="15">
        <v>2050</v>
      </c>
      <c r="AF80" s="15">
        <v>2051</v>
      </c>
      <c r="AG80" s="15">
        <v>2052</v>
      </c>
      <c r="AH80" s="15">
        <v>2053</v>
      </c>
      <c r="AI80" s="15">
        <v>2054</v>
      </c>
    </row>
    <row r="81" spans="1:35">
      <c r="C81" s="10" t="s">
        <v>338</v>
      </c>
      <c r="D81" s="11">
        <v>0</v>
      </c>
      <c r="E81" s="11">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5">
        <v>2025</v>
      </c>
      <c r="G86" s="15">
        <v>2026</v>
      </c>
      <c r="H86" s="15">
        <v>2027</v>
      </c>
      <c r="I86" s="15">
        <v>2028</v>
      </c>
      <c r="J86" s="15">
        <v>2029</v>
      </c>
      <c r="K86" s="15">
        <v>2030</v>
      </c>
      <c r="L86" s="15">
        <v>2031</v>
      </c>
      <c r="M86" s="15">
        <v>2032</v>
      </c>
      <c r="N86" s="15">
        <v>2033</v>
      </c>
      <c r="O86" s="15">
        <v>2034</v>
      </c>
      <c r="P86" s="15">
        <v>2035</v>
      </c>
      <c r="Q86" s="15">
        <v>2036</v>
      </c>
      <c r="R86" s="15">
        <v>2037</v>
      </c>
      <c r="S86" s="15">
        <v>2038</v>
      </c>
      <c r="T86" s="15">
        <v>2039</v>
      </c>
      <c r="U86" s="15">
        <v>2040</v>
      </c>
      <c r="V86" s="15">
        <v>2041</v>
      </c>
      <c r="W86" s="15">
        <v>2042</v>
      </c>
      <c r="X86" s="15">
        <v>2043</v>
      </c>
      <c r="Y86" s="15">
        <v>2044</v>
      </c>
      <c r="Z86" s="15">
        <v>2045</v>
      </c>
      <c r="AA86" s="15">
        <v>2046</v>
      </c>
      <c r="AB86" s="15">
        <v>2047</v>
      </c>
      <c r="AC86" s="15">
        <v>2048</v>
      </c>
      <c r="AD86" s="15">
        <v>2049</v>
      </c>
      <c r="AE86" s="15">
        <v>2050</v>
      </c>
      <c r="AF86" s="15">
        <v>2051</v>
      </c>
      <c r="AG86" s="15">
        <v>2052</v>
      </c>
      <c r="AH86" s="15">
        <v>2053</v>
      </c>
      <c r="AI86" s="15">
        <v>2054</v>
      </c>
    </row>
    <row r="87" spans="1:35">
      <c r="C87" s="35" t="s">
        <v>510</v>
      </c>
      <c r="D87" s="13">
        <v>21750000</v>
      </c>
      <c r="E87" s="13">
        <v>9020873.3312799968</v>
      </c>
      <c r="F87" s="135">
        <v>0</v>
      </c>
      <c r="G87" s="135">
        <v>750000</v>
      </c>
      <c r="H87" s="135">
        <v>750000</v>
      </c>
      <c r="I87" s="135">
        <v>750000</v>
      </c>
      <c r="J87" s="135">
        <v>750000</v>
      </c>
      <c r="K87" s="135">
        <v>750000</v>
      </c>
      <c r="L87" s="135">
        <v>750000</v>
      </c>
      <c r="M87" s="135">
        <v>750000</v>
      </c>
      <c r="N87" s="135">
        <v>750000</v>
      </c>
      <c r="O87" s="135">
        <v>750000</v>
      </c>
      <c r="P87" s="135">
        <v>750000</v>
      </c>
      <c r="Q87" s="135">
        <v>750000</v>
      </c>
      <c r="R87" s="135">
        <v>750000</v>
      </c>
      <c r="S87" s="135">
        <v>750000</v>
      </c>
      <c r="T87" s="135">
        <v>750000</v>
      </c>
      <c r="U87" s="135">
        <v>750000</v>
      </c>
      <c r="V87" s="135">
        <v>750000</v>
      </c>
      <c r="W87" s="135">
        <v>750000</v>
      </c>
      <c r="X87" s="135">
        <v>750000</v>
      </c>
      <c r="Y87" s="135">
        <v>750000</v>
      </c>
      <c r="Z87" s="135">
        <v>750000</v>
      </c>
      <c r="AA87" s="135">
        <v>750000</v>
      </c>
      <c r="AB87" s="135">
        <v>750000</v>
      </c>
      <c r="AC87" s="135">
        <v>750000</v>
      </c>
      <c r="AD87" s="135">
        <v>750000</v>
      </c>
      <c r="AE87" s="135">
        <v>750000</v>
      </c>
      <c r="AF87" s="135">
        <v>750000</v>
      </c>
      <c r="AG87" s="135">
        <v>750000</v>
      </c>
      <c r="AH87" s="135">
        <v>750000</v>
      </c>
      <c r="AI87" s="135">
        <v>750000</v>
      </c>
    </row>
    <row r="88" spans="1:35">
      <c r="C88" s="35" t="s">
        <v>511</v>
      </c>
      <c r="D88" s="13">
        <v>0</v>
      </c>
      <c r="E88" s="13">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v>0</v>
      </c>
      <c r="AF88" s="135">
        <v>0</v>
      </c>
      <c r="AG88" s="135">
        <v>0</v>
      </c>
      <c r="AH88" s="135">
        <v>0</v>
      </c>
      <c r="AI88" s="135">
        <v>0</v>
      </c>
    </row>
    <row r="89" spans="1:35">
      <c r="C89" s="35" t="s">
        <v>512</v>
      </c>
      <c r="D89" s="13">
        <v>21750000</v>
      </c>
      <c r="E89" s="13">
        <v>9020873.3312799968</v>
      </c>
      <c r="F89" s="18">
        <v>0</v>
      </c>
      <c r="G89" s="18">
        <v>750000</v>
      </c>
      <c r="H89" s="18">
        <v>750000</v>
      </c>
      <c r="I89" s="18">
        <v>750000</v>
      </c>
      <c r="J89" s="18">
        <v>750000</v>
      </c>
      <c r="K89" s="18">
        <v>750000</v>
      </c>
      <c r="L89" s="18">
        <v>750000</v>
      </c>
      <c r="M89" s="18">
        <v>750000</v>
      </c>
      <c r="N89" s="18">
        <v>750000</v>
      </c>
      <c r="O89" s="18">
        <v>750000</v>
      </c>
      <c r="P89" s="18">
        <v>750000</v>
      </c>
      <c r="Q89" s="18">
        <v>750000</v>
      </c>
      <c r="R89" s="18">
        <v>750000</v>
      </c>
      <c r="S89" s="18">
        <v>750000</v>
      </c>
      <c r="T89" s="18">
        <v>750000</v>
      </c>
      <c r="U89" s="18">
        <v>750000</v>
      </c>
      <c r="V89" s="18">
        <v>750000</v>
      </c>
      <c r="W89" s="18">
        <v>750000</v>
      </c>
      <c r="X89" s="18">
        <v>750000</v>
      </c>
      <c r="Y89" s="18">
        <v>750000</v>
      </c>
      <c r="Z89" s="18">
        <v>750000</v>
      </c>
      <c r="AA89" s="18">
        <v>750000</v>
      </c>
      <c r="AB89" s="18">
        <v>750000</v>
      </c>
      <c r="AC89" s="18">
        <v>750000</v>
      </c>
      <c r="AD89" s="18">
        <v>750000</v>
      </c>
      <c r="AE89" s="18">
        <v>750000</v>
      </c>
      <c r="AF89" s="18">
        <v>750000</v>
      </c>
      <c r="AG89" s="18">
        <v>750000</v>
      </c>
      <c r="AH89" s="18">
        <v>750000</v>
      </c>
      <c r="AI89" s="18">
        <v>750000</v>
      </c>
    </row>
    <row r="91" spans="1:35">
      <c r="C91" s="36"/>
    </row>
    <row r="92" spans="1:35">
      <c r="C92" s="39" t="s">
        <v>513</v>
      </c>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row>
    <row r="93" spans="1:35">
      <c r="C93" s="36"/>
    </row>
    <row r="94" spans="1:35">
      <c r="C94" s="14" t="s">
        <v>335</v>
      </c>
      <c r="D94" s="14" t="s">
        <v>514</v>
      </c>
    </row>
    <row r="95" spans="1:35">
      <c r="C95" s="4" t="s">
        <v>515</v>
      </c>
      <c r="D95" s="11">
        <v>9020873.3312799968</v>
      </c>
    </row>
    <row r="96" spans="1:35">
      <c r="C96" s="4" t="s">
        <v>516</v>
      </c>
      <c r="D96" s="11">
        <v>3608674.1960840384</v>
      </c>
    </row>
    <row r="97" spans="1:35">
      <c r="C97" s="4" t="s">
        <v>517</v>
      </c>
      <c r="D97" s="11">
        <v>0</v>
      </c>
    </row>
    <row r="98" spans="1:35">
      <c r="C98" s="4" t="s">
        <v>518</v>
      </c>
      <c r="D98" s="11">
        <v>5412199.1351959584</v>
      </c>
    </row>
    <row r="99" spans="1:35">
      <c r="C99" s="36"/>
    </row>
    <row r="100" spans="1:35">
      <c r="C100" s="36"/>
    </row>
    <row r="101" spans="1:35" s="7" customFormat="1">
      <c r="A101" s="6"/>
      <c r="C101" s="6" t="s">
        <v>246</v>
      </c>
    </row>
    <row r="102" spans="1:35">
      <c r="C102" s="36"/>
    </row>
    <row r="103" spans="1:35">
      <c r="C103" s="14" t="s">
        <v>246</v>
      </c>
      <c r="D103" s="14">
        <v>2054</v>
      </c>
    </row>
    <row r="104" spans="1:35">
      <c r="C104" s="4" t="s">
        <v>332</v>
      </c>
      <c r="D104" s="134">
        <v>0</v>
      </c>
    </row>
    <row r="105" spans="1:35">
      <c r="C105" s="36"/>
    </row>
    <row r="107" spans="1:35" s="7" customFormat="1">
      <c r="A107" s="6"/>
      <c r="C107" s="6" t="s">
        <v>312</v>
      </c>
    </row>
    <row r="109" spans="1:35">
      <c r="C109" s="14" t="s">
        <v>312</v>
      </c>
      <c r="D109" s="14" t="s">
        <v>325</v>
      </c>
      <c r="E109" s="14" t="s">
        <v>465</v>
      </c>
      <c r="F109" s="15">
        <v>2025</v>
      </c>
      <c r="G109" s="15">
        <v>2026</v>
      </c>
      <c r="H109" s="15">
        <v>2027</v>
      </c>
      <c r="I109" s="15">
        <v>2028</v>
      </c>
      <c r="J109" s="15">
        <v>2029</v>
      </c>
      <c r="K109" s="15">
        <v>2030</v>
      </c>
      <c r="L109" s="15">
        <v>2031</v>
      </c>
      <c r="M109" s="15">
        <v>2032</v>
      </c>
      <c r="N109" s="15">
        <v>2033</v>
      </c>
      <c r="O109" s="15">
        <v>2034</v>
      </c>
      <c r="P109" s="15">
        <v>2035</v>
      </c>
      <c r="Q109" s="15">
        <v>2036</v>
      </c>
      <c r="R109" s="15">
        <v>2037</v>
      </c>
      <c r="S109" s="15">
        <v>2038</v>
      </c>
      <c r="T109" s="15">
        <v>2039</v>
      </c>
      <c r="U109" s="15">
        <v>2040</v>
      </c>
      <c r="V109" s="15">
        <v>2041</v>
      </c>
      <c r="W109" s="15">
        <v>2042</v>
      </c>
      <c r="X109" s="15">
        <v>2043</v>
      </c>
      <c r="Y109" s="15">
        <v>2044</v>
      </c>
      <c r="Z109" s="15">
        <v>2045</v>
      </c>
      <c r="AA109" s="15">
        <v>2046</v>
      </c>
      <c r="AB109" s="15">
        <v>2047</v>
      </c>
      <c r="AC109" s="15">
        <v>2048</v>
      </c>
      <c r="AD109" s="15">
        <v>2049</v>
      </c>
      <c r="AE109" s="15">
        <v>2050</v>
      </c>
      <c r="AF109" s="15">
        <v>2051</v>
      </c>
      <c r="AG109" s="15">
        <v>2052</v>
      </c>
      <c r="AH109" s="15">
        <v>2053</v>
      </c>
      <c r="AI109" s="15">
        <v>2054</v>
      </c>
    </row>
    <row r="110" spans="1:35">
      <c r="C110" s="10" t="s">
        <v>314</v>
      </c>
      <c r="D110" s="11">
        <v>0</v>
      </c>
      <c r="E110" s="11">
        <v>0</v>
      </c>
      <c r="F110" s="135">
        <v>0</v>
      </c>
      <c r="G110" s="135">
        <v>0</v>
      </c>
      <c r="H110" s="135">
        <v>0</v>
      </c>
      <c r="I110" s="135">
        <v>0</v>
      </c>
      <c r="J110" s="135">
        <v>0</v>
      </c>
      <c r="K110" s="135">
        <v>0</v>
      </c>
      <c r="L110" s="135">
        <v>0</v>
      </c>
      <c r="M110" s="135">
        <v>0</v>
      </c>
      <c r="N110" s="135">
        <v>0</v>
      </c>
      <c r="O110" s="135">
        <v>0</v>
      </c>
      <c r="P110" s="135">
        <v>0</v>
      </c>
      <c r="Q110" s="135">
        <v>0</v>
      </c>
      <c r="R110" s="135">
        <v>0</v>
      </c>
      <c r="S110" s="135">
        <v>0</v>
      </c>
      <c r="T110" s="135">
        <v>0</v>
      </c>
      <c r="U110" s="135">
        <v>0</v>
      </c>
      <c r="V110" s="135">
        <v>0</v>
      </c>
      <c r="W110" s="135">
        <v>0</v>
      </c>
      <c r="X110" s="135">
        <v>0</v>
      </c>
      <c r="Y110" s="135">
        <v>0</v>
      </c>
      <c r="Z110" s="135">
        <v>0</v>
      </c>
      <c r="AA110" s="135">
        <v>0</v>
      </c>
      <c r="AB110" s="135">
        <v>0</v>
      </c>
      <c r="AC110" s="135">
        <v>0</v>
      </c>
      <c r="AD110" s="135">
        <v>0</v>
      </c>
      <c r="AE110" s="135">
        <v>0</v>
      </c>
      <c r="AF110" s="135">
        <v>0</v>
      </c>
      <c r="AG110" s="135">
        <v>0</v>
      </c>
      <c r="AH110" s="135">
        <v>0</v>
      </c>
      <c r="AI110" s="135">
        <v>0</v>
      </c>
    </row>
    <row r="111" spans="1:35">
      <c r="C111" s="10" t="s">
        <v>315</v>
      </c>
      <c r="D111" s="11">
        <v>0</v>
      </c>
      <c r="E111" s="11">
        <v>0</v>
      </c>
      <c r="F111" s="135">
        <v>0</v>
      </c>
      <c r="G111" s="135">
        <v>0</v>
      </c>
      <c r="H111" s="135">
        <v>0</v>
      </c>
      <c r="I111" s="135">
        <v>0</v>
      </c>
      <c r="J111" s="135">
        <v>0</v>
      </c>
      <c r="K111" s="135">
        <v>0</v>
      </c>
      <c r="L111" s="135">
        <v>0</v>
      </c>
      <c r="M111" s="135">
        <v>0</v>
      </c>
      <c r="N111" s="135">
        <v>0</v>
      </c>
      <c r="O111" s="135">
        <v>0</v>
      </c>
      <c r="P111" s="135">
        <v>0</v>
      </c>
      <c r="Q111" s="135">
        <v>0</v>
      </c>
      <c r="R111" s="135">
        <v>0</v>
      </c>
      <c r="S111" s="135">
        <v>0</v>
      </c>
      <c r="T111" s="135">
        <v>0</v>
      </c>
      <c r="U111" s="135">
        <v>0</v>
      </c>
      <c r="V111" s="135">
        <v>0</v>
      </c>
      <c r="W111" s="135">
        <v>0</v>
      </c>
      <c r="X111" s="135">
        <v>0</v>
      </c>
      <c r="Y111" s="135">
        <v>0</v>
      </c>
      <c r="Z111" s="135">
        <v>0</v>
      </c>
      <c r="AA111" s="135">
        <v>0</v>
      </c>
      <c r="AB111" s="135">
        <v>0</v>
      </c>
      <c r="AC111" s="135">
        <v>0</v>
      </c>
      <c r="AD111" s="135">
        <v>0</v>
      </c>
      <c r="AE111" s="135">
        <v>0</v>
      </c>
      <c r="AF111" s="135">
        <v>0</v>
      </c>
      <c r="AG111" s="135">
        <v>0</v>
      </c>
      <c r="AH111" s="135">
        <v>0</v>
      </c>
      <c r="AI111" s="135">
        <v>0</v>
      </c>
    </row>
    <row r="112" spans="1:35">
      <c r="C112" s="10" t="s">
        <v>316</v>
      </c>
      <c r="D112" s="11">
        <v>0</v>
      </c>
      <c r="E112" s="11">
        <v>0</v>
      </c>
      <c r="F112" s="135">
        <v>0</v>
      </c>
      <c r="G112" s="135">
        <v>0</v>
      </c>
      <c r="H112" s="135">
        <v>0</v>
      </c>
      <c r="I112" s="135">
        <v>0</v>
      </c>
      <c r="J112" s="135">
        <v>0</v>
      </c>
      <c r="K112" s="135">
        <v>0</v>
      </c>
      <c r="L112" s="135">
        <v>0</v>
      </c>
      <c r="M112" s="135">
        <v>0</v>
      </c>
      <c r="N112" s="135">
        <v>0</v>
      </c>
      <c r="O112" s="135">
        <v>0</v>
      </c>
      <c r="P112" s="135">
        <v>0</v>
      </c>
      <c r="Q112" s="135">
        <v>0</v>
      </c>
      <c r="R112" s="135">
        <v>0</v>
      </c>
      <c r="S112" s="135">
        <v>0</v>
      </c>
      <c r="T112" s="135">
        <v>0</v>
      </c>
      <c r="U112" s="135">
        <v>0</v>
      </c>
      <c r="V112" s="135">
        <v>0</v>
      </c>
      <c r="W112" s="135">
        <v>0</v>
      </c>
      <c r="X112" s="135">
        <v>0</v>
      </c>
      <c r="Y112" s="135">
        <v>0</v>
      </c>
      <c r="Z112" s="135">
        <v>0</v>
      </c>
      <c r="AA112" s="135">
        <v>0</v>
      </c>
      <c r="AB112" s="135">
        <v>0</v>
      </c>
      <c r="AC112" s="135">
        <v>0</v>
      </c>
      <c r="AD112" s="135">
        <v>0</v>
      </c>
      <c r="AE112" s="135">
        <v>0</v>
      </c>
      <c r="AF112" s="135">
        <v>0</v>
      </c>
      <c r="AG112" s="135">
        <v>0</v>
      </c>
      <c r="AH112" s="135">
        <v>0</v>
      </c>
      <c r="AI112" s="135">
        <v>0</v>
      </c>
    </row>
    <row r="113" spans="1:35">
      <c r="C113" s="10" t="s">
        <v>317</v>
      </c>
      <c r="D113" s="11">
        <v>0</v>
      </c>
      <c r="E113" s="11">
        <v>0</v>
      </c>
      <c r="F113" s="135">
        <v>0</v>
      </c>
      <c r="G113" s="135">
        <v>0</v>
      </c>
      <c r="H113" s="135">
        <v>0</v>
      </c>
      <c r="I113" s="135">
        <v>0</v>
      </c>
      <c r="J113" s="135">
        <v>0</v>
      </c>
      <c r="K113" s="135">
        <v>0</v>
      </c>
      <c r="L113" s="135">
        <v>0</v>
      </c>
      <c r="M113" s="135">
        <v>0</v>
      </c>
      <c r="N113" s="135">
        <v>0</v>
      </c>
      <c r="O113" s="135">
        <v>0</v>
      </c>
      <c r="P113" s="135">
        <v>0</v>
      </c>
      <c r="Q113" s="135">
        <v>0</v>
      </c>
      <c r="R113" s="135">
        <v>0</v>
      </c>
      <c r="S113" s="135">
        <v>0</v>
      </c>
      <c r="T113" s="135">
        <v>0</v>
      </c>
      <c r="U113" s="135">
        <v>0</v>
      </c>
      <c r="V113" s="135">
        <v>0</v>
      </c>
      <c r="W113" s="135">
        <v>0</v>
      </c>
      <c r="X113" s="135">
        <v>0</v>
      </c>
      <c r="Y113" s="135">
        <v>0</v>
      </c>
      <c r="Z113" s="135">
        <v>0</v>
      </c>
      <c r="AA113" s="135">
        <v>0</v>
      </c>
      <c r="AB113" s="135">
        <v>0</v>
      </c>
      <c r="AC113" s="135">
        <v>0</v>
      </c>
      <c r="AD113" s="135">
        <v>0</v>
      </c>
      <c r="AE113" s="135">
        <v>0</v>
      </c>
      <c r="AF113" s="135">
        <v>0</v>
      </c>
      <c r="AG113" s="135">
        <v>0</v>
      </c>
      <c r="AH113" s="135">
        <v>0</v>
      </c>
      <c r="AI113" s="135">
        <v>0</v>
      </c>
    </row>
    <row r="114" spans="1:35">
      <c r="C114" s="10" t="s">
        <v>318</v>
      </c>
      <c r="D114" s="11">
        <v>0</v>
      </c>
      <c r="E114" s="11">
        <v>0</v>
      </c>
      <c r="F114" s="135">
        <v>0</v>
      </c>
      <c r="G114" s="135">
        <v>0</v>
      </c>
      <c r="H114" s="135">
        <v>0</v>
      </c>
      <c r="I114" s="135">
        <v>0</v>
      </c>
      <c r="J114" s="135">
        <v>0</v>
      </c>
      <c r="K114" s="135">
        <v>0</v>
      </c>
      <c r="L114" s="135">
        <v>0</v>
      </c>
      <c r="M114" s="135">
        <v>0</v>
      </c>
      <c r="N114" s="135">
        <v>0</v>
      </c>
      <c r="O114" s="135">
        <v>0</v>
      </c>
      <c r="P114" s="135">
        <v>0</v>
      </c>
      <c r="Q114" s="135">
        <v>0</v>
      </c>
      <c r="R114" s="135">
        <v>0</v>
      </c>
      <c r="S114" s="135">
        <v>0</v>
      </c>
      <c r="T114" s="135">
        <v>0</v>
      </c>
      <c r="U114" s="135">
        <v>0</v>
      </c>
      <c r="V114" s="135">
        <v>0</v>
      </c>
      <c r="W114" s="135">
        <v>0</v>
      </c>
      <c r="X114" s="135">
        <v>0</v>
      </c>
      <c r="Y114" s="135">
        <v>0</v>
      </c>
      <c r="Z114" s="135">
        <v>0</v>
      </c>
      <c r="AA114" s="135">
        <v>0</v>
      </c>
      <c r="AB114" s="135">
        <v>0</v>
      </c>
      <c r="AC114" s="135">
        <v>0</v>
      </c>
      <c r="AD114" s="135">
        <v>0</v>
      </c>
      <c r="AE114" s="135">
        <v>0</v>
      </c>
      <c r="AF114" s="135">
        <v>0</v>
      </c>
      <c r="AG114" s="135">
        <v>0</v>
      </c>
      <c r="AH114" s="135">
        <v>0</v>
      </c>
      <c r="AI114" s="135">
        <v>0</v>
      </c>
    </row>
    <row r="117" spans="1:35" s="22" customFormat="1">
      <c r="A117" s="21" t="s">
        <v>519</v>
      </c>
      <c r="C117" s="21"/>
    </row>
    <row r="119" spans="1:35">
      <c r="C119" s="39" t="s">
        <v>520</v>
      </c>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row>
    <row r="121" spans="1:35">
      <c r="C121" s="14" t="s">
        <v>335</v>
      </c>
      <c r="D121" s="14" t="s">
        <v>325</v>
      </c>
      <c r="E121" s="14" t="s">
        <v>465</v>
      </c>
      <c r="F121" s="15">
        <v>2025</v>
      </c>
      <c r="G121" s="15">
        <v>2026</v>
      </c>
      <c r="H121" s="15">
        <v>2027</v>
      </c>
      <c r="I121" s="15">
        <v>2028</v>
      </c>
      <c r="J121" s="15">
        <v>2029</v>
      </c>
      <c r="K121" s="15">
        <v>2030</v>
      </c>
      <c r="L121" s="15">
        <v>2031</v>
      </c>
      <c r="M121" s="15">
        <v>2032</v>
      </c>
      <c r="N121" s="15">
        <v>2033</v>
      </c>
      <c r="O121" s="15">
        <v>2034</v>
      </c>
      <c r="P121" s="15">
        <v>2035</v>
      </c>
      <c r="Q121" s="15">
        <v>2036</v>
      </c>
      <c r="R121" s="15">
        <v>2037</v>
      </c>
      <c r="S121" s="15">
        <v>2038</v>
      </c>
      <c r="T121" s="15">
        <v>2039</v>
      </c>
      <c r="U121" s="15">
        <v>2040</v>
      </c>
      <c r="V121" s="15">
        <v>2041</v>
      </c>
      <c r="W121" s="15">
        <v>2042</v>
      </c>
      <c r="X121" s="15">
        <v>2043</v>
      </c>
      <c r="Y121" s="15">
        <v>2044</v>
      </c>
      <c r="Z121" s="15">
        <v>2045</v>
      </c>
      <c r="AA121" s="15">
        <v>2046</v>
      </c>
      <c r="AB121" s="15">
        <v>2047</v>
      </c>
      <c r="AC121" s="15">
        <v>2048</v>
      </c>
      <c r="AD121" s="15">
        <v>2049</v>
      </c>
      <c r="AE121" s="15">
        <v>2050</v>
      </c>
      <c r="AF121" s="15">
        <v>2051</v>
      </c>
      <c r="AG121" s="15">
        <v>2052</v>
      </c>
      <c r="AH121" s="15">
        <v>2053</v>
      </c>
      <c r="AI121" s="15">
        <v>2054</v>
      </c>
    </row>
    <row r="122" spans="1:35">
      <c r="C122" s="10" t="s">
        <v>336</v>
      </c>
      <c r="D122" s="11">
        <v>78835000</v>
      </c>
      <c r="E122" s="11">
        <v>78835000</v>
      </c>
      <c r="F122" s="16">
        <v>78835000</v>
      </c>
      <c r="G122" s="16">
        <v>0</v>
      </c>
      <c r="H122" s="16">
        <v>0</v>
      </c>
      <c r="I122" s="16">
        <v>0</v>
      </c>
      <c r="J122" s="16">
        <v>0</v>
      </c>
      <c r="K122" s="16">
        <v>0</v>
      </c>
      <c r="L122" s="16">
        <v>0</v>
      </c>
      <c r="M122" s="16">
        <v>0</v>
      </c>
      <c r="N122" s="16">
        <v>0</v>
      </c>
      <c r="O122" s="16">
        <v>0</v>
      </c>
      <c r="P122" s="16">
        <v>0</v>
      </c>
      <c r="Q122" s="16">
        <v>0</v>
      </c>
      <c r="R122" s="16">
        <v>0</v>
      </c>
      <c r="S122" s="16">
        <v>0</v>
      </c>
      <c r="T122" s="16">
        <v>0</v>
      </c>
      <c r="U122" s="16">
        <v>0</v>
      </c>
      <c r="V122" s="16">
        <v>0</v>
      </c>
      <c r="W122" s="16">
        <v>0</v>
      </c>
      <c r="X122" s="16">
        <v>0</v>
      </c>
      <c r="Y122" s="16">
        <v>0</v>
      </c>
      <c r="Z122" s="16">
        <v>0</v>
      </c>
      <c r="AA122" s="16">
        <v>0</v>
      </c>
      <c r="AB122" s="16">
        <v>0</v>
      </c>
      <c r="AC122" s="16">
        <v>0</v>
      </c>
      <c r="AD122" s="16">
        <v>0</v>
      </c>
      <c r="AE122" s="16">
        <v>0</v>
      </c>
      <c r="AF122" s="16">
        <v>0</v>
      </c>
      <c r="AG122" s="16">
        <v>0</v>
      </c>
      <c r="AH122" s="16">
        <v>0</v>
      </c>
      <c r="AI122" s="16">
        <v>0</v>
      </c>
    </row>
    <row r="123" spans="1:35">
      <c r="C123" s="10" t="s">
        <v>301</v>
      </c>
      <c r="D123" s="11">
        <v>8700783.2703589164</v>
      </c>
      <c r="E123" s="11">
        <v>3608674.1960840384</v>
      </c>
      <c r="F123" s="16">
        <v>0</v>
      </c>
      <c r="G123" s="16">
        <v>300027.00932272105</v>
      </c>
      <c r="H123" s="16">
        <v>300027.00932272105</v>
      </c>
      <c r="I123" s="16">
        <v>300027.00932272105</v>
      </c>
      <c r="J123" s="16">
        <v>300027.00932272105</v>
      </c>
      <c r="K123" s="16">
        <v>300027.00932272105</v>
      </c>
      <c r="L123" s="16">
        <v>300027.00932272105</v>
      </c>
      <c r="M123" s="16">
        <v>300027.00932272105</v>
      </c>
      <c r="N123" s="16">
        <v>300027.00932272105</v>
      </c>
      <c r="O123" s="16">
        <v>300027.00932272105</v>
      </c>
      <c r="P123" s="16">
        <v>300027.00932272105</v>
      </c>
      <c r="Q123" s="16">
        <v>300027.00932272105</v>
      </c>
      <c r="R123" s="16">
        <v>300027.00932272105</v>
      </c>
      <c r="S123" s="16">
        <v>300027.00932272105</v>
      </c>
      <c r="T123" s="16">
        <v>300027.00932272105</v>
      </c>
      <c r="U123" s="16">
        <v>300027.00932272105</v>
      </c>
      <c r="V123" s="16">
        <v>300027.00932272105</v>
      </c>
      <c r="W123" s="16">
        <v>300027.00932272105</v>
      </c>
      <c r="X123" s="16">
        <v>300027.00932272105</v>
      </c>
      <c r="Y123" s="16">
        <v>300027.00932272105</v>
      </c>
      <c r="Z123" s="16">
        <v>300027.00932272105</v>
      </c>
      <c r="AA123" s="16">
        <v>300027.00932272105</v>
      </c>
      <c r="AB123" s="16">
        <v>300027.00932272105</v>
      </c>
      <c r="AC123" s="16">
        <v>300027.00932272105</v>
      </c>
      <c r="AD123" s="16">
        <v>300027.00932272105</v>
      </c>
      <c r="AE123" s="16">
        <v>300027.00932272105</v>
      </c>
      <c r="AF123" s="16">
        <v>300027.00932272105</v>
      </c>
      <c r="AG123" s="16">
        <v>300027.00932272105</v>
      </c>
      <c r="AH123" s="16">
        <v>300027.00932272105</v>
      </c>
      <c r="AI123" s="16">
        <v>300027.00932272105</v>
      </c>
    </row>
    <row r="124" spans="1:35" ht="14.4">
      <c r="C124" s="23" t="s">
        <v>337</v>
      </c>
      <c r="D124" s="24">
        <v>8700783.2703589164</v>
      </c>
      <c r="E124" s="24">
        <v>3608674.1960840384</v>
      </c>
      <c r="F124" s="25">
        <v>0</v>
      </c>
      <c r="G124" s="25">
        <v>300027.00932272105</v>
      </c>
      <c r="H124" s="25">
        <v>300027.00932272105</v>
      </c>
      <c r="I124" s="25">
        <v>300027.00932272105</v>
      </c>
      <c r="J124" s="25">
        <v>300027.00932272105</v>
      </c>
      <c r="K124" s="25">
        <v>300027.00932272105</v>
      </c>
      <c r="L124" s="25">
        <v>300027.00932272105</v>
      </c>
      <c r="M124" s="25">
        <v>300027.00932272105</v>
      </c>
      <c r="N124" s="25">
        <v>300027.00932272105</v>
      </c>
      <c r="O124" s="25">
        <v>300027.00932272105</v>
      </c>
      <c r="P124" s="25">
        <v>300027.00932272105</v>
      </c>
      <c r="Q124" s="25">
        <v>300027.00932272105</v>
      </c>
      <c r="R124" s="25">
        <v>300027.00932272105</v>
      </c>
      <c r="S124" s="25">
        <v>300027.00932272105</v>
      </c>
      <c r="T124" s="25">
        <v>300027.00932272105</v>
      </c>
      <c r="U124" s="25">
        <v>300027.00932272105</v>
      </c>
      <c r="V124" s="25">
        <v>300027.00932272105</v>
      </c>
      <c r="W124" s="25">
        <v>300027.00932272105</v>
      </c>
      <c r="X124" s="25">
        <v>300027.00932272105</v>
      </c>
      <c r="Y124" s="25">
        <v>300027.00932272105</v>
      </c>
      <c r="Z124" s="25">
        <v>300027.00932272105</v>
      </c>
      <c r="AA124" s="25">
        <v>300027.00932272105</v>
      </c>
      <c r="AB124" s="25">
        <v>300027.00932272105</v>
      </c>
      <c r="AC124" s="25">
        <v>300027.00932272105</v>
      </c>
      <c r="AD124" s="25">
        <v>300027.00932272105</v>
      </c>
      <c r="AE124" s="25">
        <v>300027.00932272105</v>
      </c>
      <c r="AF124" s="25">
        <v>300027.00932272105</v>
      </c>
      <c r="AG124" s="25">
        <v>300027.00932272105</v>
      </c>
      <c r="AH124" s="25">
        <v>300027.00932272105</v>
      </c>
      <c r="AI124" s="25">
        <v>300027.00932272105</v>
      </c>
    </row>
    <row r="125" spans="1:35" ht="14.4">
      <c r="C125" s="23" t="s">
        <v>521</v>
      </c>
      <c r="D125" s="24">
        <v>0</v>
      </c>
      <c r="E125" s="24">
        <v>0</v>
      </c>
      <c r="F125" s="25">
        <v>0</v>
      </c>
      <c r="G125" s="25">
        <v>0</v>
      </c>
      <c r="H125" s="25">
        <v>0</v>
      </c>
      <c r="I125" s="25">
        <v>0</v>
      </c>
      <c r="J125" s="25">
        <v>0</v>
      </c>
      <c r="K125" s="25">
        <v>0</v>
      </c>
      <c r="L125" s="25">
        <v>0</v>
      </c>
      <c r="M125" s="25">
        <v>0</v>
      </c>
      <c r="N125" s="25">
        <v>0</v>
      </c>
      <c r="O125" s="25">
        <v>0</v>
      </c>
      <c r="P125" s="25">
        <v>0</v>
      </c>
      <c r="Q125" s="25">
        <v>0</v>
      </c>
      <c r="R125" s="25">
        <v>0</v>
      </c>
      <c r="S125" s="25">
        <v>0</v>
      </c>
      <c r="T125" s="25">
        <v>0</v>
      </c>
      <c r="U125" s="25">
        <v>0</v>
      </c>
      <c r="V125" s="25">
        <v>0</v>
      </c>
      <c r="W125" s="25">
        <v>0</v>
      </c>
      <c r="X125" s="25">
        <v>0</v>
      </c>
      <c r="Y125" s="25">
        <v>0</v>
      </c>
      <c r="Z125" s="25">
        <v>0</v>
      </c>
      <c r="AA125" s="25">
        <v>0</v>
      </c>
      <c r="AB125" s="25">
        <v>0</v>
      </c>
      <c r="AC125" s="25">
        <v>0</v>
      </c>
      <c r="AD125" s="25">
        <v>0</v>
      </c>
      <c r="AE125" s="25">
        <v>0</v>
      </c>
      <c r="AF125" s="25">
        <v>0</v>
      </c>
      <c r="AG125" s="25">
        <v>0</v>
      </c>
      <c r="AH125" s="25">
        <v>0</v>
      </c>
      <c r="AI125" s="25">
        <v>0</v>
      </c>
    </row>
    <row r="126" spans="1:35">
      <c r="C126" s="19" t="s">
        <v>246</v>
      </c>
      <c r="D126" s="11">
        <v>0</v>
      </c>
      <c r="E126" s="11">
        <v>0</v>
      </c>
      <c r="F126" s="16">
        <v>0</v>
      </c>
      <c r="G126" s="16">
        <v>0</v>
      </c>
      <c r="H126" s="16">
        <v>0</v>
      </c>
      <c r="I126" s="16">
        <v>0</v>
      </c>
      <c r="J126" s="16">
        <v>0</v>
      </c>
      <c r="K126" s="16">
        <v>0</v>
      </c>
      <c r="L126" s="16">
        <v>0</v>
      </c>
      <c r="M126" s="16">
        <v>0</v>
      </c>
      <c r="N126" s="16">
        <v>0</v>
      </c>
      <c r="O126" s="16">
        <v>0</v>
      </c>
      <c r="P126" s="16">
        <v>0</v>
      </c>
      <c r="Q126" s="16">
        <v>0</v>
      </c>
      <c r="R126" s="16">
        <v>0</v>
      </c>
      <c r="S126" s="16">
        <v>0</v>
      </c>
      <c r="T126" s="16">
        <v>0</v>
      </c>
      <c r="U126" s="16">
        <v>0</v>
      </c>
      <c r="V126" s="16">
        <v>0</v>
      </c>
      <c r="W126" s="16">
        <v>0</v>
      </c>
      <c r="X126" s="16">
        <v>0</v>
      </c>
      <c r="Y126" s="16">
        <v>0</v>
      </c>
      <c r="Z126" s="16">
        <v>0</v>
      </c>
      <c r="AA126" s="16">
        <v>0</v>
      </c>
      <c r="AB126" s="16">
        <v>0</v>
      </c>
      <c r="AC126" s="16">
        <v>0</v>
      </c>
      <c r="AD126" s="16">
        <v>0</v>
      </c>
      <c r="AE126" s="16">
        <v>0</v>
      </c>
      <c r="AF126" s="16">
        <v>0</v>
      </c>
      <c r="AG126" s="16">
        <v>0</v>
      </c>
      <c r="AH126" s="16">
        <v>0</v>
      </c>
      <c r="AI126" s="16">
        <v>0</v>
      </c>
    </row>
    <row r="127" spans="1:35">
      <c r="C127" s="20" t="s">
        <v>288</v>
      </c>
      <c r="D127" s="13">
        <v>87535783.270358816</v>
      </c>
      <c r="E127" s="13">
        <v>82443674.196084037</v>
      </c>
      <c r="F127" s="18">
        <v>78835000</v>
      </c>
      <c r="G127" s="18">
        <v>300027.00932272105</v>
      </c>
      <c r="H127" s="18">
        <v>300027.00932272105</v>
      </c>
      <c r="I127" s="18">
        <v>300027.00932272105</v>
      </c>
      <c r="J127" s="18">
        <v>300027.00932272105</v>
      </c>
      <c r="K127" s="18">
        <v>300027.00932272105</v>
      </c>
      <c r="L127" s="18">
        <v>300027.00932272105</v>
      </c>
      <c r="M127" s="18">
        <v>300027.00932272105</v>
      </c>
      <c r="N127" s="18">
        <v>300027.00932272105</v>
      </c>
      <c r="O127" s="18">
        <v>300027.00932272105</v>
      </c>
      <c r="P127" s="18">
        <v>300027.00932272105</v>
      </c>
      <c r="Q127" s="18">
        <v>300027.00932272105</v>
      </c>
      <c r="R127" s="18">
        <v>300027.00932272105</v>
      </c>
      <c r="S127" s="18">
        <v>300027.00932272105</v>
      </c>
      <c r="T127" s="18">
        <v>300027.00932272105</v>
      </c>
      <c r="U127" s="18">
        <v>300027.00932272105</v>
      </c>
      <c r="V127" s="18">
        <v>300027.00932272105</v>
      </c>
      <c r="W127" s="18">
        <v>300027.00932272105</v>
      </c>
      <c r="X127" s="18">
        <v>300027.00932272105</v>
      </c>
      <c r="Y127" s="18">
        <v>300027.00932272105</v>
      </c>
      <c r="Z127" s="18">
        <v>300027.00932272105</v>
      </c>
      <c r="AA127" s="18">
        <v>300027.00932272105</v>
      </c>
      <c r="AB127" s="18">
        <v>300027.00932272105</v>
      </c>
      <c r="AC127" s="18">
        <v>300027.00932272105</v>
      </c>
      <c r="AD127" s="18">
        <v>300027.00932272105</v>
      </c>
      <c r="AE127" s="18">
        <v>300027.00932272105</v>
      </c>
      <c r="AF127" s="18">
        <v>300027.00932272105</v>
      </c>
      <c r="AG127" s="18">
        <v>300027.00932272105</v>
      </c>
      <c r="AH127" s="18">
        <v>300027.00932272105</v>
      </c>
      <c r="AI127" s="18">
        <v>300027.00932272105</v>
      </c>
    </row>
    <row r="130" spans="3:35">
      <c r="C130" s="39" t="s">
        <v>522</v>
      </c>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row>
    <row r="132" spans="3:35">
      <c r="C132" s="14" t="s">
        <v>344</v>
      </c>
      <c r="D132" s="14" t="s">
        <v>325</v>
      </c>
      <c r="E132" s="14" t="s">
        <v>465</v>
      </c>
      <c r="F132" s="15">
        <v>2025</v>
      </c>
      <c r="G132" s="15">
        <v>2026</v>
      </c>
      <c r="H132" s="15">
        <v>2027</v>
      </c>
      <c r="I132" s="15">
        <v>2028</v>
      </c>
      <c r="J132" s="15">
        <v>2029</v>
      </c>
      <c r="K132" s="15">
        <v>2030</v>
      </c>
      <c r="L132" s="15">
        <v>2031</v>
      </c>
      <c r="M132" s="15">
        <v>2032</v>
      </c>
      <c r="N132" s="15">
        <v>2033</v>
      </c>
      <c r="O132" s="15">
        <v>2034</v>
      </c>
      <c r="P132" s="15">
        <v>2035</v>
      </c>
      <c r="Q132" s="15">
        <v>2036</v>
      </c>
      <c r="R132" s="15">
        <v>2037</v>
      </c>
      <c r="S132" s="15">
        <v>2038</v>
      </c>
      <c r="T132" s="15">
        <v>2039</v>
      </c>
      <c r="U132" s="15">
        <v>2040</v>
      </c>
      <c r="V132" s="15">
        <v>2041</v>
      </c>
      <c r="W132" s="15">
        <v>2042</v>
      </c>
      <c r="X132" s="15">
        <v>2043</v>
      </c>
      <c r="Y132" s="15">
        <v>2044</v>
      </c>
      <c r="Z132" s="15">
        <v>2045</v>
      </c>
      <c r="AA132" s="15">
        <v>2046</v>
      </c>
      <c r="AB132" s="15">
        <v>2047</v>
      </c>
      <c r="AC132" s="15">
        <v>2048</v>
      </c>
      <c r="AD132" s="15">
        <v>2049</v>
      </c>
      <c r="AE132" s="15">
        <v>2050</v>
      </c>
      <c r="AF132" s="15">
        <v>2051</v>
      </c>
      <c r="AG132" s="15">
        <v>2052</v>
      </c>
      <c r="AH132" s="15">
        <v>2053</v>
      </c>
      <c r="AI132" s="15">
        <v>2054</v>
      </c>
    </row>
    <row r="133" spans="3:35">
      <c r="C133" s="26" t="s">
        <v>345</v>
      </c>
      <c r="D133" s="11">
        <v>78835000</v>
      </c>
      <c r="E133" s="11">
        <v>78835000</v>
      </c>
      <c r="F133" s="16">
        <v>78835000</v>
      </c>
      <c r="G133" s="16">
        <v>0</v>
      </c>
      <c r="H133" s="16">
        <v>0</v>
      </c>
      <c r="I133" s="16">
        <v>0</v>
      </c>
      <c r="J133" s="16">
        <v>0</v>
      </c>
      <c r="K133" s="16">
        <v>0</v>
      </c>
      <c r="L133" s="16">
        <v>0</v>
      </c>
      <c r="M133" s="16">
        <v>0</v>
      </c>
      <c r="N133" s="16">
        <v>0</v>
      </c>
      <c r="O133" s="16">
        <v>0</v>
      </c>
      <c r="P133" s="16">
        <v>0</v>
      </c>
      <c r="Q133" s="16">
        <v>0</v>
      </c>
      <c r="R133" s="16">
        <v>0</v>
      </c>
      <c r="S133" s="16">
        <v>0</v>
      </c>
      <c r="T133" s="16">
        <v>0</v>
      </c>
      <c r="U133" s="16">
        <v>0</v>
      </c>
      <c r="V133" s="16">
        <v>0</v>
      </c>
      <c r="W133" s="16">
        <v>0</v>
      </c>
      <c r="X133" s="16">
        <v>0</v>
      </c>
      <c r="Y133" s="16">
        <v>0</v>
      </c>
      <c r="Z133" s="16">
        <v>0</v>
      </c>
      <c r="AA133" s="16">
        <v>0</v>
      </c>
      <c r="AB133" s="16">
        <v>0</v>
      </c>
      <c r="AC133" s="16">
        <v>0</v>
      </c>
      <c r="AD133" s="16">
        <v>0</v>
      </c>
      <c r="AE133" s="16">
        <v>0</v>
      </c>
      <c r="AF133" s="16">
        <v>0</v>
      </c>
      <c r="AG133" s="16">
        <v>0</v>
      </c>
      <c r="AH133" s="16">
        <v>0</v>
      </c>
      <c r="AI133" s="16">
        <v>0</v>
      </c>
    </row>
    <row r="134" spans="3:35">
      <c r="C134" s="26" t="s">
        <v>346</v>
      </c>
      <c r="D134" s="11">
        <v>8700783.2703589164</v>
      </c>
      <c r="E134" s="11">
        <v>3608674.1960840384</v>
      </c>
      <c r="F134" s="16">
        <v>0</v>
      </c>
      <c r="G134" s="16">
        <v>300027.00932272105</v>
      </c>
      <c r="H134" s="16">
        <v>300027.00932272105</v>
      </c>
      <c r="I134" s="16">
        <v>300027.00932272105</v>
      </c>
      <c r="J134" s="16">
        <v>300027.00932272105</v>
      </c>
      <c r="K134" s="16">
        <v>300027.00932272105</v>
      </c>
      <c r="L134" s="16">
        <v>300027.00932272105</v>
      </c>
      <c r="M134" s="16">
        <v>300027.00932272105</v>
      </c>
      <c r="N134" s="16">
        <v>300027.00932272105</v>
      </c>
      <c r="O134" s="16">
        <v>300027.00932272105</v>
      </c>
      <c r="P134" s="16">
        <v>300027.00932272105</v>
      </c>
      <c r="Q134" s="16">
        <v>300027.00932272105</v>
      </c>
      <c r="R134" s="16">
        <v>300027.00932272105</v>
      </c>
      <c r="S134" s="16">
        <v>300027.00932272105</v>
      </c>
      <c r="T134" s="16">
        <v>300027.00932272105</v>
      </c>
      <c r="U134" s="16">
        <v>300027.00932272105</v>
      </c>
      <c r="V134" s="16">
        <v>300027.00932272105</v>
      </c>
      <c r="W134" s="16">
        <v>300027.00932272105</v>
      </c>
      <c r="X134" s="16">
        <v>300027.00932272105</v>
      </c>
      <c r="Y134" s="16">
        <v>300027.00932272105</v>
      </c>
      <c r="Z134" s="16">
        <v>300027.00932272105</v>
      </c>
      <c r="AA134" s="16">
        <v>300027.00932272105</v>
      </c>
      <c r="AB134" s="16">
        <v>300027.00932272105</v>
      </c>
      <c r="AC134" s="16">
        <v>300027.00932272105</v>
      </c>
      <c r="AD134" s="16">
        <v>300027.00932272105</v>
      </c>
      <c r="AE134" s="16">
        <v>300027.00932272105</v>
      </c>
      <c r="AF134" s="16">
        <v>300027.00932272105</v>
      </c>
      <c r="AG134" s="16">
        <v>300027.00932272105</v>
      </c>
      <c r="AH134" s="16">
        <v>300027.00932272105</v>
      </c>
      <c r="AI134" s="16">
        <v>300027.00932272105</v>
      </c>
    </row>
    <row r="135" spans="3:35">
      <c r="C135" s="27" t="s">
        <v>349</v>
      </c>
      <c r="D135" s="13">
        <v>87535783.270358816</v>
      </c>
      <c r="E135" s="13">
        <v>82443674.196084037</v>
      </c>
      <c r="F135" s="18">
        <v>78835000</v>
      </c>
      <c r="G135" s="18">
        <v>300027.00932272105</v>
      </c>
      <c r="H135" s="18">
        <v>300027.00932272105</v>
      </c>
      <c r="I135" s="18">
        <v>300027.00932272105</v>
      </c>
      <c r="J135" s="18">
        <v>300027.00932272105</v>
      </c>
      <c r="K135" s="18">
        <v>300027.00932272105</v>
      </c>
      <c r="L135" s="18">
        <v>300027.00932272105</v>
      </c>
      <c r="M135" s="18">
        <v>300027.00932272105</v>
      </c>
      <c r="N135" s="18">
        <v>300027.00932272105</v>
      </c>
      <c r="O135" s="18">
        <v>300027.00932272105</v>
      </c>
      <c r="P135" s="18">
        <v>300027.00932272105</v>
      </c>
      <c r="Q135" s="18">
        <v>300027.00932272105</v>
      </c>
      <c r="R135" s="18">
        <v>300027.00932272105</v>
      </c>
      <c r="S135" s="18">
        <v>300027.00932272105</v>
      </c>
      <c r="T135" s="18">
        <v>300027.00932272105</v>
      </c>
      <c r="U135" s="18">
        <v>300027.00932272105</v>
      </c>
      <c r="V135" s="18">
        <v>300027.00932272105</v>
      </c>
      <c r="W135" s="18">
        <v>300027.00932272105</v>
      </c>
      <c r="X135" s="18">
        <v>300027.00932272105</v>
      </c>
      <c r="Y135" s="18">
        <v>300027.00932272105</v>
      </c>
      <c r="Z135" s="18">
        <v>300027.00932272105</v>
      </c>
      <c r="AA135" s="18">
        <v>300027.00932272105</v>
      </c>
      <c r="AB135" s="18">
        <v>300027.00932272105</v>
      </c>
      <c r="AC135" s="18">
        <v>300027.00932272105</v>
      </c>
      <c r="AD135" s="18">
        <v>300027.00932272105</v>
      </c>
      <c r="AE135" s="18">
        <v>300027.00932272105</v>
      </c>
      <c r="AF135" s="18">
        <v>300027.00932272105</v>
      </c>
      <c r="AG135" s="18">
        <v>300027.00932272105</v>
      </c>
      <c r="AH135" s="18">
        <v>300027.00932272105</v>
      </c>
      <c r="AI135" s="18">
        <v>300027.00932272105</v>
      </c>
    </row>
    <row r="136" spans="3:35">
      <c r="C136" s="26" t="s">
        <v>350</v>
      </c>
      <c r="D136" s="11">
        <v>21750000</v>
      </c>
      <c r="E136" s="11">
        <v>9020873.3312799968</v>
      </c>
      <c r="F136" s="16">
        <v>0</v>
      </c>
      <c r="G136" s="16">
        <v>750000</v>
      </c>
      <c r="H136" s="16">
        <v>750000</v>
      </c>
      <c r="I136" s="16">
        <v>750000</v>
      </c>
      <c r="J136" s="16">
        <v>750000</v>
      </c>
      <c r="K136" s="16">
        <v>750000</v>
      </c>
      <c r="L136" s="16">
        <v>750000</v>
      </c>
      <c r="M136" s="16">
        <v>750000</v>
      </c>
      <c r="N136" s="16">
        <v>750000</v>
      </c>
      <c r="O136" s="16">
        <v>750000</v>
      </c>
      <c r="P136" s="16">
        <v>750000</v>
      </c>
      <c r="Q136" s="16">
        <v>750000</v>
      </c>
      <c r="R136" s="16">
        <v>750000</v>
      </c>
      <c r="S136" s="16">
        <v>750000</v>
      </c>
      <c r="T136" s="16">
        <v>750000</v>
      </c>
      <c r="U136" s="16">
        <v>750000</v>
      </c>
      <c r="V136" s="16">
        <v>750000</v>
      </c>
      <c r="W136" s="16">
        <v>750000</v>
      </c>
      <c r="X136" s="16">
        <v>750000</v>
      </c>
      <c r="Y136" s="16">
        <v>750000</v>
      </c>
      <c r="Z136" s="16">
        <v>750000</v>
      </c>
      <c r="AA136" s="16">
        <v>750000</v>
      </c>
      <c r="AB136" s="16">
        <v>750000</v>
      </c>
      <c r="AC136" s="16">
        <v>750000</v>
      </c>
      <c r="AD136" s="16">
        <v>750000</v>
      </c>
      <c r="AE136" s="16">
        <v>750000</v>
      </c>
      <c r="AF136" s="16">
        <v>750000</v>
      </c>
      <c r="AG136" s="16">
        <v>750000</v>
      </c>
      <c r="AH136" s="16">
        <v>750000</v>
      </c>
      <c r="AI136" s="16">
        <v>750000</v>
      </c>
    </row>
    <row r="137" spans="3:35">
      <c r="C137" s="26" t="s">
        <v>351</v>
      </c>
      <c r="D137" s="11">
        <v>21750000</v>
      </c>
      <c r="E137" s="11">
        <v>9020873.3312799968</v>
      </c>
      <c r="F137" s="16">
        <v>0</v>
      </c>
      <c r="G137" s="16">
        <v>750000</v>
      </c>
      <c r="H137" s="16">
        <v>750000</v>
      </c>
      <c r="I137" s="16">
        <v>750000</v>
      </c>
      <c r="J137" s="16">
        <v>750000</v>
      </c>
      <c r="K137" s="16">
        <v>750000</v>
      </c>
      <c r="L137" s="16">
        <v>750000</v>
      </c>
      <c r="M137" s="16">
        <v>750000</v>
      </c>
      <c r="N137" s="16">
        <v>750000</v>
      </c>
      <c r="O137" s="16">
        <v>750000</v>
      </c>
      <c r="P137" s="16">
        <v>750000</v>
      </c>
      <c r="Q137" s="16">
        <v>750000</v>
      </c>
      <c r="R137" s="16">
        <v>750000</v>
      </c>
      <c r="S137" s="16">
        <v>750000</v>
      </c>
      <c r="T137" s="16">
        <v>750000</v>
      </c>
      <c r="U137" s="16">
        <v>750000</v>
      </c>
      <c r="V137" s="16">
        <v>750000</v>
      </c>
      <c r="W137" s="16">
        <v>750000</v>
      </c>
      <c r="X137" s="16">
        <v>750000</v>
      </c>
      <c r="Y137" s="16">
        <v>750000</v>
      </c>
      <c r="Z137" s="16">
        <v>750000</v>
      </c>
      <c r="AA137" s="16">
        <v>750000</v>
      </c>
      <c r="AB137" s="16">
        <v>750000</v>
      </c>
      <c r="AC137" s="16">
        <v>750000</v>
      </c>
      <c r="AD137" s="16">
        <v>750000</v>
      </c>
      <c r="AE137" s="16">
        <v>750000</v>
      </c>
      <c r="AF137" s="16">
        <v>750000</v>
      </c>
      <c r="AG137" s="16">
        <v>750000</v>
      </c>
      <c r="AH137" s="16">
        <v>750000</v>
      </c>
      <c r="AI137" s="16">
        <v>750000</v>
      </c>
    </row>
    <row r="138" spans="3:35">
      <c r="C138" s="26" t="s">
        <v>352</v>
      </c>
      <c r="D138" s="11">
        <v>0</v>
      </c>
      <c r="E138" s="11">
        <v>0</v>
      </c>
      <c r="F138" s="16">
        <v>0</v>
      </c>
      <c r="G138" s="16">
        <v>0</v>
      </c>
      <c r="H138" s="16">
        <v>0</v>
      </c>
      <c r="I138" s="16">
        <v>0</v>
      </c>
      <c r="J138" s="16">
        <v>0</v>
      </c>
      <c r="K138" s="16">
        <v>0</v>
      </c>
      <c r="L138" s="16">
        <v>0</v>
      </c>
      <c r="M138" s="16">
        <v>0</v>
      </c>
      <c r="N138" s="16">
        <v>0</v>
      </c>
      <c r="O138" s="16">
        <v>0</v>
      </c>
      <c r="P138" s="16">
        <v>0</v>
      </c>
      <c r="Q138" s="16">
        <v>0</v>
      </c>
      <c r="R138" s="16">
        <v>0</v>
      </c>
      <c r="S138" s="16">
        <v>0</v>
      </c>
      <c r="T138" s="16">
        <v>0</v>
      </c>
      <c r="U138" s="16">
        <v>0</v>
      </c>
      <c r="V138" s="16">
        <v>0</v>
      </c>
      <c r="W138" s="16">
        <v>0</v>
      </c>
      <c r="X138" s="16">
        <v>0</v>
      </c>
      <c r="Y138" s="16">
        <v>0</v>
      </c>
      <c r="Z138" s="16">
        <v>0</v>
      </c>
      <c r="AA138" s="16">
        <v>0</v>
      </c>
      <c r="AB138" s="16">
        <v>0</v>
      </c>
      <c r="AC138" s="16">
        <v>0</v>
      </c>
      <c r="AD138" s="16">
        <v>0</v>
      </c>
      <c r="AE138" s="16">
        <v>0</v>
      </c>
      <c r="AF138" s="16">
        <v>0</v>
      </c>
      <c r="AG138" s="16">
        <v>0</v>
      </c>
      <c r="AH138" s="16">
        <v>0</v>
      </c>
      <c r="AI138" s="16">
        <v>0</v>
      </c>
    </row>
    <row r="139" spans="3:35">
      <c r="C139" s="27" t="s">
        <v>353</v>
      </c>
      <c r="D139" s="13">
        <v>-65785783.270358816</v>
      </c>
      <c r="E139" s="13">
        <v>-73422800.864804044</v>
      </c>
      <c r="F139" s="16">
        <v>-78835000</v>
      </c>
      <c r="G139" s="16">
        <v>449972.99067727895</v>
      </c>
      <c r="H139" s="16">
        <v>449972.99067727895</v>
      </c>
      <c r="I139" s="16">
        <v>449972.99067727895</v>
      </c>
      <c r="J139" s="16">
        <v>449972.99067727895</v>
      </c>
      <c r="K139" s="16">
        <v>449972.99067727895</v>
      </c>
      <c r="L139" s="16">
        <v>449972.99067727895</v>
      </c>
      <c r="M139" s="16">
        <v>449972.99067727895</v>
      </c>
      <c r="N139" s="16">
        <v>449972.99067727895</v>
      </c>
      <c r="O139" s="16">
        <v>449972.99067727895</v>
      </c>
      <c r="P139" s="16">
        <v>449972.99067727895</v>
      </c>
      <c r="Q139" s="16">
        <v>449972.99067727895</v>
      </c>
      <c r="R139" s="16">
        <v>449972.99067727895</v>
      </c>
      <c r="S139" s="16">
        <v>449972.99067727895</v>
      </c>
      <c r="T139" s="16">
        <v>449972.99067727895</v>
      </c>
      <c r="U139" s="16">
        <v>449972.99067727895</v>
      </c>
      <c r="V139" s="16">
        <v>449972.99067727895</v>
      </c>
      <c r="W139" s="16">
        <v>449972.99067727895</v>
      </c>
      <c r="X139" s="16">
        <v>449972.99067727895</v>
      </c>
      <c r="Y139" s="16">
        <v>449972.99067727895</v>
      </c>
      <c r="Z139" s="16">
        <v>449972.99067727895</v>
      </c>
      <c r="AA139" s="16">
        <v>449972.99067727895</v>
      </c>
      <c r="AB139" s="16">
        <v>449972.99067727895</v>
      </c>
      <c r="AC139" s="16">
        <v>449972.99067727895</v>
      </c>
      <c r="AD139" s="16">
        <v>449972.99067727895</v>
      </c>
      <c r="AE139" s="16">
        <v>449972.99067727895</v>
      </c>
      <c r="AF139" s="16">
        <v>449972.99067727895</v>
      </c>
      <c r="AG139" s="16">
        <v>449972.99067727895</v>
      </c>
      <c r="AH139" s="16">
        <v>449972.99067727895</v>
      </c>
      <c r="AI139" s="16">
        <v>449972.99067727895</v>
      </c>
    </row>
    <row r="140" spans="3:35">
      <c r="C140" s="26" t="s">
        <v>354</v>
      </c>
      <c r="D140" s="28">
        <v>-73422800.864804044</v>
      </c>
    </row>
    <row r="141" spans="3:35">
      <c r="C141" s="26" t="s">
        <v>355</v>
      </c>
      <c r="D141" s="29">
        <v>-9.389304750002192E-2</v>
      </c>
    </row>
    <row r="145" spans="2:35">
      <c r="C145" s="39" t="s">
        <v>523</v>
      </c>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row>
    <row r="146" spans="2:35">
      <c r="H146" s="1" t="s">
        <v>559</v>
      </c>
    </row>
    <row r="147" spans="2:35">
      <c r="C147" s="14" t="s">
        <v>335</v>
      </c>
      <c r="D147" s="14" t="s">
        <v>524</v>
      </c>
      <c r="E147" s="14" t="s">
        <v>514</v>
      </c>
      <c r="F147" s="14" t="s">
        <v>525</v>
      </c>
      <c r="H147" s="14" t="s">
        <v>524</v>
      </c>
      <c r="I147" s="14" t="s">
        <v>514</v>
      </c>
      <c r="J147" s="14" t="s">
        <v>525</v>
      </c>
    </row>
    <row r="148" spans="2:35">
      <c r="C148" s="30" t="s">
        <v>526</v>
      </c>
      <c r="D148" s="31"/>
      <c r="E148" s="11">
        <v>78835000</v>
      </c>
      <c r="F148" s="11">
        <v>197087.5</v>
      </c>
      <c r="H148" s="31"/>
      <c r="I148" s="11">
        <v>78835000</v>
      </c>
      <c r="J148" s="11">
        <v>197087.5</v>
      </c>
    </row>
    <row r="149" spans="2:35">
      <c r="C149" s="30" t="s">
        <v>515</v>
      </c>
      <c r="D149" s="31"/>
      <c r="E149" s="11">
        <v>9020873.3312799968</v>
      </c>
      <c r="F149" s="11">
        <v>22552.183328199993</v>
      </c>
      <c r="H149" s="31"/>
      <c r="I149" s="11">
        <v>9020873.3312799968</v>
      </c>
      <c r="J149" s="11">
        <v>22552.183328199993</v>
      </c>
    </row>
    <row r="150" spans="2:35">
      <c r="C150" s="30" t="s">
        <v>516</v>
      </c>
      <c r="D150" s="31"/>
      <c r="E150" s="11">
        <v>3608674.1960840384</v>
      </c>
      <c r="F150" s="11">
        <v>9021.6854902100968</v>
      </c>
      <c r="H150" s="31"/>
      <c r="I150" s="11">
        <v>3608674.1960840384</v>
      </c>
      <c r="J150" s="11">
        <v>9021.6854902100968</v>
      </c>
    </row>
    <row r="151" spans="2:35">
      <c r="C151" s="30" t="s">
        <v>517</v>
      </c>
      <c r="D151" s="31"/>
      <c r="E151" s="11">
        <v>0</v>
      </c>
      <c r="F151" s="11">
        <v>0</v>
      </c>
      <c r="H151" s="31"/>
      <c r="I151" s="11">
        <v>0</v>
      </c>
      <c r="J151" s="11">
        <v>0</v>
      </c>
    </row>
    <row r="152" spans="2:35">
      <c r="C152" s="30" t="s">
        <v>527</v>
      </c>
      <c r="D152" s="31"/>
      <c r="E152" s="11">
        <v>0</v>
      </c>
      <c r="F152" s="11">
        <v>0</v>
      </c>
      <c r="H152" s="31"/>
      <c r="I152" s="11">
        <v>0</v>
      </c>
      <c r="J152" s="11">
        <v>0</v>
      </c>
    </row>
    <row r="153" spans="2:35" ht="27.6">
      <c r="C153" s="30" t="s">
        <v>528</v>
      </c>
      <c r="D153" s="31"/>
      <c r="E153" s="11">
        <v>5412199.1351959584</v>
      </c>
      <c r="F153" s="11">
        <v>13530.497837989897</v>
      </c>
      <c r="H153" s="31"/>
      <c r="I153" s="11">
        <v>5412199.1351959584</v>
      </c>
      <c r="J153" s="11">
        <v>13530.497837989897</v>
      </c>
    </row>
    <row r="154" spans="2:35" ht="41.4">
      <c r="B154" s="129" t="s">
        <v>560</v>
      </c>
      <c r="C154" s="35" t="s">
        <v>529</v>
      </c>
      <c r="D154" s="442">
        <v>1</v>
      </c>
      <c r="E154" s="127"/>
      <c r="F154" s="127"/>
      <c r="G154" s="128" t="s">
        <v>561</v>
      </c>
      <c r="H154" s="442">
        <v>0.93134776260295604</v>
      </c>
      <c r="I154" s="127"/>
      <c r="J154" s="127"/>
    </row>
    <row r="155" spans="2:35">
      <c r="C155" s="30" t="s">
        <v>530</v>
      </c>
      <c r="D155" s="31"/>
      <c r="E155" s="11">
        <v>78835000</v>
      </c>
      <c r="F155" s="11">
        <v>197087.5</v>
      </c>
    </row>
    <row r="156" spans="2:35">
      <c r="C156" s="30" t="s">
        <v>531</v>
      </c>
      <c r="D156" s="31"/>
      <c r="E156" s="11">
        <v>0</v>
      </c>
      <c r="F156" s="11">
        <v>0</v>
      </c>
    </row>
    <row r="157" spans="2:35" ht="41.4">
      <c r="C157" s="30" t="s">
        <v>532</v>
      </c>
      <c r="D157" s="32">
        <v>1</v>
      </c>
      <c r="E157" s="11">
        <v>78835000</v>
      </c>
      <c r="F157" s="11">
        <v>197087.5</v>
      </c>
    </row>
    <row r="158" spans="2:35">
      <c r="C158" s="30" t="s">
        <v>118</v>
      </c>
      <c r="D158" s="138">
        <v>0.83</v>
      </c>
      <c r="E158" s="31"/>
      <c r="F158" s="31"/>
    </row>
    <row r="159" spans="2:35">
      <c r="C159" s="30" t="s">
        <v>119</v>
      </c>
      <c r="D159" s="138">
        <v>0.17000000000000004</v>
      </c>
      <c r="E159" s="31"/>
      <c r="F159" s="31"/>
    </row>
    <row r="160" spans="2:35">
      <c r="C160" s="30" t="s">
        <v>533</v>
      </c>
      <c r="D160" s="31"/>
      <c r="E160" s="11">
        <v>65433050</v>
      </c>
      <c r="F160" s="11">
        <v>163582.625</v>
      </c>
    </row>
    <row r="161" spans="3:35">
      <c r="C161" s="30" t="s">
        <v>534</v>
      </c>
      <c r="D161" s="31"/>
      <c r="E161" s="11">
        <v>13401950.000000004</v>
      </c>
      <c r="F161" s="11">
        <v>33504.875000000007</v>
      </c>
    </row>
    <row r="162" spans="3:35">
      <c r="C162" s="30" t="s">
        <v>535</v>
      </c>
      <c r="D162" s="32"/>
      <c r="E162" s="11">
        <v>0</v>
      </c>
      <c r="F162" s="11">
        <v>0</v>
      </c>
    </row>
    <row r="163" spans="3:35">
      <c r="C163" s="30" t="s">
        <v>536</v>
      </c>
      <c r="D163" s="32"/>
      <c r="E163" s="11">
        <v>13401950.000000004</v>
      </c>
      <c r="F163" s="11">
        <v>33504.875000000007</v>
      </c>
    </row>
    <row r="166" spans="3:35">
      <c r="C166" s="39" t="s">
        <v>537</v>
      </c>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row>
    <row r="169" spans="3:35">
      <c r="C169" s="145" t="s">
        <v>370</v>
      </c>
      <c r="D169" s="152">
        <v>2025</v>
      </c>
      <c r="E169" s="152">
        <v>2026</v>
      </c>
      <c r="F169" s="152">
        <v>2027</v>
      </c>
      <c r="G169" s="152">
        <v>2028</v>
      </c>
      <c r="H169" s="152">
        <v>2029</v>
      </c>
      <c r="I169" s="152">
        <v>2030</v>
      </c>
      <c r="J169" s="152">
        <v>2031</v>
      </c>
      <c r="K169" s="152">
        <v>2032</v>
      </c>
      <c r="L169" s="152">
        <v>2033</v>
      </c>
      <c r="M169" s="152">
        <v>2034</v>
      </c>
      <c r="N169" s="152">
        <v>2035</v>
      </c>
      <c r="O169" s="152">
        <v>2036</v>
      </c>
      <c r="P169" s="152">
        <v>2037</v>
      </c>
      <c r="Q169" s="152">
        <v>2038</v>
      </c>
      <c r="R169" s="152">
        <v>2039</v>
      </c>
      <c r="S169" s="152">
        <v>2040</v>
      </c>
      <c r="T169" s="152">
        <v>2041</v>
      </c>
      <c r="U169" s="152">
        <v>2042</v>
      </c>
      <c r="V169" s="152">
        <v>2043</v>
      </c>
      <c r="W169" s="152">
        <v>2044</v>
      </c>
      <c r="X169" s="152">
        <v>2045</v>
      </c>
      <c r="Y169" s="152">
        <v>2046</v>
      </c>
      <c r="Z169" s="152">
        <v>2047</v>
      </c>
      <c r="AA169" s="152">
        <v>2048</v>
      </c>
      <c r="AB169" s="152">
        <v>2049</v>
      </c>
      <c r="AC169" s="152">
        <v>2050</v>
      </c>
      <c r="AD169" s="152">
        <v>2051</v>
      </c>
      <c r="AE169" s="152">
        <v>2052</v>
      </c>
      <c r="AF169" s="152">
        <v>2053</v>
      </c>
      <c r="AG169" s="152">
        <v>2054</v>
      </c>
    </row>
    <row r="170" spans="3:35">
      <c r="C170" s="153" t="s">
        <v>379</v>
      </c>
      <c r="D170" s="132">
        <v>78835000</v>
      </c>
      <c r="E170" s="132">
        <v>0</v>
      </c>
      <c r="F170" s="132">
        <v>0</v>
      </c>
      <c r="G170" s="132">
        <v>0</v>
      </c>
      <c r="H170" s="132">
        <v>0</v>
      </c>
      <c r="I170" s="132">
        <v>0</v>
      </c>
      <c r="J170" s="132">
        <v>0</v>
      </c>
      <c r="K170" s="132">
        <v>0</v>
      </c>
      <c r="L170" s="132">
        <v>0</v>
      </c>
      <c r="M170" s="132">
        <v>0</v>
      </c>
      <c r="N170" s="132">
        <v>0</v>
      </c>
      <c r="O170" s="132">
        <v>0</v>
      </c>
      <c r="P170" s="132">
        <v>0</v>
      </c>
      <c r="Q170" s="132">
        <v>0</v>
      </c>
      <c r="R170" s="132">
        <v>0</v>
      </c>
      <c r="S170" s="132">
        <v>0</v>
      </c>
      <c r="T170" s="132">
        <v>0</v>
      </c>
      <c r="U170" s="132">
        <v>0</v>
      </c>
      <c r="V170" s="132">
        <v>0</v>
      </c>
      <c r="W170" s="132">
        <v>0</v>
      </c>
      <c r="X170" s="132">
        <v>0</v>
      </c>
      <c r="Y170" s="132">
        <v>0</v>
      </c>
      <c r="Z170" s="132">
        <v>0</v>
      </c>
      <c r="AA170" s="132">
        <v>0</v>
      </c>
      <c r="AB170" s="132">
        <v>0</v>
      </c>
      <c r="AC170" s="132">
        <v>0</v>
      </c>
      <c r="AD170" s="132">
        <v>0</v>
      </c>
      <c r="AE170" s="132">
        <v>0</v>
      </c>
      <c r="AF170" s="132">
        <v>0</v>
      </c>
      <c r="AG170" s="132">
        <v>0</v>
      </c>
      <c r="AH170" s="3"/>
      <c r="AI170" s="3"/>
    </row>
    <row r="171" spans="3:35">
      <c r="C171" s="153" t="s">
        <v>380</v>
      </c>
      <c r="D171" s="132">
        <v>0</v>
      </c>
      <c r="E171" s="132">
        <v>300027.00932272105</v>
      </c>
      <c r="F171" s="132">
        <v>300027.00932272105</v>
      </c>
      <c r="G171" s="132">
        <v>300027.00932272105</v>
      </c>
      <c r="H171" s="132">
        <v>300027.00932272105</v>
      </c>
      <c r="I171" s="132">
        <v>300027.00932272105</v>
      </c>
      <c r="J171" s="132">
        <v>300027.00932272105</v>
      </c>
      <c r="K171" s="132">
        <v>300027.00932272105</v>
      </c>
      <c r="L171" s="132">
        <v>300027.00932272105</v>
      </c>
      <c r="M171" s="132">
        <v>300027.00932272105</v>
      </c>
      <c r="N171" s="132">
        <v>300027.00932272105</v>
      </c>
      <c r="O171" s="132">
        <v>300027.00932272105</v>
      </c>
      <c r="P171" s="132">
        <v>300027.00932272105</v>
      </c>
      <c r="Q171" s="132">
        <v>300027.00932272105</v>
      </c>
      <c r="R171" s="132">
        <v>300027.00932272105</v>
      </c>
      <c r="S171" s="132">
        <v>300027.00932272105</v>
      </c>
      <c r="T171" s="132">
        <v>300027.00932272105</v>
      </c>
      <c r="U171" s="132">
        <v>300027.00932272105</v>
      </c>
      <c r="V171" s="132">
        <v>300027.00932272105</v>
      </c>
      <c r="W171" s="132">
        <v>300027.00932272105</v>
      </c>
      <c r="X171" s="132">
        <v>300027.00932272105</v>
      </c>
      <c r="Y171" s="132">
        <v>300027.00932272105</v>
      </c>
      <c r="Z171" s="132">
        <v>300027.00932272105</v>
      </c>
      <c r="AA171" s="132">
        <v>300027.00932272105</v>
      </c>
      <c r="AB171" s="132">
        <v>300027.00932272105</v>
      </c>
      <c r="AC171" s="132">
        <v>300027.00932272105</v>
      </c>
      <c r="AD171" s="132">
        <v>300027.00932272105</v>
      </c>
      <c r="AE171" s="132">
        <v>300027.00932272105</v>
      </c>
      <c r="AF171" s="132">
        <v>300027.00932272105</v>
      </c>
      <c r="AG171" s="132">
        <v>300027.00932272105</v>
      </c>
      <c r="AH171" s="3"/>
      <c r="AI171" s="3"/>
    </row>
    <row r="172" spans="3:35">
      <c r="C172" s="153" t="s">
        <v>381</v>
      </c>
      <c r="D172" s="132">
        <v>0</v>
      </c>
      <c r="E172" s="132">
        <v>0</v>
      </c>
      <c r="F172" s="132">
        <v>0</v>
      </c>
      <c r="G172" s="132">
        <v>0</v>
      </c>
      <c r="H172" s="132">
        <v>0</v>
      </c>
      <c r="I172" s="132">
        <v>0</v>
      </c>
      <c r="J172" s="132">
        <v>0</v>
      </c>
      <c r="K172" s="132">
        <v>0</v>
      </c>
      <c r="L172" s="132">
        <v>0</v>
      </c>
      <c r="M172" s="132">
        <v>0</v>
      </c>
      <c r="N172" s="132">
        <v>0</v>
      </c>
      <c r="O172" s="132">
        <v>0</v>
      </c>
      <c r="P172" s="132">
        <v>0</v>
      </c>
      <c r="Q172" s="132">
        <v>0</v>
      </c>
      <c r="R172" s="132">
        <v>0</v>
      </c>
      <c r="S172" s="132">
        <v>0</v>
      </c>
      <c r="T172" s="132">
        <v>0</v>
      </c>
      <c r="U172" s="132">
        <v>0</v>
      </c>
      <c r="V172" s="132">
        <v>0</v>
      </c>
      <c r="W172" s="132">
        <v>0</v>
      </c>
      <c r="X172" s="132">
        <v>0</v>
      </c>
      <c r="Y172" s="132">
        <v>0</v>
      </c>
      <c r="Z172" s="132">
        <v>0</v>
      </c>
      <c r="AA172" s="132">
        <v>0</v>
      </c>
      <c r="AB172" s="132">
        <v>0</v>
      </c>
      <c r="AC172" s="132">
        <v>0</v>
      </c>
      <c r="AD172" s="132">
        <v>0</v>
      </c>
      <c r="AE172" s="132">
        <v>0</v>
      </c>
      <c r="AF172" s="132">
        <v>0</v>
      </c>
      <c r="AG172" s="132">
        <v>0</v>
      </c>
      <c r="AH172" s="3"/>
      <c r="AI172" s="3"/>
    </row>
    <row r="173" spans="3:35">
      <c r="C173" s="153" t="s">
        <v>382</v>
      </c>
      <c r="D173" s="132">
        <v>0</v>
      </c>
      <c r="E173" s="132">
        <v>0</v>
      </c>
      <c r="F173" s="132">
        <v>0</v>
      </c>
      <c r="G173" s="132">
        <v>0</v>
      </c>
      <c r="H173" s="132">
        <v>0</v>
      </c>
      <c r="I173" s="132">
        <v>0</v>
      </c>
      <c r="J173" s="132">
        <v>0</v>
      </c>
      <c r="K173" s="132">
        <v>0</v>
      </c>
      <c r="L173" s="132">
        <v>0</v>
      </c>
      <c r="M173" s="132">
        <v>0</v>
      </c>
      <c r="N173" s="132">
        <v>0</v>
      </c>
      <c r="O173" s="132">
        <v>0</v>
      </c>
      <c r="P173" s="132">
        <v>0</v>
      </c>
      <c r="Q173" s="132">
        <v>0</v>
      </c>
      <c r="R173" s="132">
        <v>0</v>
      </c>
      <c r="S173" s="132">
        <v>0</v>
      </c>
      <c r="T173" s="132">
        <v>0</v>
      </c>
      <c r="U173" s="132">
        <v>0</v>
      </c>
      <c r="V173" s="132">
        <v>0</v>
      </c>
      <c r="W173" s="132">
        <v>0</v>
      </c>
      <c r="X173" s="132">
        <v>0</v>
      </c>
      <c r="Y173" s="132">
        <v>0</v>
      </c>
      <c r="Z173" s="132">
        <v>0</v>
      </c>
      <c r="AA173" s="132">
        <v>0</v>
      </c>
      <c r="AB173" s="132">
        <v>0</v>
      </c>
      <c r="AC173" s="132">
        <v>0</v>
      </c>
      <c r="AD173" s="132">
        <v>0</v>
      </c>
      <c r="AE173" s="132">
        <v>0</v>
      </c>
      <c r="AF173" s="132">
        <v>0</v>
      </c>
      <c r="AG173" s="132">
        <v>0</v>
      </c>
      <c r="AH173" s="3"/>
      <c r="AI173" s="3"/>
    </row>
    <row r="174" spans="3:35">
      <c r="C174" s="153" t="s">
        <v>383</v>
      </c>
      <c r="D174" s="132">
        <v>0</v>
      </c>
      <c r="E174" s="132">
        <v>0</v>
      </c>
      <c r="F174" s="132">
        <v>0</v>
      </c>
      <c r="G174" s="132">
        <v>0</v>
      </c>
      <c r="H174" s="132">
        <v>0</v>
      </c>
      <c r="I174" s="132">
        <v>0</v>
      </c>
      <c r="J174" s="132">
        <v>0</v>
      </c>
      <c r="K174" s="132">
        <v>0</v>
      </c>
      <c r="L174" s="132">
        <v>0</v>
      </c>
      <c r="M174" s="132">
        <v>0</v>
      </c>
      <c r="N174" s="132">
        <v>0</v>
      </c>
      <c r="O174" s="132">
        <v>0</v>
      </c>
      <c r="P174" s="132">
        <v>0</v>
      </c>
      <c r="Q174" s="132">
        <v>0</v>
      </c>
      <c r="R174" s="132">
        <v>0</v>
      </c>
      <c r="S174" s="132">
        <v>0</v>
      </c>
      <c r="T174" s="132">
        <v>0</v>
      </c>
      <c r="U174" s="132">
        <v>0</v>
      </c>
      <c r="V174" s="132">
        <v>0</v>
      </c>
      <c r="W174" s="132">
        <v>0</v>
      </c>
      <c r="X174" s="132">
        <v>0</v>
      </c>
      <c r="Y174" s="132">
        <v>0</v>
      </c>
      <c r="Z174" s="132">
        <v>0</v>
      </c>
      <c r="AA174" s="132">
        <v>0</v>
      </c>
      <c r="AB174" s="132">
        <v>0</v>
      </c>
      <c r="AC174" s="132">
        <v>0</v>
      </c>
      <c r="AD174" s="132">
        <v>0</v>
      </c>
      <c r="AE174" s="132">
        <v>0</v>
      </c>
      <c r="AF174" s="132">
        <v>0</v>
      </c>
      <c r="AG174" s="132">
        <v>0</v>
      </c>
      <c r="AH174" s="3"/>
      <c r="AI174" s="3"/>
    </row>
    <row r="175" spans="3:35">
      <c r="C175" s="154" t="s">
        <v>384</v>
      </c>
      <c r="D175" s="133">
        <v>78835000</v>
      </c>
      <c r="E175" s="133">
        <v>300027.00932272105</v>
      </c>
      <c r="F175" s="133">
        <v>300027.00932272105</v>
      </c>
      <c r="G175" s="133">
        <v>300027.00932272105</v>
      </c>
      <c r="H175" s="133">
        <v>300027.00932272105</v>
      </c>
      <c r="I175" s="133">
        <v>300027.00932272105</v>
      </c>
      <c r="J175" s="133">
        <v>300027.00932272105</v>
      </c>
      <c r="K175" s="133">
        <v>300027.00932272105</v>
      </c>
      <c r="L175" s="133">
        <v>300027.00932272105</v>
      </c>
      <c r="M175" s="133">
        <v>300027.00932272105</v>
      </c>
      <c r="N175" s="133">
        <v>300027.00932272105</v>
      </c>
      <c r="O175" s="133">
        <v>300027.00932272105</v>
      </c>
      <c r="P175" s="133">
        <v>300027.00932272105</v>
      </c>
      <c r="Q175" s="133">
        <v>300027.00932272105</v>
      </c>
      <c r="R175" s="133">
        <v>300027.00932272105</v>
      </c>
      <c r="S175" s="133">
        <v>300027.00932272105</v>
      </c>
      <c r="T175" s="133">
        <v>300027.00932272105</v>
      </c>
      <c r="U175" s="133">
        <v>300027.00932272105</v>
      </c>
      <c r="V175" s="133">
        <v>300027.00932272105</v>
      </c>
      <c r="W175" s="133">
        <v>300027.00932272105</v>
      </c>
      <c r="X175" s="133">
        <v>300027.00932272105</v>
      </c>
      <c r="Y175" s="133">
        <v>300027.00932272105</v>
      </c>
      <c r="Z175" s="133">
        <v>300027.00932272105</v>
      </c>
      <c r="AA175" s="133">
        <v>300027.00932272105</v>
      </c>
      <c r="AB175" s="133">
        <v>300027.00932272105</v>
      </c>
      <c r="AC175" s="133">
        <v>300027.00932272105</v>
      </c>
      <c r="AD175" s="133">
        <v>300027.00932272105</v>
      </c>
      <c r="AE175" s="133">
        <v>300027.00932272105</v>
      </c>
      <c r="AF175" s="133">
        <v>300027.00932272105</v>
      </c>
      <c r="AG175" s="133">
        <v>300027.00932272105</v>
      </c>
      <c r="AH175" s="3"/>
      <c r="AI175" s="3"/>
    </row>
    <row r="176" spans="3:35">
      <c r="C176" s="153" t="s">
        <v>385</v>
      </c>
      <c r="D176" s="132">
        <v>0</v>
      </c>
      <c r="E176" s="132">
        <v>750000</v>
      </c>
      <c r="F176" s="132">
        <v>750000</v>
      </c>
      <c r="G176" s="132">
        <v>750000</v>
      </c>
      <c r="H176" s="132">
        <v>750000</v>
      </c>
      <c r="I176" s="132">
        <v>750000</v>
      </c>
      <c r="J176" s="132">
        <v>750000</v>
      </c>
      <c r="K176" s="132">
        <v>750000</v>
      </c>
      <c r="L176" s="132">
        <v>750000</v>
      </c>
      <c r="M176" s="132">
        <v>750000</v>
      </c>
      <c r="N176" s="132">
        <v>750000</v>
      </c>
      <c r="O176" s="132">
        <v>750000</v>
      </c>
      <c r="P176" s="132">
        <v>750000</v>
      </c>
      <c r="Q176" s="132">
        <v>750000</v>
      </c>
      <c r="R176" s="132">
        <v>750000</v>
      </c>
      <c r="S176" s="132">
        <v>750000</v>
      </c>
      <c r="T176" s="132">
        <v>750000</v>
      </c>
      <c r="U176" s="132">
        <v>750000</v>
      </c>
      <c r="V176" s="132">
        <v>750000</v>
      </c>
      <c r="W176" s="132">
        <v>750000</v>
      </c>
      <c r="X176" s="132">
        <v>750000</v>
      </c>
      <c r="Y176" s="132">
        <v>750000</v>
      </c>
      <c r="Z176" s="132">
        <v>750000</v>
      </c>
      <c r="AA176" s="132">
        <v>750000</v>
      </c>
      <c r="AB176" s="132">
        <v>750000</v>
      </c>
      <c r="AC176" s="132">
        <v>750000</v>
      </c>
      <c r="AD176" s="132">
        <v>750000</v>
      </c>
      <c r="AE176" s="132">
        <v>750000</v>
      </c>
      <c r="AF176" s="132">
        <v>750000</v>
      </c>
      <c r="AG176" s="132">
        <v>750000</v>
      </c>
      <c r="AH176" s="3"/>
      <c r="AI176" s="3"/>
    </row>
    <row r="177" spans="3:35">
      <c r="C177" s="153" t="s">
        <v>386</v>
      </c>
      <c r="D177" s="132">
        <v>0</v>
      </c>
      <c r="E177" s="132">
        <v>0</v>
      </c>
      <c r="F177" s="132">
        <v>0</v>
      </c>
      <c r="G177" s="132">
        <v>0</v>
      </c>
      <c r="H177" s="132">
        <v>0</v>
      </c>
      <c r="I177" s="132">
        <v>0</v>
      </c>
      <c r="J177" s="132">
        <v>0</v>
      </c>
      <c r="K177" s="132">
        <v>0</v>
      </c>
      <c r="L177" s="132">
        <v>0</v>
      </c>
      <c r="M177" s="132">
        <v>0</v>
      </c>
      <c r="N177" s="132">
        <v>0</v>
      </c>
      <c r="O177" s="132">
        <v>0</v>
      </c>
      <c r="P177" s="132">
        <v>0</v>
      </c>
      <c r="Q177" s="132">
        <v>0</v>
      </c>
      <c r="R177" s="132">
        <v>0</v>
      </c>
      <c r="S177" s="132">
        <v>0</v>
      </c>
      <c r="T177" s="132">
        <v>0</v>
      </c>
      <c r="U177" s="132">
        <v>0</v>
      </c>
      <c r="V177" s="132">
        <v>0</v>
      </c>
      <c r="W177" s="132">
        <v>0</v>
      </c>
      <c r="X177" s="132">
        <v>0</v>
      </c>
      <c r="Y177" s="132">
        <v>0</v>
      </c>
      <c r="Z177" s="132">
        <v>0</v>
      </c>
      <c r="AA177" s="132">
        <v>0</v>
      </c>
      <c r="AB177" s="132">
        <v>0</v>
      </c>
      <c r="AC177" s="132">
        <v>0</v>
      </c>
      <c r="AD177" s="132">
        <v>0</v>
      </c>
      <c r="AE177" s="132">
        <v>0</v>
      </c>
      <c r="AF177" s="132">
        <v>0</v>
      </c>
      <c r="AG177" s="132">
        <v>0</v>
      </c>
      <c r="AH177" s="3"/>
      <c r="AI177" s="3"/>
    </row>
    <row r="178" spans="3:35">
      <c r="C178" s="153" t="s">
        <v>387</v>
      </c>
      <c r="D178" s="132">
        <v>65433050</v>
      </c>
      <c r="E178" s="132">
        <v>0</v>
      </c>
      <c r="F178" s="132">
        <v>0</v>
      </c>
      <c r="G178" s="132">
        <v>0</v>
      </c>
      <c r="H178" s="132">
        <v>0</v>
      </c>
      <c r="I178" s="132">
        <v>0</v>
      </c>
      <c r="J178" s="132">
        <v>0</v>
      </c>
      <c r="K178" s="132">
        <v>0</v>
      </c>
      <c r="L178" s="132">
        <v>0</v>
      </c>
      <c r="M178" s="132">
        <v>0</v>
      </c>
      <c r="N178" s="132">
        <v>0</v>
      </c>
      <c r="O178" s="132">
        <v>0</v>
      </c>
      <c r="P178" s="132">
        <v>0</v>
      </c>
      <c r="Q178" s="132">
        <v>0</v>
      </c>
      <c r="R178" s="132">
        <v>0</v>
      </c>
      <c r="S178" s="132">
        <v>0</v>
      </c>
      <c r="T178" s="132">
        <v>0</v>
      </c>
      <c r="U178" s="132">
        <v>0</v>
      </c>
      <c r="V178" s="132">
        <v>0</v>
      </c>
      <c r="W178" s="132">
        <v>0</v>
      </c>
      <c r="X178" s="132">
        <v>0</v>
      </c>
      <c r="Y178" s="132">
        <v>0</v>
      </c>
      <c r="Z178" s="132">
        <v>0</v>
      </c>
      <c r="AA178" s="132">
        <v>0</v>
      </c>
      <c r="AB178" s="132">
        <v>0</v>
      </c>
      <c r="AC178" s="132">
        <v>0</v>
      </c>
      <c r="AD178" s="132">
        <v>0</v>
      </c>
      <c r="AE178" s="132">
        <v>0</v>
      </c>
      <c r="AF178" s="132">
        <v>0</v>
      </c>
      <c r="AG178" s="132">
        <v>0</v>
      </c>
      <c r="AH178" s="3"/>
      <c r="AI178" s="3"/>
    </row>
    <row r="179" spans="3:35">
      <c r="C179" s="155" t="s">
        <v>388</v>
      </c>
      <c r="D179" s="156">
        <v>13401950</v>
      </c>
      <c r="E179" s="156">
        <v>0</v>
      </c>
      <c r="F179" s="156">
        <v>0</v>
      </c>
      <c r="G179" s="156">
        <v>0</v>
      </c>
      <c r="H179" s="156">
        <v>0</v>
      </c>
      <c r="I179" s="156">
        <v>0</v>
      </c>
      <c r="J179" s="156">
        <v>0</v>
      </c>
      <c r="K179" s="156">
        <v>0</v>
      </c>
      <c r="L179" s="156">
        <v>0</v>
      </c>
      <c r="M179" s="156">
        <v>0</v>
      </c>
      <c r="N179" s="156">
        <v>0</v>
      </c>
      <c r="O179" s="156">
        <v>0</v>
      </c>
      <c r="P179" s="156">
        <v>0</v>
      </c>
      <c r="Q179" s="156">
        <v>0</v>
      </c>
      <c r="R179" s="156">
        <v>0</v>
      </c>
      <c r="S179" s="156">
        <v>0</v>
      </c>
      <c r="T179" s="156">
        <v>0</v>
      </c>
      <c r="U179" s="156">
        <v>0</v>
      </c>
      <c r="V179" s="156">
        <v>0</v>
      </c>
      <c r="W179" s="156">
        <v>0</v>
      </c>
      <c r="X179" s="156">
        <v>0</v>
      </c>
      <c r="Y179" s="156">
        <v>0</v>
      </c>
      <c r="Z179" s="156">
        <v>0</v>
      </c>
      <c r="AA179" s="156">
        <v>0</v>
      </c>
      <c r="AB179" s="156">
        <v>0</v>
      </c>
      <c r="AC179" s="156">
        <v>0</v>
      </c>
      <c r="AD179" s="156">
        <v>0</v>
      </c>
      <c r="AE179" s="156">
        <v>0</v>
      </c>
      <c r="AF179" s="156">
        <v>0</v>
      </c>
      <c r="AG179" s="156">
        <v>0</v>
      </c>
      <c r="AH179" s="3"/>
      <c r="AI179" s="3"/>
    </row>
    <row r="180" spans="3:35">
      <c r="C180" s="153" t="s">
        <v>389</v>
      </c>
      <c r="D180" s="132">
        <v>13401950</v>
      </c>
      <c r="E180" s="132">
        <v>0</v>
      </c>
      <c r="F180" s="132">
        <v>0</v>
      </c>
      <c r="G180" s="132">
        <v>0</v>
      </c>
      <c r="H180" s="132">
        <v>0</v>
      </c>
      <c r="I180" s="132">
        <v>0</v>
      </c>
      <c r="J180" s="132">
        <v>0</v>
      </c>
      <c r="K180" s="132">
        <v>0</v>
      </c>
      <c r="L180" s="132">
        <v>0</v>
      </c>
      <c r="M180" s="132">
        <v>0</v>
      </c>
      <c r="N180" s="132">
        <v>0</v>
      </c>
      <c r="O180" s="132">
        <v>0</v>
      </c>
      <c r="P180" s="132">
        <v>0</v>
      </c>
      <c r="Q180" s="132">
        <v>0</v>
      </c>
      <c r="R180" s="132">
        <v>0</v>
      </c>
      <c r="S180" s="132">
        <v>0</v>
      </c>
      <c r="T180" s="132">
        <v>0</v>
      </c>
      <c r="U180" s="132">
        <v>0</v>
      </c>
      <c r="V180" s="132">
        <v>0</v>
      </c>
      <c r="W180" s="132">
        <v>0</v>
      </c>
      <c r="X180" s="132">
        <v>0</v>
      </c>
      <c r="Y180" s="132">
        <v>0</v>
      </c>
      <c r="Z180" s="132">
        <v>0</v>
      </c>
      <c r="AA180" s="132">
        <v>0</v>
      </c>
      <c r="AB180" s="132">
        <v>0</v>
      </c>
      <c r="AC180" s="132">
        <v>0</v>
      </c>
      <c r="AD180" s="132">
        <v>0</v>
      </c>
      <c r="AE180" s="132">
        <v>0</v>
      </c>
      <c r="AF180" s="132">
        <v>0</v>
      </c>
      <c r="AG180" s="132">
        <v>0</v>
      </c>
      <c r="AH180" s="3"/>
      <c r="AI180" s="3"/>
    </row>
    <row r="181" spans="3:35">
      <c r="C181" s="155" t="s">
        <v>390</v>
      </c>
      <c r="D181" s="156">
        <v>0</v>
      </c>
      <c r="E181" s="156">
        <v>0</v>
      </c>
      <c r="F181" s="156">
        <v>0</v>
      </c>
      <c r="G181" s="156">
        <v>0</v>
      </c>
      <c r="H181" s="156">
        <v>0</v>
      </c>
      <c r="I181" s="156">
        <v>0</v>
      </c>
      <c r="J181" s="156">
        <v>0</v>
      </c>
      <c r="K181" s="156">
        <v>0</v>
      </c>
      <c r="L181" s="156">
        <v>0</v>
      </c>
      <c r="M181" s="156">
        <v>0</v>
      </c>
      <c r="N181" s="156">
        <v>0</v>
      </c>
      <c r="O181" s="156">
        <v>0</v>
      </c>
      <c r="P181" s="156">
        <v>0</v>
      </c>
      <c r="Q181" s="156">
        <v>0</v>
      </c>
      <c r="R181" s="156">
        <v>0</v>
      </c>
      <c r="S181" s="156">
        <v>0</v>
      </c>
      <c r="T181" s="156">
        <v>0</v>
      </c>
      <c r="U181" s="156">
        <v>0</v>
      </c>
      <c r="V181" s="156">
        <v>0</v>
      </c>
      <c r="W181" s="156">
        <v>0</v>
      </c>
      <c r="X181" s="156">
        <v>0</v>
      </c>
      <c r="Y181" s="156">
        <v>0</v>
      </c>
      <c r="Z181" s="156">
        <v>0</v>
      </c>
      <c r="AA181" s="156">
        <v>0</v>
      </c>
      <c r="AB181" s="156">
        <v>0</v>
      </c>
      <c r="AC181" s="156">
        <v>0</v>
      </c>
      <c r="AD181" s="156">
        <v>0</v>
      </c>
      <c r="AE181" s="156">
        <v>0</v>
      </c>
      <c r="AF181" s="156">
        <v>0</v>
      </c>
      <c r="AG181" s="156">
        <v>0</v>
      </c>
      <c r="AH181" s="3"/>
      <c r="AI181" s="3"/>
    </row>
    <row r="182" spans="3:35">
      <c r="C182" s="153" t="s">
        <v>391</v>
      </c>
      <c r="D182" s="132">
        <v>0</v>
      </c>
      <c r="E182" s="132">
        <v>0</v>
      </c>
      <c r="F182" s="132">
        <v>0</v>
      </c>
      <c r="G182" s="132">
        <v>0</v>
      </c>
      <c r="H182" s="132">
        <v>0</v>
      </c>
      <c r="I182" s="132">
        <v>0</v>
      </c>
      <c r="J182" s="132">
        <v>0</v>
      </c>
      <c r="K182" s="132">
        <v>0</v>
      </c>
      <c r="L182" s="132">
        <v>0</v>
      </c>
      <c r="M182" s="132">
        <v>0</v>
      </c>
      <c r="N182" s="132">
        <v>0</v>
      </c>
      <c r="O182" s="132">
        <v>0</v>
      </c>
      <c r="P182" s="132">
        <v>0</v>
      </c>
      <c r="Q182" s="132">
        <v>0</v>
      </c>
      <c r="R182" s="132">
        <v>0</v>
      </c>
      <c r="S182" s="132">
        <v>0</v>
      </c>
      <c r="T182" s="132">
        <v>0</v>
      </c>
      <c r="U182" s="132">
        <v>0</v>
      </c>
      <c r="V182" s="132">
        <v>0</v>
      </c>
      <c r="W182" s="132">
        <v>0</v>
      </c>
      <c r="X182" s="132">
        <v>0</v>
      </c>
      <c r="Y182" s="132">
        <v>0</v>
      </c>
      <c r="Z182" s="132">
        <v>0</v>
      </c>
      <c r="AA182" s="132">
        <v>0</v>
      </c>
      <c r="AB182" s="132">
        <v>0</v>
      </c>
      <c r="AC182" s="132">
        <v>0</v>
      </c>
      <c r="AD182" s="132">
        <v>0</v>
      </c>
      <c r="AE182" s="132">
        <v>0</v>
      </c>
      <c r="AF182" s="132">
        <v>0</v>
      </c>
      <c r="AG182" s="132">
        <v>0</v>
      </c>
      <c r="AH182" s="3"/>
      <c r="AI182" s="3"/>
    </row>
    <row r="183" spans="3:35">
      <c r="C183" s="155" t="s">
        <v>392</v>
      </c>
      <c r="D183" s="156">
        <v>0</v>
      </c>
      <c r="E183" s="156">
        <v>0</v>
      </c>
      <c r="F183" s="156">
        <v>0</v>
      </c>
      <c r="G183" s="156">
        <v>0</v>
      </c>
      <c r="H183" s="156">
        <v>0</v>
      </c>
      <c r="I183" s="156">
        <v>0</v>
      </c>
      <c r="J183" s="156">
        <v>0</v>
      </c>
      <c r="K183" s="156">
        <v>0</v>
      </c>
      <c r="L183" s="156">
        <v>0</v>
      </c>
      <c r="M183" s="156">
        <v>0</v>
      </c>
      <c r="N183" s="156">
        <v>0</v>
      </c>
      <c r="O183" s="156">
        <v>0</v>
      </c>
      <c r="P183" s="156">
        <v>0</v>
      </c>
      <c r="Q183" s="156">
        <v>0</v>
      </c>
      <c r="R183" s="156">
        <v>0</v>
      </c>
      <c r="S183" s="156">
        <v>0</v>
      </c>
      <c r="T183" s="156">
        <v>0</v>
      </c>
      <c r="U183" s="156">
        <v>0</v>
      </c>
      <c r="V183" s="156">
        <v>0</v>
      </c>
      <c r="W183" s="156">
        <v>0</v>
      </c>
      <c r="X183" s="156">
        <v>0</v>
      </c>
      <c r="Y183" s="156">
        <v>0</v>
      </c>
      <c r="Z183" s="156">
        <v>0</v>
      </c>
      <c r="AA183" s="156">
        <v>0</v>
      </c>
      <c r="AB183" s="156">
        <v>0</v>
      </c>
      <c r="AC183" s="156">
        <v>0</v>
      </c>
      <c r="AD183" s="156">
        <v>0</v>
      </c>
      <c r="AE183" s="156">
        <v>0</v>
      </c>
      <c r="AF183" s="156">
        <v>0</v>
      </c>
      <c r="AG183" s="156">
        <v>0</v>
      </c>
      <c r="AH183" s="3"/>
      <c r="AI183" s="3"/>
    </row>
    <row r="184" spans="3:35">
      <c r="C184" s="153" t="s">
        <v>393</v>
      </c>
      <c r="D184" s="132">
        <v>0</v>
      </c>
      <c r="E184" s="132">
        <v>0</v>
      </c>
      <c r="F184" s="132">
        <v>0</v>
      </c>
      <c r="G184" s="132">
        <v>0</v>
      </c>
      <c r="H184" s="132">
        <v>0</v>
      </c>
      <c r="I184" s="132">
        <v>0</v>
      </c>
      <c r="J184" s="132">
        <v>0</v>
      </c>
      <c r="K184" s="132">
        <v>0</v>
      </c>
      <c r="L184" s="132">
        <v>0</v>
      </c>
      <c r="M184" s="132">
        <v>0</v>
      </c>
      <c r="N184" s="132">
        <v>0</v>
      </c>
      <c r="O184" s="132">
        <v>0</v>
      </c>
      <c r="P184" s="132">
        <v>0</v>
      </c>
      <c r="Q184" s="132">
        <v>0</v>
      </c>
      <c r="R184" s="132">
        <v>0</v>
      </c>
      <c r="S184" s="132">
        <v>0</v>
      </c>
      <c r="T184" s="132">
        <v>0</v>
      </c>
      <c r="U184" s="132">
        <v>0</v>
      </c>
      <c r="V184" s="132">
        <v>0</v>
      </c>
      <c r="W184" s="132">
        <v>0</v>
      </c>
      <c r="X184" s="132">
        <v>0</v>
      </c>
      <c r="Y184" s="132">
        <v>0</v>
      </c>
      <c r="Z184" s="132">
        <v>0</v>
      </c>
      <c r="AA184" s="132">
        <v>0</v>
      </c>
      <c r="AB184" s="132">
        <v>0</v>
      </c>
      <c r="AC184" s="132">
        <v>0</v>
      </c>
      <c r="AD184" s="132">
        <v>0</v>
      </c>
      <c r="AE184" s="132">
        <v>0</v>
      </c>
      <c r="AF184" s="132">
        <v>0</v>
      </c>
      <c r="AG184" s="132">
        <v>0</v>
      </c>
      <c r="AH184" s="3"/>
      <c r="AI184" s="3"/>
    </row>
    <row r="185" spans="3:35">
      <c r="C185" s="153" t="s">
        <v>394</v>
      </c>
      <c r="D185" s="132">
        <v>0</v>
      </c>
      <c r="E185" s="132">
        <v>0</v>
      </c>
      <c r="F185" s="132">
        <v>0</v>
      </c>
      <c r="G185" s="132">
        <v>0</v>
      </c>
      <c r="H185" s="132">
        <v>0</v>
      </c>
      <c r="I185" s="132">
        <v>0</v>
      </c>
      <c r="J185" s="132">
        <v>0</v>
      </c>
      <c r="K185" s="132">
        <v>0</v>
      </c>
      <c r="L185" s="132">
        <v>0</v>
      </c>
      <c r="M185" s="132">
        <v>0</v>
      </c>
      <c r="N185" s="132">
        <v>0</v>
      </c>
      <c r="O185" s="132">
        <v>0</v>
      </c>
      <c r="P185" s="132">
        <v>0</v>
      </c>
      <c r="Q185" s="132">
        <v>0</v>
      </c>
      <c r="R185" s="132">
        <v>0</v>
      </c>
      <c r="S185" s="132">
        <v>0</v>
      </c>
      <c r="T185" s="132">
        <v>0</v>
      </c>
      <c r="U185" s="132">
        <v>0</v>
      </c>
      <c r="V185" s="132">
        <v>0</v>
      </c>
      <c r="W185" s="132">
        <v>0</v>
      </c>
      <c r="X185" s="132">
        <v>0</v>
      </c>
      <c r="Y185" s="132">
        <v>0</v>
      </c>
      <c r="Z185" s="132">
        <v>0</v>
      </c>
      <c r="AA185" s="132">
        <v>0</v>
      </c>
      <c r="AB185" s="132">
        <v>0</v>
      </c>
      <c r="AC185" s="132">
        <v>0</v>
      </c>
      <c r="AD185" s="132">
        <v>0</v>
      </c>
      <c r="AE185" s="132">
        <v>0</v>
      </c>
      <c r="AF185" s="132">
        <v>0</v>
      </c>
      <c r="AG185" s="132">
        <v>0</v>
      </c>
      <c r="AH185" s="3"/>
      <c r="AI185" s="3"/>
    </row>
    <row r="186" spans="3:35">
      <c r="C186" s="153" t="s">
        <v>395</v>
      </c>
      <c r="D186" s="132">
        <v>0</v>
      </c>
      <c r="E186" s="132">
        <v>0</v>
      </c>
      <c r="F186" s="132">
        <v>0</v>
      </c>
      <c r="G186" s="132">
        <v>0</v>
      </c>
      <c r="H186" s="132">
        <v>0</v>
      </c>
      <c r="I186" s="132">
        <v>0</v>
      </c>
      <c r="J186" s="132">
        <v>0</v>
      </c>
      <c r="K186" s="132">
        <v>0</v>
      </c>
      <c r="L186" s="132">
        <v>0</v>
      </c>
      <c r="M186" s="132">
        <v>0</v>
      </c>
      <c r="N186" s="132">
        <v>0</v>
      </c>
      <c r="O186" s="132">
        <v>0</v>
      </c>
      <c r="P186" s="132">
        <v>0</v>
      </c>
      <c r="Q186" s="132">
        <v>0</v>
      </c>
      <c r="R186" s="132">
        <v>0</v>
      </c>
      <c r="S186" s="132">
        <v>0</v>
      </c>
      <c r="T186" s="132">
        <v>0</v>
      </c>
      <c r="U186" s="132">
        <v>0</v>
      </c>
      <c r="V186" s="132">
        <v>0</v>
      </c>
      <c r="W186" s="132">
        <v>0</v>
      </c>
      <c r="X186" s="132">
        <v>0</v>
      </c>
      <c r="Y186" s="132">
        <v>0</v>
      </c>
      <c r="Z186" s="132">
        <v>0</v>
      </c>
      <c r="AA186" s="132">
        <v>0</v>
      </c>
      <c r="AB186" s="132">
        <v>0</v>
      </c>
      <c r="AC186" s="132">
        <v>0</v>
      </c>
      <c r="AD186" s="132">
        <v>0</v>
      </c>
      <c r="AE186" s="132">
        <v>0</v>
      </c>
      <c r="AF186" s="132">
        <v>0</v>
      </c>
      <c r="AG186" s="132">
        <v>0</v>
      </c>
      <c r="AH186" s="3"/>
      <c r="AI186" s="3"/>
    </row>
    <row r="187" spans="3:35">
      <c r="C187" s="154" t="s">
        <v>396</v>
      </c>
      <c r="D187" s="133">
        <v>78835000</v>
      </c>
      <c r="E187" s="133">
        <v>750000</v>
      </c>
      <c r="F187" s="133">
        <v>750000</v>
      </c>
      <c r="G187" s="133">
        <v>750000</v>
      </c>
      <c r="H187" s="133">
        <v>750000</v>
      </c>
      <c r="I187" s="133">
        <v>750000</v>
      </c>
      <c r="J187" s="133">
        <v>750000</v>
      </c>
      <c r="K187" s="133">
        <v>750000</v>
      </c>
      <c r="L187" s="133">
        <v>750000</v>
      </c>
      <c r="M187" s="133">
        <v>750000</v>
      </c>
      <c r="N187" s="133">
        <v>750000</v>
      </c>
      <c r="O187" s="133">
        <v>750000</v>
      </c>
      <c r="P187" s="133">
        <v>750000</v>
      </c>
      <c r="Q187" s="133">
        <v>750000</v>
      </c>
      <c r="R187" s="133">
        <v>750000</v>
      </c>
      <c r="S187" s="133">
        <v>750000</v>
      </c>
      <c r="T187" s="133">
        <v>750000</v>
      </c>
      <c r="U187" s="133">
        <v>750000</v>
      </c>
      <c r="V187" s="133">
        <v>750000</v>
      </c>
      <c r="W187" s="133">
        <v>750000</v>
      </c>
      <c r="X187" s="133">
        <v>750000</v>
      </c>
      <c r="Y187" s="133">
        <v>750000</v>
      </c>
      <c r="Z187" s="133">
        <v>750000</v>
      </c>
      <c r="AA187" s="133">
        <v>750000</v>
      </c>
      <c r="AB187" s="133">
        <v>750000</v>
      </c>
      <c r="AC187" s="133">
        <v>750000</v>
      </c>
      <c r="AD187" s="133">
        <v>750000</v>
      </c>
      <c r="AE187" s="133">
        <v>750000</v>
      </c>
      <c r="AF187" s="133">
        <v>750000</v>
      </c>
      <c r="AG187" s="133">
        <v>750000</v>
      </c>
      <c r="AH187" s="3"/>
      <c r="AI187" s="3"/>
    </row>
    <row r="188" spans="3:35">
      <c r="C188" s="154" t="s">
        <v>397</v>
      </c>
      <c r="D188" s="133">
        <v>0</v>
      </c>
      <c r="E188" s="133">
        <v>449972.99067727895</v>
      </c>
      <c r="F188" s="133">
        <v>449972.99067727895</v>
      </c>
      <c r="G188" s="133">
        <v>449972.99067727895</v>
      </c>
      <c r="H188" s="133">
        <v>449972.99067727895</v>
      </c>
      <c r="I188" s="133">
        <v>449972.99067727895</v>
      </c>
      <c r="J188" s="133">
        <v>449972.99067727895</v>
      </c>
      <c r="K188" s="133">
        <v>449972.99067727895</v>
      </c>
      <c r="L188" s="133">
        <v>449972.99067727895</v>
      </c>
      <c r="M188" s="133">
        <v>449972.99067727895</v>
      </c>
      <c r="N188" s="133">
        <v>449972.99067727895</v>
      </c>
      <c r="O188" s="133">
        <v>449972.99067727895</v>
      </c>
      <c r="P188" s="133">
        <v>449972.99067727895</v>
      </c>
      <c r="Q188" s="133">
        <v>449972.99067727895</v>
      </c>
      <c r="R188" s="133">
        <v>449972.99067727895</v>
      </c>
      <c r="S188" s="133">
        <v>449972.99067727895</v>
      </c>
      <c r="T188" s="133">
        <v>449972.99067727895</v>
      </c>
      <c r="U188" s="133">
        <v>449972.99067727895</v>
      </c>
      <c r="V188" s="133">
        <v>449972.99067727895</v>
      </c>
      <c r="W188" s="133">
        <v>449972.99067727895</v>
      </c>
      <c r="X188" s="133">
        <v>449972.99067727895</v>
      </c>
      <c r="Y188" s="133">
        <v>449972.99067727895</v>
      </c>
      <c r="Z188" s="133">
        <v>449972.99067727895</v>
      </c>
      <c r="AA188" s="133">
        <v>449972.99067727895</v>
      </c>
      <c r="AB188" s="133">
        <v>449972.99067727895</v>
      </c>
      <c r="AC188" s="133">
        <v>449972.99067727895</v>
      </c>
      <c r="AD188" s="133">
        <v>449972.99067727895</v>
      </c>
      <c r="AE188" s="133">
        <v>449972.99067727895</v>
      </c>
      <c r="AF188" s="133">
        <v>449972.99067727895</v>
      </c>
      <c r="AG188" s="133">
        <v>449972.99067727895</v>
      </c>
      <c r="AH188" s="3"/>
      <c r="AI188" s="3"/>
    </row>
    <row r="189" spans="3:35">
      <c r="C189" s="154" t="s">
        <v>398</v>
      </c>
      <c r="D189" s="133">
        <v>0</v>
      </c>
      <c r="E189" s="133">
        <v>449972.99067727895</v>
      </c>
      <c r="F189" s="133">
        <v>899945.98135455791</v>
      </c>
      <c r="G189" s="133">
        <v>1349918.9720318369</v>
      </c>
      <c r="H189" s="133">
        <v>1799891.9627091158</v>
      </c>
      <c r="I189" s="133">
        <v>2249864.9533863948</v>
      </c>
      <c r="J189" s="133">
        <v>2699837.9440636737</v>
      </c>
      <c r="K189" s="133">
        <v>3149810.9347409527</v>
      </c>
      <c r="L189" s="133">
        <v>3599783.9254182316</v>
      </c>
      <c r="M189" s="133">
        <v>4049756.9160955106</v>
      </c>
      <c r="N189" s="133">
        <v>4499729.9067727895</v>
      </c>
      <c r="O189" s="133">
        <v>4949702.897450069</v>
      </c>
      <c r="P189" s="133">
        <v>5399675.8881273475</v>
      </c>
      <c r="Q189" s="133">
        <v>5849648.8788046259</v>
      </c>
      <c r="R189" s="133">
        <v>6299621.8694819044</v>
      </c>
      <c r="S189" s="133">
        <v>6749594.8601591829</v>
      </c>
      <c r="T189" s="133">
        <v>7199567.8508364614</v>
      </c>
      <c r="U189" s="133">
        <v>7649540.8415137399</v>
      </c>
      <c r="V189" s="133">
        <v>8099513.8321910184</v>
      </c>
      <c r="W189" s="133">
        <v>8549486.8228682969</v>
      </c>
      <c r="X189" s="133">
        <v>8999459.8135455754</v>
      </c>
      <c r="Y189" s="133">
        <v>9449432.8042228539</v>
      </c>
      <c r="Z189" s="133">
        <v>9899405.7949001323</v>
      </c>
      <c r="AA189" s="133">
        <v>10349378.785577411</v>
      </c>
      <c r="AB189" s="133">
        <v>10799351.776254689</v>
      </c>
      <c r="AC189" s="133">
        <v>11249324.766931968</v>
      </c>
      <c r="AD189" s="133">
        <v>11699297.757609246</v>
      </c>
      <c r="AE189" s="133">
        <v>12149270.748286525</v>
      </c>
      <c r="AF189" s="133">
        <v>12599243.738963803</v>
      </c>
      <c r="AG189" s="133">
        <v>13049216.729641082</v>
      </c>
      <c r="AH189" s="3"/>
      <c r="AI189" s="3"/>
    </row>
    <row r="190" spans="3:35">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row>
    <row r="191" spans="3:35">
      <c r="C191" s="154" t="s">
        <v>373</v>
      </c>
      <c r="D191" s="132">
        <v>0</v>
      </c>
      <c r="E191" s="132">
        <v>449972.99067727895</v>
      </c>
      <c r="F191" s="132">
        <v>449972.99067727895</v>
      </c>
      <c r="G191" s="132">
        <v>449972.99067727895</v>
      </c>
      <c r="H191" s="132">
        <v>449972.99067727895</v>
      </c>
      <c r="I191" s="132">
        <v>449972.99067727895</v>
      </c>
      <c r="J191" s="132">
        <v>449972.99067727895</v>
      </c>
      <c r="K191" s="132">
        <v>449972.99067727895</v>
      </c>
      <c r="L191" s="132">
        <v>449972.99067727895</v>
      </c>
      <c r="M191" s="132">
        <v>449972.99067727895</v>
      </c>
      <c r="N191" s="132">
        <v>449972.99067727895</v>
      </c>
      <c r="O191" s="132">
        <v>449972.99067727895</v>
      </c>
      <c r="P191" s="132">
        <v>449972.99067727895</v>
      </c>
      <c r="Q191" s="132">
        <v>449972.99067727895</v>
      </c>
      <c r="R191" s="132">
        <v>449972.99067727895</v>
      </c>
      <c r="S191" s="132">
        <v>449972.99067727895</v>
      </c>
      <c r="T191" s="132">
        <v>449972.99067727895</v>
      </c>
      <c r="U191" s="132">
        <v>449972.99067727895</v>
      </c>
      <c r="V191" s="132">
        <v>449972.99067727895</v>
      </c>
      <c r="W191" s="132">
        <v>449972.99067727895</v>
      </c>
      <c r="X191" s="132">
        <v>449972.99067727895</v>
      </c>
      <c r="Y191" s="132">
        <v>449972.99067727895</v>
      </c>
      <c r="Z191" s="132">
        <v>449972.99067727895</v>
      </c>
      <c r="AA191" s="132">
        <v>449972.99067727895</v>
      </c>
      <c r="AB191" s="132">
        <v>449972.99067727895</v>
      </c>
      <c r="AC191" s="132">
        <v>449972.99067727895</v>
      </c>
      <c r="AD191" s="132">
        <v>449972.99067727895</v>
      </c>
      <c r="AE191" s="132">
        <v>449972.99067727895</v>
      </c>
      <c r="AF191" s="132">
        <v>449972.99067727895</v>
      </c>
      <c r="AG191" s="132">
        <v>449972.99067727895</v>
      </c>
      <c r="AH191" s="3"/>
      <c r="AI191" s="3"/>
    </row>
    <row r="192" spans="3:35">
      <c r="C192" s="154" t="s">
        <v>374</v>
      </c>
      <c r="D192" s="132">
        <v>0</v>
      </c>
      <c r="E192" s="132">
        <v>449972.99067727895</v>
      </c>
      <c r="F192" s="132">
        <v>899945.98135455791</v>
      </c>
      <c r="G192" s="132">
        <v>1349918.9720318369</v>
      </c>
      <c r="H192" s="132">
        <v>1799891.9627091158</v>
      </c>
      <c r="I192" s="132">
        <v>2249864.9533863948</v>
      </c>
      <c r="J192" s="132">
        <v>2699837.9440636737</v>
      </c>
      <c r="K192" s="132">
        <v>3149810.9347409527</v>
      </c>
      <c r="L192" s="132">
        <v>3599783.9254182316</v>
      </c>
      <c r="M192" s="132">
        <v>4049756.9160955106</v>
      </c>
      <c r="N192" s="132">
        <v>4499729.9067727895</v>
      </c>
      <c r="O192" s="132">
        <v>4949702.897450069</v>
      </c>
      <c r="P192" s="132">
        <v>5399675.8881273475</v>
      </c>
      <c r="Q192" s="132">
        <v>5849648.8788046259</v>
      </c>
      <c r="R192" s="132">
        <v>6299621.8694819044</v>
      </c>
      <c r="S192" s="132">
        <v>6749594.8601591829</v>
      </c>
      <c r="T192" s="132">
        <v>7199567.8508364614</v>
      </c>
      <c r="U192" s="132">
        <v>7649540.8415137399</v>
      </c>
      <c r="V192" s="132">
        <v>8099513.8321910184</v>
      </c>
      <c r="W192" s="132">
        <v>8549486.8228682969</v>
      </c>
      <c r="X192" s="132">
        <v>8999459.8135455754</v>
      </c>
      <c r="Y192" s="132">
        <v>9449432.8042228539</v>
      </c>
      <c r="Z192" s="132">
        <v>9899405.7949001323</v>
      </c>
      <c r="AA192" s="132">
        <v>10349378.785577411</v>
      </c>
      <c r="AB192" s="132">
        <v>10799351.776254689</v>
      </c>
      <c r="AC192" s="132">
        <v>11249324.766931968</v>
      </c>
      <c r="AD192" s="132">
        <v>11699297.757609246</v>
      </c>
      <c r="AE192" s="132">
        <v>12149270.748286525</v>
      </c>
      <c r="AF192" s="132">
        <v>12599243.738963803</v>
      </c>
      <c r="AG192" s="132">
        <v>13049216.729641082</v>
      </c>
      <c r="AH192" s="3"/>
      <c r="AI192" s="3"/>
    </row>
    <row r="193" spans="3:35">
      <c r="C193" s="154" t="s">
        <v>375</v>
      </c>
      <c r="D193" s="133">
        <v>0</v>
      </c>
      <c r="E193" s="133">
        <v>0</v>
      </c>
      <c r="F193" s="133">
        <v>0</v>
      </c>
      <c r="G193" s="133">
        <v>0</v>
      </c>
      <c r="H193" s="133">
        <v>0</v>
      </c>
      <c r="I193" s="133">
        <v>0</v>
      </c>
      <c r="J193" s="133">
        <v>0</v>
      </c>
      <c r="K193" s="133">
        <v>0</v>
      </c>
      <c r="L193" s="133">
        <v>0</v>
      </c>
      <c r="M193" s="133">
        <v>0</v>
      </c>
      <c r="N193" s="133">
        <v>0</v>
      </c>
      <c r="O193" s="133">
        <v>0</v>
      </c>
      <c r="P193" s="133">
        <v>0</v>
      </c>
      <c r="Q193" s="133">
        <v>0</v>
      </c>
      <c r="R193" s="133">
        <v>0</v>
      </c>
      <c r="S193" s="133">
        <v>0</v>
      </c>
      <c r="T193" s="133">
        <v>0</v>
      </c>
      <c r="U193" s="133">
        <v>0</v>
      </c>
      <c r="V193" s="133">
        <v>0</v>
      </c>
      <c r="W193" s="133">
        <v>0</v>
      </c>
      <c r="X193" s="133">
        <v>0</v>
      </c>
      <c r="Y193" s="133">
        <v>0</v>
      </c>
      <c r="Z193" s="133">
        <v>0</v>
      </c>
      <c r="AA193" s="133">
        <v>0</v>
      </c>
      <c r="AB193" s="133">
        <v>0</v>
      </c>
      <c r="AC193" s="133">
        <v>0</v>
      </c>
      <c r="AD193" s="133">
        <v>0</v>
      </c>
      <c r="AE193" s="133">
        <v>0</v>
      </c>
      <c r="AF193" s="133">
        <v>0</v>
      </c>
      <c r="AG193" s="133">
        <v>0</v>
      </c>
      <c r="AH193" s="3"/>
      <c r="AI193" s="3"/>
    </row>
    <row r="194" spans="3:35" ht="14.4" thickBot="1"/>
    <row r="195" spans="3:35" s="157" customFormat="1" ht="53.4" thickBot="1">
      <c r="C195" s="120" t="s">
        <v>538</v>
      </c>
    </row>
    <row r="196" spans="3:35" s="157" customFormat="1" ht="14.4" thickBot="1"/>
    <row r="197" spans="3:35" s="157" customFormat="1" ht="16.2" customHeight="1">
      <c r="C197" s="158" t="s">
        <v>190</v>
      </c>
    </row>
    <row r="198" spans="3:35" s="157" customFormat="1" ht="83.4" thickBot="1">
      <c r="C198" s="159" t="s">
        <v>539</v>
      </c>
    </row>
    <row r="199" spans="3:35" s="157" customFormat="1" ht="16.2" customHeight="1" thickBot="1"/>
    <row r="200" spans="3:35" s="157" customFormat="1" ht="16.2" customHeight="1">
      <c r="C200" s="111" t="s">
        <v>189</v>
      </c>
      <c r="D200" s="110" t="s">
        <v>192</v>
      </c>
      <c r="E200" s="588" t="s">
        <v>377</v>
      </c>
      <c r="F200" s="588"/>
      <c r="G200" s="589"/>
    </row>
    <row r="201" spans="3:35" s="157" customFormat="1" ht="28.2" thickBot="1">
      <c r="C201" s="114" t="s">
        <v>378</v>
      </c>
      <c r="D201" s="112" t="s">
        <v>1</v>
      </c>
      <c r="E201" s="590"/>
      <c r="F201" s="590"/>
      <c r="G201" s="591"/>
    </row>
  </sheetData>
  <mergeCells count="2">
    <mergeCell ref="E200:G200"/>
    <mergeCell ref="E201:G201"/>
  </mergeCells>
  <conditionalFormatting sqref="D169:AG169">
    <cfRule type="expression" dxfId="129" priority="32">
      <formula>NOT(ISBLANK(D$169))</formula>
    </cfRule>
  </conditionalFormatting>
  <conditionalFormatting sqref="D191:AG193">
    <cfRule type="expression" dxfId="128" priority="1">
      <formula>NOT(ISBLANK(D$262))</formula>
    </cfRule>
  </conditionalFormatting>
  <conditionalFormatting sqref="F74:AI74">
    <cfRule type="expression" dxfId="127" priority="46">
      <formula>NOT(ISBLANK(F$74))</formula>
    </cfRule>
  </conditionalFormatting>
  <conditionalFormatting sqref="F75:AI75">
    <cfRule type="expression" dxfId="126" priority="45">
      <formula>NOT(ISBLANK(F$74))</formula>
    </cfRule>
  </conditionalFormatting>
  <conditionalFormatting sqref="F80:AI80">
    <cfRule type="expression" dxfId="125" priority="44">
      <formula>NOT(ISBLANK(F$80))</formula>
    </cfRule>
  </conditionalFormatting>
  <conditionalFormatting sqref="F81:AI81">
    <cfRule type="expression" dxfId="124" priority="13">
      <formula>NOT(ISBLANK(F$74))</formula>
    </cfRule>
  </conditionalFormatting>
  <conditionalFormatting sqref="F86:AI86">
    <cfRule type="expression" dxfId="123" priority="42">
      <formula>NOT(ISBLANK(F$86))</formula>
    </cfRule>
  </conditionalFormatting>
  <conditionalFormatting sqref="F87:AI88">
    <cfRule type="expression" dxfId="122" priority="11">
      <formula>NOT(ISBLANK(F$74))</formula>
    </cfRule>
  </conditionalFormatting>
  <conditionalFormatting sqref="F89:AI89">
    <cfRule type="expression" dxfId="121" priority="41">
      <formula>NOT(ISBLANK(F$86))</formula>
    </cfRule>
  </conditionalFormatting>
  <conditionalFormatting sqref="F109:AI109">
    <cfRule type="expression" dxfId="120" priority="38">
      <formula>NOT(ISBLANK(F$109))</formula>
    </cfRule>
  </conditionalFormatting>
  <conditionalFormatting sqref="F110:AI114">
    <cfRule type="expression" dxfId="119" priority="6">
      <formula>NOT(ISBLANK(F$74))</formula>
    </cfRule>
  </conditionalFormatting>
  <conditionalFormatting sqref="F121:AI121">
    <cfRule type="expression" dxfId="118" priority="36">
      <formula>NOT(ISBLANK(F$109))</formula>
    </cfRule>
  </conditionalFormatting>
  <conditionalFormatting sqref="F122:AI122 G123:AI123 H124:AI124 F125:AI126 G127:AI127">
    <cfRule type="expression" dxfId="117" priority="35">
      <formula>NOT(ISBLANK(F$121))</formula>
    </cfRule>
  </conditionalFormatting>
  <conditionalFormatting sqref="F123:AI124 F127:AI127 F133:AI139 D174:AG174">
    <cfRule type="expression" dxfId="116" priority="14">
      <formula>NOT(ISBLANK(#REF!))</formula>
    </cfRule>
  </conditionalFormatting>
  <conditionalFormatting sqref="F132:AI132">
    <cfRule type="expression" dxfId="115" priority="28">
      <formula>NOT(ISBLANK(F$132))</formula>
    </cfRule>
  </conditionalFormatting>
  <dataValidations count="1">
    <dataValidation type="list" allowBlank="1" showInputMessage="1" showErrorMessage="1" sqref="D201" xr:uid="{FEC78EB1-E006-46D3-B08F-73DE5629EA5A}">
      <formula1>i_n_list</formula1>
    </dataValidation>
  </dataValidation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D93EF-44BB-479C-8134-726B458A1DE3}">
  <sheetPr codeName="Munka6">
    <tabColor theme="8" tint="0.59999389629810485"/>
  </sheetPr>
  <dimension ref="A1:AI185"/>
  <sheetViews>
    <sheetView topLeftCell="A165" zoomScale="83" zoomScaleNormal="70" workbookViewId="0">
      <selection activeCell="G177" sqref="G177"/>
    </sheetView>
  </sheetViews>
  <sheetFormatPr defaultColWidth="9.19921875" defaultRowHeight="13.8"/>
  <cols>
    <col min="1" max="1" width="9.19921875" style="1"/>
    <col min="2" max="2" width="47" style="1" customWidth="1"/>
    <col min="3" max="3" width="62.19921875" style="1" customWidth="1"/>
    <col min="4" max="4" width="26.69921875" style="1" customWidth="1"/>
    <col min="5" max="5" width="24.19921875" style="1" customWidth="1"/>
    <col min="6" max="6" width="16.5" style="1" customWidth="1"/>
    <col min="7" max="7" width="65.5" style="1" customWidth="1"/>
    <col min="8" max="8" width="29.5" style="1" customWidth="1"/>
    <col min="9" max="22" width="14" style="1" customWidth="1"/>
    <col min="23" max="33" width="15.19921875" style="1" customWidth="1"/>
    <col min="34" max="16384" width="9.19921875" style="1"/>
  </cols>
  <sheetData>
    <row r="1" spans="1:6" ht="14.4" thickBot="1"/>
    <row r="2" spans="1:6" ht="14.4" thickBot="1">
      <c r="C2" s="5" t="s">
        <v>122</v>
      </c>
    </row>
    <row r="3" spans="1:6" ht="14.4" thickBot="1"/>
    <row r="4" spans="1:6" ht="159.44999999999999" customHeight="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0</v>
      </c>
      <c r="E12" s="130">
        <v>0</v>
      </c>
      <c r="F12" s="11">
        <v>0</v>
      </c>
    </row>
    <row r="13" spans="1:6">
      <c r="C13" s="10" t="s">
        <v>276</v>
      </c>
      <c r="D13" s="130">
        <v>2079769</v>
      </c>
      <c r="E13" s="130">
        <v>0</v>
      </c>
      <c r="F13" s="11">
        <v>2079769</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2079769</v>
      </c>
      <c r="E21" s="131">
        <v>0</v>
      </c>
      <c r="F21" s="13">
        <v>2079769</v>
      </c>
    </row>
    <row r="22" spans="3:10">
      <c r="C22" s="12" t="s">
        <v>329</v>
      </c>
      <c r="D22" s="133">
        <v>2079769</v>
      </c>
      <c r="E22" s="133">
        <v>0</v>
      </c>
      <c r="F22" s="133">
        <v>2079769</v>
      </c>
    </row>
    <row r="23" spans="3:10">
      <c r="F23" s="3">
        <v>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0</v>
      </c>
      <c r="E27" s="11">
        <v>0</v>
      </c>
      <c r="F27" s="134">
        <v>0</v>
      </c>
      <c r="G27" s="134">
        <v>0</v>
      </c>
      <c r="H27" s="134">
        <v>0</v>
      </c>
      <c r="I27" s="134">
        <v>0</v>
      </c>
      <c r="J27" s="134">
        <v>0</v>
      </c>
    </row>
    <row r="28" spans="3:10">
      <c r="C28" s="10" t="s">
        <v>276</v>
      </c>
      <c r="D28" s="11">
        <v>2079769</v>
      </c>
      <c r="E28" s="11">
        <v>2079769</v>
      </c>
      <c r="F28" s="134">
        <v>2079769</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2079769</v>
      </c>
      <c r="E36" s="13">
        <v>2079769</v>
      </c>
      <c r="F36" s="131">
        <v>2079769</v>
      </c>
      <c r="G36" s="131">
        <v>0</v>
      </c>
      <c r="H36" s="131">
        <v>0</v>
      </c>
      <c r="I36" s="131">
        <v>0</v>
      </c>
      <c r="J36" s="131">
        <v>0</v>
      </c>
    </row>
    <row r="37" spans="3:10">
      <c r="C37" s="12" t="s">
        <v>329</v>
      </c>
      <c r="D37" s="13">
        <v>2079769</v>
      </c>
      <c r="E37" s="13">
        <v>2079769</v>
      </c>
      <c r="F37" s="13">
        <v>2079769</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
        <v>0</v>
      </c>
      <c r="G52" s="13">
        <v>0</v>
      </c>
      <c r="H52" s="13">
        <v>0</v>
      </c>
      <c r="I52" s="13">
        <v>0</v>
      </c>
      <c r="J52" s="13">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0</v>
      </c>
      <c r="E57" s="11">
        <v>0</v>
      </c>
      <c r="F57" s="11">
        <v>0</v>
      </c>
      <c r="G57" s="11">
        <v>0</v>
      </c>
      <c r="H57" s="11">
        <v>0</v>
      </c>
      <c r="I57" s="11">
        <v>0</v>
      </c>
      <c r="J57" s="11">
        <v>0</v>
      </c>
    </row>
    <row r="58" spans="3:10">
      <c r="C58" s="10" t="s">
        <v>276</v>
      </c>
      <c r="D58" s="11">
        <v>2079769</v>
      </c>
      <c r="E58" s="11">
        <v>2079769</v>
      </c>
      <c r="F58" s="11">
        <v>2079769</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2079769</v>
      </c>
      <c r="E66" s="13">
        <v>2079769</v>
      </c>
      <c r="F66" s="13">
        <v>2079769</v>
      </c>
      <c r="G66" s="13">
        <v>0</v>
      </c>
      <c r="H66" s="13">
        <v>0</v>
      </c>
      <c r="I66" s="13">
        <v>0</v>
      </c>
      <c r="J66" s="13">
        <v>0</v>
      </c>
    </row>
    <row r="67" spans="1:35">
      <c r="C67" s="12" t="s">
        <v>329</v>
      </c>
      <c r="D67" s="13">
        <v>2079769</v>
      </c>
      <c r="E67" s="13">
        <v>2079769</v>
      </c>
      <c r="F67" s="13">
        <v>2079769</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5">
        <v>2025</v>
      </c>
      <c r="G74" s="15">
        <v>2026</v>
      </c>
      <c r="H74" s="15">
        <v>2027</v>
      </c>
      <c r="I74" s="15">
        <v>2028</v>
      </c>
      <c r="J74" s="15">
        <v>2029</v>
      </c>
      <c r="K74" s="15">
        <v>2030</v>
      </c>
      <c r="L74" s="15">
        <v>2031</v>
      </c>
      <c r="M74" s="15">
        <v>2032</v>
      </c>
      <c r="N74" s="15">
        <v>2033</v>
      </c>
      <c r="O74" s="15">
        <v>2034</v>
      </c>
      <c r="P74" s="15">
        <v>2035</v>
      </c>
      <c r="Q74" s="15">
        <v>2036</v>
      </c>
      <c r="R74" s="15">
        <v>2037</v>
      </c>
      <c r="S74" s="15">
        <v>2038</v>
      </c>
      <c r="T74" s="15">
        <v>2039</v>
      </c>
      <c r="U74" s="15">
        <v>2040</v>
      </c>
      <c r="V74" s="15">
        <v>2041</v>
      </c>
      <c r="W74" s="15">
        <v>2042</v>
      </c>
      <c r="X74" s="15">
        <v>2043</v>
      </c>
      <c r="Y74" s="15">
        <v>2044</v>
      </c>
      <c r="Z74" s="15">
        <v>2045</v>
      </c>
      <c r="AA74" s="15">
        <v>2046</v>
      </c>
      <c r="AB74" s="15">
        <v>2047</v>
      </c>
      <c r="AC74" s="15">
        <v>2048</v>
      </c>
      <c r="AD74" s="15">
        <v>2049</v>
      </c>
      <c r="AE74" s="15">
        <v>2050</v>
      </c>
      <c r="AF74" s="15">
        <v>2051</v>
      </c>
      <c r="AG74" s="15">
        <v>2052</v>
      </c>
      <c r="AH74" s="15">
        <v>2053</v>
      </c>
      <c r="AI74" s="15">
        <v>2054</v>
      </c>
    </row>
    <row r="75" spans="1:35">
      <c r="C75" s="10" t="s">
        <v>337</v>
      </c>
      <c r="D75" s="11">
        <v>22358.501558107608</v>
      </c>
      <c r="E75" s="11">
        <v>9273.2510543868975</v>
      </c>
      <c r="F75" s="135">
        <v>0</v>
      </c>
      <c r="G75" s="135">
        <v>770.98281234853778</v>
      </c>
      <c r="H75" s="135">
        <v>770.98281234853778</v>
      </c>
      <c r="I75" s="135">
        <v>770.98281234853778</v>
      </c>
      <c r="J75" s="135">
        <v>770.98281234853778</v>
      </c>
      <c r="K75" s="135">
        <v>770.98281234853778</v>
      </c>
      <c r="L75" s="135">
        <v>770.98281234853778</v>
      </c>
      <c r="M75" s="135">
        <v>770.98281234853778</v>
      </c>
      <c r="N75" s="135">
        <v>770.98281234853778</v>
      </c>
      <c r="O75" s="135">
        <v>770.98281234853778</v>
      </c>
      <c r="P75" s="135">
        <v>770.98281234853778</v>
      </c>
      <c r="Q75" s="135">
        <v>770.98281234853778</v>
      </c>
      <c r="R75" s="135">
        <v>770.98281234853778</v>
      </c>
      <c r="S75" s="135">
        <v>770.98281234853778</v>
      </c>
      <c r="T75" s="135">
        <v>770.98281234853778</v>
      </c>
      <c r="U75" s="135">
        <v>770.98281234853778</v>
      </c>
      <c r="V75" s="135">
        <v>770.98281234853778</v>
      </c>
      <c r="W75" s="135">
        <v>770.98281234853778</v>
      </c>
      <c r="X75" s="135">
        <v>770.98281234853778</v>
      </c>
      <c r="Y75" s="135">
        <v>770.98281234853778</v>
      </c>
      <c r="Z75" s="135">
        <v>770.98281234853778</v>
      </c>
      <c r="AA75" s="135">
        <v>770.98281234853778</v>
      </c>
      <c r="AB75" s="135">
        <v>770.98281234853778</v>
      </c>
      <c r="AC75" s="135">
        <v>770.98281234853778</v>
      </c>
      <c r="AD75" s="135">
        <v>770.98281234853778</v>
      </c>
      <c r="AE75" s="135">
        <v>770.98281234853778</v>
      </c>
      <c r="AF75" s="135">
        <v>770.98281234853778</v>
      </c>
      <c r="AG75" s="135">
        <v>770.98281234853778</v>
      </c>
      <c r="AH75" s="135">
        <v>770.98281234853778</v>
      </c>
      <c r="AI75" s="135">
        <v>770.98281234853778</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5">
        <v>2025</v>
      </c>
      <c r="G80" s="15">
        <v>2026</v>
      </c>
      <c r="H80" s="15">
        <v>2027</v>
      </c>
      <c r="I80" s="15">
        <v>2028</v>
      </c>
      <c r="J80" s="15">
        <v>2029</v>
      </c>
      <c r="K80" s="15">
        <v>2030</v>
      </c>
      <c r="L80" s="15">
        <v>2031</v>
      </c>
      <c r="M80" s="15">
        <v>2032</v>
      </c>
      <c r="N80" s="15">
        <v>2033</v>
      </c>
      <c r="O80" s="15">
        <v>2034</v>
      </c>
      <c r="P80" s="15">
        <v>2035</v>
      </c>
      <c r="Q80" s="15">
        <v>2036</v>
      </c>
      <c r="R80" s="15">
        <v>2037</v>
      </c>
      <c r="S80" s="15">
        <v>2038</v>
      </c>
      <c r="T80" s="15">
        <v>2039</v>
      </c>
      <c r="U80" s="15">
        <v>2040</v>
      </c>
      <c r="V80" s="15">
        <v>2041</v>
      </c>
      <c r="W80" s="15">
        <v>2042</v>
      </c>
      <c r="X80" s="15">
        <v>2043</v>
      </c>
      <c r="Y80" s="15">
        <v>2044</v>
      </c>
      <c r="Z80" s="15">
        <v>2045</v>
      </c>
      <c r="AA80" s="15">
        <v>2046</v>
      </c>
      <c r="AB80" s="15">
        <v>2047</v>
      </c>
      <c r="AC80" s="15">
        <v>2048</v>
      </c>
      <c r="AD80" s="15">
        <v>2049</v>
      </c>
      <c r="AE80" s="15">
        <v>2050</v>
      </c>
      <c r="AF80" s="15">
        <v>2051</v>
      </c>
      <c r="AG80" s="15">
        <v>2052</v>
      </c>
      <c r="AH80" s="15">
        <v>2053</v>
      </c>
      <c r="AI80" s="15">
        <v>2054</v>
      </c>
    </row>
    <row r="81" spans="1:35">
      <c r="C81" s="10" t="s">
        <v>338</v>
      </c>
      <c r="D81" s="11">
        <v>0</v>
      </c>
      <c r="E81" s="11">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5">
        <v>2025</v>
      </c>
      <c r="G86" s="15">
        <v>2026</v>
      </c>
      <c r="H86" s="15">
        <v>2027</v>
      </c>
      <c r="I86" s="15">
        <v>2028</v>
      </c>
      <c r="J86" s="15">
        <v>2029</v>
      </c>
      <c r="K86" s="15">
        <v>2030</v>
      </c>
      <c r="L86" s="15">
        <v>2031</v>
      </c>
      <c r="M86" s="15">
        <v>2032</v>
      </c>
      <c r="N86" s="15">
        <v>2033</v>
      </c>
      <c r="O86" s="15">
        <v>2034</v>
      </c>
      <c r="P86" s="15">
        <v>2035</v>
      </c>
      <c r="Q86" s="15">
        <v>2036</v>
      </c>
      <c r="R86" s="15">
        <v>2037</v>
      </c>
      <c r="S86" s="15">
        <v>2038</v>
      </c>
      <c r="T86" s="15">
        <v>2039</v>
      </c>
      <c r="U86" s="15">
        <v>2040</v>
      </c>
      <c r="V86" s="15">
        <v>2041</v>
      </c>
      <c r="W86" s="15">
        <v>2042</v>
      </c>
      <c r="X86" s="15">
        <v>2043</v>
      </c>
      <c r="Y86" s="15">
        <v>2044</v>
      </c>
      <c r="Z86" s="15">
        <v>2045</v>
      </c>
      <c r="AA86" s="15">
        <v>2046</v>
      </c>
      <c r="AB86" s="15">
        <v>2047</v>
      </c>
      <c r="AC86" s="15">
        <v>2048</v>
      </c>
      <c r="AD86" s="15">
        <v>2049</v>
      </c>
      <c r="AE86" s="15">
        <v>2050</v>
      </c>
      <c r="AF86" s="15">
        <v>2051</v>
      </c>
      <c r="AG86" s="15">
        <v>2052</v>
      </c>
      <c r="AH86" s="15">
        <v>2053</v>
      </c>
      <c r="AI86" s="15">
        <v>2054</v>
      </c>
    </row>
    <row r="87" spans="1:35">
      <c r="C87" s="8" t="s">
        <v>341</v>
      </c>
      <c r="D87" s="13">
        <v>149043.25852915394</v>
      </c>
      <c r="E87" s="13">
        <v>61816.108325182293</v>
      </c>
      <c r="F87" s="160">
        <v>0</v>
      </c>
      <c r="G87" s="160">
        <v>5139.4227079018601</v>
      </c>
      <c r="H87" s="160">
        <v>5139.4227079018601</v>
      </c>
      <c r="I87" s="160">
        <v>5139.4227079018601</v>
      </c>
      <c r="J87" s="160">
        <v>5139.4227079018601</v>
      </c>
      <c r="K87" s="160">
        <v>5139.4227079018601</v>
      </c>
      <c r="L87" s="160">
        <v>5139.4227079018601</v>
      </c>
      <c r="M87" s="160">
        <v>5139.4227079018601</v>
      </c>
      <c r="N87" s="160">
        <v>5139.4227079018601</v>
      </c>
      <c r="O87" s="160">
        <v>5139.4227079018601</v>
      </c>
      <c r="P87" s="160">
        <v>5139.4227079018601</v>
      </c>
      <c r="Q87" s="160">
        <v>5139.4227079018601</v>
      </c>
      <c r="R87" s="160">
        <v>5139.4227079018601</v>
      </c>
      <c r="S87" s="160">
        <v>5139.4227079018601</v>
      </c>
      <c r="T87" s="160">
        <v>5139.4227079018601</v>
      </c>
      <c r="U87" s="160">
        <v>5139.4227079018601</v>
      </c>
      <c r="V87" s="160">
        <v>5139.4227079018601</v>
      </c>
      <c r="W87" s="160">
        <v>5139.4227079018601</v>
      </c>
      <c r="X87" s="160">
        <v>5139.4227079018601</v>
      </c>
      <c r="Y87" s="160">
        <v>5139.4227079018601</v>
      </c>
      <c r="Z87" s="160">
        <v>5139.4227079018601</v>
      </c>
      <c r="AA87" s="160">
        <v>5139.4227079018601</v>
      </c>
      <c r="AB87" s="160">
        <v>5139.4227079018601</v>
      </c>
      <c r="AC87" s="160">
        <v>5139.4227079018601</v>
      </c>
      <c r="AD87" s="160">
        <v>5139.4227079018601</v>
      </c>
      <c r="AE87" s="160">
        <v>5139.4227079018601</v>
      </c>
      <c r="AF87" s="160">
        <v>5139.4227079018601</v>
      </c>
      <c r="AG87" s="160">
        <v>5139.4227079018601</v>
      </c>
      <c r="AH87" s="160">
        <v>5139.4227079018601</v>
      </c>
      <c r="AI87" s="160">
        <v>5139.4227079018601</v>
      </c>
    </row>
    <row r="88" spans="1:35">
      <c r="C88" s="10" t="s">
        <v>342</v>
      </c>
      <c r="D88" s="11">
        <v>0</v>
      </c>
      <c r="E88" s="11">
        <v>0</v>
      </c>
      <c r="F88" s="161">
        <v>0</v>
      </c>
      <c r="G88" s="161">
        <v>0</v>
      </c>
      <c r="H88" s="161">
        <v>0</v>
      </c>
      <c r="I88" s="161">
        <v>0</v>
      </c>
      <c r="J88" s="161">
        <v>0</v>
      </c>
      <c r="K88" s="161">
        <v>0</v>
      </c>
      <c r="L88" s="161">
        <v>0</v>
      </c>
      <c r="M88" s="161">
        <v>0</v>
      </c>
      <c r="N88" s="161">
        <v>0</v>
      </c>
      <c r="O88" s="161">
        <v>0</v>
      </c>
      <c r="P88" s="161">
        <v>0</v>
      </c>
      <c r="Q88" s="161">
        <v>0</v>
      </c>
      <c r="R88" s="161">
        <v>0</v>
      </c>
      <c r="S88" s="161">
        <v>0</v>
      </c>
      <c r="T88" s="161">
        <v>0</v>
      </c>
      <c r="U88" s="161">
        <v>0</v>
      </c>
      <c r="V88" s="161">
        <v>0</v>
      </c>
      <c r="W88" s="161">
        <v>0</v>
      </c>
      <c r="X88" s="161">
        <v>0</v>
      </c>
      <c r="Y88" s="161">
        <v>0</v>
      </c>
      <c r="Z88" s="161">
        <v>0</v>
      </c>
      <c r="AA88" s="161">
        <v>0</v>
      </c>
      <c r="AB88" s="161">
        <v>0</v>
      </c>
      <c r="AC88" s="161">
        <v>0</v>
      </c>
      <c r="AD88" s="161">
        <v>0</v>
      </c>
      <c r="AE88" s="161">
        <v>0</v>
      </c>
      <c r="AF88" s="161">
        <v>0</v>
      </c>
      <c r="AG88" s="161">
        <v>0</v>
      </c>
      <c r="AH88" s="161">
        <v>0</v>
      </c>
      <c r="AI88" s="161">
        <v>0</v>
      </c>
    </row>
    <row r="89" spans="1:35">
      <c r="C89" s="8" t="s">
        <v>343</v>
      </c>
      <c r="D89" s="13">
        <v>149043.25852915394</v>
      </c>
      <c r="E89" s="13">
        <v>61816.108325182293</v>
      </c>
      <c r="F89" s="162">
        <v>0</v>
      </c>
      <c r="G89" s="162">
        <v>5139.4227079018601</v>
      </c>
      <c r="H89" s="162">
        <v>5139.4227079018601</v>
      </c>
      <c r="I89" s="162">
        <v>5139.4227079018601</v>
      </c>
      <c r="J89" s="162">
        <v>5139.4227079018601</v>
      </c>
      <c r="K89" s="162">
        <v>5139.4227079018601</v>
      </c>
      <c r="L89" s="162">
        <v>5139.4227079018601</v>
      </c>
      <c r="M89" s="162">
        <v>5139.4227079018601</v>
      </c>
      <c r="N89" s="162">
        <v>5139.4227079018601</v>
      </c>
      <c r="O89" s="162">
        <v>5139.4227079018601</v>
      </c>
      <c r="P89" s="162">
        <v>5139.4227079018601</v>
      </c>
      <c r="Q89" s="162">
        <v>5139.4227079018601</v>
      </c>
      <c r="R89" s="162">
        <v>5139.4227079018601</v>
      </c>
      <c r="S89" s="162">
        <v>5139.4227079018601</v>
      </c>
      <c r="T89" s="162">
        <v>5139.4227079018601</v>
      </c>
      <c r="U89" s="162">
        <v>5139.4227079018601</v>
      </c>
      <c r="V89" s="162">
        <v>5139.4227079018601</v>
      </c>
      <c r="W89" s="162">
        <v>5139.4227079018601</v>
      </c>
      <c r="X89" s="162">
        <v>5139.4227079018601</v>
      </c>
      <c r="Y89" s="162">
        <v>5139.4227079018601</v>
      </c>
      <c r="Z89" s="162">
        <v>5139.4227079018601</v>
      </c>
      <c r="AA89" s="162">
        <v>5139.4227079018601</v>
      </c>
      <c r="AB89" s="162">
        <v>5139.4227079018601</v>
      </c>
      <c r="AC89" s="162">
        <v>5139.4227079018601</v>
      </c>
      <c r="AD89" s="162">
        <v>5139.4227079018601</v>
      </c>
      <c r="AE89" s="162">
        <v>5139.4227079018601</v>
      </c>
      <c r="AF89" s="162">
        <v>5139.4227079018601</v>
      </c>
      <c r="AG89" s="162">
        <v>5139.4227079018601</v>
      </c>
      <c r="AH89" s="162">
        <v>5139.4227079018601</v>
      </c>
      <c r="AI89" s="162">
        <v>5139.4227079018601</v>
      </c>
    </row>
    <row r="92" spans="1:35" s="7" customFormat="1">
      <c r="A92" s="6"/>
      <c r="C92" s="6" t="s">
        <v>312</v>
      </c>
    </row>
    <row r="94" spans="1:35">
      <c r="C94" s="14" t="s">
        <v>312</v>
      </c>
      <c r="D94" s="14" t="s">
        <v>325</v>
      </c>
      <c r="E94" s="14" t="s">
        <v>465</v>
      </c>
      <c r="F94" s="15">
        <v>2025</v>
      </c>
      <c r="G94" s="15">
        <v>2026</v>
      </c>
      <c r="H94" s="15">
        <v>2027</v>
      </c>
      <c r="I94" s="15">
        <v>2028</v>
      </c>
      <c r="J94" s="15">
        <v>2029</v>
      </c>
      <c r="K94" s="15">
        <v>2030</v>
      </c>
      <c r="L94" s="15">
        <v>2031</v>
      </c>
      <c r="M94" s="15">
        <v>2032</v>
      </c>
      <c r="N94" s="15">
        <v>2033</v>
      </c>
      <c r="O94" s="15">
        <v>2034</v>
      </c>
      <c r="P94" s="15">
        <v>2035</v>
      </c>
      <c r="Q94" s="15">
        <v>2036</v>
      </c>
      <c r="R94" s="15">
        <v>2037</v>
      </c>
      <c r="S94" s="15">
        <v>2038</v>
      </c>
      <c r="T94" s="15">
        <v>2039</v>
      </c>
      <c r="U94" s="15">
        <v>2040</v>
      </c>
      <c r="V94" s="15">
        <v>2041</v>
      </c>
      <c r="W94" s="15">
        <v>2042</v>
      </c>
      <c r="X94" s="15">
        <v>2043</v>
      </c>
      <c r="Y94" s="15">
        <v>2044</v>
      </c>
      <c r="Z94" s="15">
        <v>2045</v>
      </c>
      <c r="AA94" s="15">
        <v>2046</v>
      </c>
      <c r="AB94" s="15">
        <v>2047</v>
      </c>
      <c r="AC94" s="15">
        <v>2048</v>
      </c>
      <c r="AD94" s="15">
        <v>2049</v>
      </c>
      <c r="AE94" s="15">
        <v>2050</v>
      </c>
      <c r="AF94" s="15">
        <v>2051</v>
      </c>
      <c r="AG94" s="15">
        <v>2052</v>
      </c>
      <c r="AH94" s="15">
        <v>2053</v>
      </c>
      <c r="AI94" s="15">
        <v>2054</v>
      </c>
    </row>
    <row r="95" spans="1:35">
      <c r="C95" s="10" t="s">
        <v>314</v>
      </c>
      <c r="D95" s="11">
        <v>0</v>
      </c>
      <c r="E95" s="11">
        <v>0</v>
      </c>
      <c r="F95" s="135">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315</v>
      </c>
      <c r="D96" s="11">
        <v>0</v>
      </c>
      <c r="E96" s="17">
        <v>0</v>
      </c>
      <c r="F96" s="135">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316</v>
      </c>
      <c r="D97" s="11">
        <v>0</v>
      </c>
      <c r="E97" s="17">
        <v>0</v>
      </c>
      <c r="F97" s="135">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98" spans="1:35">
      <c r="C98" s="10" t="s">
        <v>317</v>
      </c>
      <c r="D98" s="11">
        <v>0</v>
      </c>
      <c r="E98" s="17">
        <v>0</v>
      </c>
      <c r="F98" s="135">
        <v>0</v>
      </c>
      <c r="G98" s="135">
        <v>0</v>
      </c>
      <c r="H98" s="135">
        <v>0</v>
      </c>
      <c r="I98" s="135">
        <v>0</v>
      </c>
      <c r="J98" s="135">
        <v>0</v>
      </c>
      <c r="K98" s="135">
        <v>0</v>
      </c>
      <c r="L98" s="135">
        <v>0</v>
      </c>
      <c r="M98" s="135">
        <v>0</v>
      </c>
      <c r="N98" s="135">
        <v>0</v>
      </c>
      <c r="O98" s="135">
        <v>0</v>
      </c>
      <c r="P98" s="135">
        <v>0</v>
      </c>
      <c r="Q98" s="135">
        <v>0</v>
      </c>
      <c r="R98" s="135">
        <v>0</v>
      </c>
      <c r="S98" s="135">
        <v>0</v>
      </c>
      <c r="T98" s="135">
        <v>0</v>
      </c>
      <c r="U98" s="135">
        <v>0</v>
      </c>
      <c r="V98" s="135">
        <v>0</v>
      </c>
      <c r="W98" s="135">
        <v>0</v>
      </c>
      <c r="X98" s="135">
        <v>0</v>
      </c>
      <c r="Y98" s="135">
        <v>0</v>
      </c>
      <c r="Z98" s="135">
        <v>0</v>
      </c>
      <c r="AA98" s="135">
        <v>0</v>
      </c>
      <c r="AB98" s="135">
        <v>0</v>
      </c>
      <c r="AC98" s="135">
        <v>0</v>
      </c>
      <c r="AD98" s="135">
        <v>0</v>
      </c>
      <c r="AE98" s="135">
        <v>0</v>
      </c>
      <c r="AF98" s="135">
        <v>0</v>
      </c>
      <c r="AG98" s="135">
        <v>0</v>
      </c>
      <c r="AH98" s="135">
        <v>0</v>
      </c>
      <c r="AI98" s="135">
        <v>0</v>
      </c>
    </row>
    <row r="99" spans="1:35">
      <c r="C99" s="10" t="s">
        <v>318</v>
      </c>
      <c r="D99" s="11">
        <v>0</v>
      </c>
      <c r="E99" s="17">
        <v>0</v>
      </c>
      <c r="F99" s="135">
        <v>0</v>
      </c>
      <c r="G99" s="135">
        <v>0</v>
      </c>
      <c r="H99" s="135">
        <v>0</v>
      </c>
      <c r="I99" s="135">
        <v>0</v>
      </c>
      <c r="J99" s="135">
        <v>0</v>
      </c>
      <c r="K99" s="135">
        <v>0</v>
      </c>
      <c r="L99" s="135">
        <v>0</v>
      </c>
      <c r="M99" s="135">
        <v>0</v>
      </c>
      <c r="N99" s="135">
        <v>0</v>
      </c>
      <c r="O99" s="135">
        <v>0</v>
      </c>
      <c r="P99" s="135">
        <v>0</v>
      </c>
      <c r="Q99" s="135">
        <v>0</v>
      </c>
      <c r="R99" s="135">
        <v>0</v>
      </c>
      <c r="S99" s="135">
        <v>0</v>
      </c>
      <c r="T99" s="135">
        <v>0</v>
      </c>
      <c r="U99" s="135">
        <v>0</v>
      </c>
      <c r="V99" s="135">
        <v>0</v>
      </c>
      <c r="W99" s="135">
        <v>0</v>
      </c>
      <c r="X99" s="135">
        <v>0</v>
      </c>
      <c r="Y99" s="135">
        <v>0</v>
      </c>
      <c r="Z99" s="135">
        <v>0</v>
      </c>
      <c r="AA99" s="135">
        <v>0</v>
      </c>
      <c r="AB99" s="135">
        <v>0</v>
      </c>
      <c r="AC99" s="135">
        <v>0</v>
      </c>
      <c r="AD99" s="135">
        <v>0</v>
      </c>
      <c r="AE99" s="135">
        <v>0</v>
      </c>
      <c r="AF99" s="135">
        <v>0</v>
      </c>
      <c r="AG99" s="135">
        <v>0</v>
      </c>
      <c r="AH99" s="135">
        <v>0</v>
      </c>
      <c r="AI99" s="135">
        <v>0</v>
      </c>
    </row>
    <row r="102" spans="1:35" s="7" customFormat="1">
      <c r="A102" s="6"/>
      <c r="C102" s="6" t="s">
        <v>246</v>
      </c>
    </row>
    <row r="103" spans="1:35">
      <c r="C103" s="36"/>
    </row>
    <row r="104" spans="1:35">
      <c r="C104" s="14" t="s">
        <v>246</v>
      </c>
      <c r="D104" s="14">
        <v>2054</v>
      </c>
    </row>
    <row r="105" spans="1:35">
      <c r="C105" s="4" t="s">
        <v>332</v>
      </c>
      <c r="D105" s="134">
        <v>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5">
        <v>2025</v>
      </c>
      <c r="G112" s="15">
        <v>2026</v>
      </c>
      <c r="H112" s="15">
        <v>2027</v>
      </c>
      <c r="I112" s="15">
        <v>2028</v>
      </c>
      <c r="J112" s="15">
        <v>2029</v>
      </c>
      <c r="K112" s="15">
        <v>2030</v>
      </c>
      <c r="L112" s="15">
        <v>2031</v>
      </c>
      <c r="M112" s="15">
        <v>2032</v>
      </c>
      <c r="N112" s="15">
        <v>2033</v>
      </c>
      <c r="O112" s="15">
        <v>2034</v>
      </c>
      <c r="P112" s="15">
        <v>2035</v>
      </c>
      <c r="Q112" s="15">
        <v>2036</v>
      </c>
      <c r="R112" s="15">
        <v>2037</v>
      </c>
      <c r="S112" s="15">
        <v>2038</v>
      </c>
      <c r="T112" s="15">
        <v>2039</v>
      </c>
      <c r="U112" s="15">
        <v>2040</v>
      </c>
      <c r="V112" s="15">
        <v>2041</v>
      </c>
      <c r="W112" s="15">
        <v>2042</v>
      </c>
      <c r="X112" s="15">
        <v>2043</v>
      </c>
      <c r="Y112" s="15">
        <v>2044</v>
      </c>
      <c r="Z112" s="15">
        <v>2045</v>
      </c>
      <c r="AA112" s="15">
        <v>2046</v>
      </c>
      <c r="AB112" s="15">
        <v>2047</v>
      </c>
      <c r="AC112" s="15">
        <v>2048</v>
      </c>
      <c r="AD112" s="15">
        <v>2049</v>
      </c>
      <c r="AE112" s="15">
        <v>2050</v>
      </c>
      <c r="AF112" s="15">
        <v>2051</v>
      </c>
      <c r="AG112" s="15">
        <v>2052</v>
      </c>
      <c r="AH112" s="15">
        <v>2053</v>
      </c>
      <c r="AI112" s="15">
        <v>2054</v>
      </c>
    </row>
    <row r="113" spans="3:35">
      <c r="C113" s="10" t="s">
        <v>336</v>
      </c>
      <c r="D113" s="11">
        <v>2079769</v>
      </c>
      <c r="E113" s="17">
        <v>2079769</v>
      </c>
      <c r="F113" s="11">
        <v>2079769</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row>
    <row r="114" spans="3:35">
      <c r="C114" s="10" t="s">
        <v>301</v>
      </c>
      <c r="D114" s="11">
        <v>22358.501558107608</v>
      </c>
      <c r="E114" s="11">
        <v>9273.2510543868975</v>
      </c>
      <c r="F114" s="11">
        <v>0</v>
      </c>
      <c r="G114" s="11">
        <v>770.98281234853778</v>
      </c>
      <c r="H114" s="11">
        <v>770.98281234853778</v>
      </c>
      <c r="I114" s="11">
        <v>770.98281234853778</v>
      </c>
      <c r="J114" s="11">
        <v>770.98281234853778</v>
      </c>
      <c r="K114" s="11">
        <v>770.98281234853778</v>
      </c>
      <c r="L114" s="11">
        <v>770.98281234853778</v>
      </c>
      <c r="M114" s="11">
        <v>770.98281234853778</v>
      </c>
      <c r="N114" s="11">
        <v>770.98281234853778</v>
      </c>
      <c r="O114" s="11">
        <v>770.98281234853778</v>
      </c>
      <c r="P114" s="11">
        <v>770.98281234853778</v>
      </c>
      <c r="Q114" s="11">
        <v>770.98281234853778</v>
      </c>
      <c r="R114" s="11">
        <v>770.98281234853778</v>
      </c>
      <c r="S114" s="11">
        <v>770.98281234853778</v>
      </c>
      <c r="T114" s="11">
        <v>770.98281234853778</v>
      </c>
      <c r="U114" s="11">
        <v>770.98281234853778</v>
      </c>
      <c r="V114" s="11">
        <v>770.98281234853778</v>
      </c>
      <c r="W114" s="11">
        <v>770.98281234853778</v>
      </c>
      <c r="X114" s="11">
        <v>770.98281234853778</v>
      </c>
      <c r="Y114" s="11">
        <v>770.98281234853778</v>
      </c>
      <c r="Z114" s="11">
        <v>770.98281234853778</v>
      </c>
      <c r="AA114" s="11">
        <v>770.98281234853778</v>
      </c>
      <c r="AB114" s="11">
        <v>770.98281234853778</v>
      </c>
      <c r="AC114" s="11">
        <v>770.98281234853778</v>
      </c>
      <c r="AD114" s="11">
        <v>770.98281234853778</v>
      </c>
      <c r="AE114" s="11">
        <v>770.98281234853778</v>
      </c>
      <c r="AF114" s="11">
        <v>770.98281234853778</v>
      </c>
      <c r="AG114" s="11">
        <v>770.98281234853778</v>
      </c>
      <c r="AH114" s="11">
        <v>770.98281234853778</v>
      </c>
      <c r="AI114" s="11">
        <v>770.98281234853778</v>
      </c>
    </row>
    <row r="115" spans="3:35" ht="14.4">
      <c r="C115" s="23" t="s">
        <v>337</v>
      </c>
      <c r="D115" s="24">
        <v>22358.501558107608</v>
      </c>
      <c r="E115" s="24">
        <v>9273.2510543868975</v>
      </c>
      <c r="F115" s="24">
        <v>0</v>
      </c>
      <c r="G115" s="24">
        <v>770.98281234853778</v>
      </c>
      <c r="H115" s="24">
        <v>770.98281234853778</v>
      </c>
      <c r="I115" s="24">
        <v>770.98281234853778</v>
      </c>
      <c r="J115" s="24">
        <v>770.98281234853778</v>
      </c>
      <c r="K115" s="24">
        <v>770.98281234853778</v>
      </c>
      <c r="L115" s="24">
        <v>770.98281234853778</v>
      </c>
      <c r="M115" s="24">
        <v>770.98281234853778</v>
      </c>
      <c r="N115" s="24">
        <v>770.98281234853778</v>
      </c>
      <c r="O115" s="24">
        <v>770.98281234853778</v>
      </c>
      <c r="P115" s="24">
        <v>770.98281234853778</v>
      </c>
      <c r="Q115" s="24">
        <v>770.98281234853778</v>
      </c>
      <c r="R115" s="24">
        <v>770.98281234853778</v>
      </c>
      <c r="S115" s="24">
        <v>770.98281234853778</v>
      </c>
      <c r="T115" s="24">
        <v>770.98281234853778</v>
      </c>
      <c r="U115" s="24">
        <v>770.98281234853778</v>
      </c>
      <c r="V115" s="24">
        <v>770.98281234853778</v>
      </c>
      <c r="W115" s="24">
        <v>770.98281234853778</v>
      </c>
      <c r="X115" s="24">
        <v>770.98281234853778</v>
      </c>
      <c r="Y115" s="24">
        <v>770.98281234853778</v>
      </c>
      <c r="Z115" s="24">
        <v>770.98281234853778</v>
      </c>
      <c r="AA115" s="24">
        <v>770.98281234853778</v>
      </c>
      <c r="AB115" s="24">
        <v>770.98281234853778</v>
      </c>
      <c r="AC115" s="24">
        <v>770.98281234853778</v>
      </c>
      <c r="AD115" s="24">
        <v>770.98281234853778</v>
      </c>
      <c r="AE115" s="24">
        <v>770.98281234853778</v>
      </c>
      <c r="AF115" s="24">
        <v>770.98281234853778</v>
      </c>
      <c r="AG115" s="24">
        <v>770.98281234853778</v>
      </c>
      <c r="AH115" s="24">
        <v>770.98281234853778</v>
      </c>
      <c r="AI115" s="24">
        <v>770.98281234853778</v>
      </c>
    </row>
    <row r="116" spans="3:35" ht="14.4">
      <c r="C116" s="23" t="s">
        <v>521</v>
      </c>
      <c r="D116" s="24">
        <v>0</v>
      </c>
      <c r="E116" s="24">
        <v>0</v>
      </c>
      <c r="F116" s="24">
        <v>0</v>
      </c>
      <c r="G116" s="24">
        <v>0</v>
      </c>
      <c r="H116" s="24">
        <v>0</v>
      </c>
      <c r="I116" s="24">
        <v>0</v>
      </c>
      <c r="J116" s="24">
        <v>0</v>
      </c>
      <c r="K116" s="24">
        <v>0</v>
      </c>
      <c r="L116" s="24">
        <v>0</v>
      </c>
      <c r="M116" s="24">
        <v>0</v>
      </c>
      <c r="N116" s="24">
        <v>0</v>
      </c>
      <c r="O116" s="24">
        <v>0</v>
      </c>
      <c r="P116" s="24">
        <v>0</v>
      </c>
      <c r="Q116" s="24">
        <v>0</v>
      </c>
      <c r="R116" s="24">
        <v>0</v>
      </c>
      <c r="S116" s="24">
        <v>0</v>
      </c>
      <c r="T116" s="24">
        <v>0</v>
      </c>
      <c r="U116" s="24">
        <v>0</v>
      </c>
      <c r="V116" s="24">
        <v>0</v>
      </c>
      <c r="W116" s="24">
        <v>0</v>
      </c>
      <c r="X116" s="24">
        <v>0</v>
      </c>
      <c r="Y116" s="24">
        <v>0</v>
      </c>
      <c r="Z116" s="24">
        <v>0</v>
      </c>
      <c r="AA116" s="24">
        <v>0</v>
      </c>
      <c r="AB116" s="24">
        <v>0</v>
      </c>
      <c r="AC116" s="24">
        <v>0</v>
      </c>
      <c r="AD116" s="24">
        <v>0</v>
      </c>
      <c r="AE116" s="24">
        <v>0</v>
      </c>
      <c r="AF116" s="24">
        <v>0</v>
      </c>
      <c r="AG116" s="24">
        <v>0</v>
      </c>
      <c r="AH116" s="24">
        <v>0</v>
      </c>
      <c r="AI116" s="24">
        <v>0</v>
      </c>
    </row>
    <row r="117" spans="3:35">
      <c r="C117" s="10" t="s">
        <v>246</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row>
    <row r="118" spans="3:35">
      <c r="C118" s="20" t="s">
        <v>288</v>
      </c>
      <c r="D118" s="13">
        <v>2102127.5015581087</v>
      </c>
      <c r="E118" s="13">
        <v>2089042.2510543868</v>
      </c>
      <c r="F118" s="13">
        <v>2079769</v>
      </c>
      <c r="G118" s="13">
        <v>770.98281234853778</v>
      </c>
      <c r="H118" s="13">
        <v>770.98281234853778</v>
      </c>
      <c r="I118" s="13">
        <v>770.98281234853778</v>
      </c>
      <c r="J118" s="13">
        <v>770.98281234853778</v>
      </c>
      <c r="K118" s="13">
        <v>770.98281234853778</v>
      </c>
      <c r="L118" s="13">
        <v>770.98281234853778</v>
      </c>
      <c r="M118" s="13">
        <v>770.98281234853778</v>
      </c>
      <c r="N118" s="13">
        <v>770.98281234853778</v>
      </c>
      <c r="O118" s="13">
        <v>770.98281234853778</v>
      </c>
      <c r="P118" s="13">
        <v>770.98281234853778</v>
      </c>
      <c r="Q118" s="13">
        <v>770.98281234853778</v>
      </c>
      <c r="R118" s="13">
        <v>770.98281234853778</v>
      </c>
      <c r="S118" s="13">
        <v>770.98281234853778</v>
      </c>
      <c r="T118" s="13">
        <v>770.98281234853778</v>
      </c>
      <c r="U118" s="13">
        <v>770.98281234853778</v>
      </c>
      <c r="V118" s="13">
        <v>770.98281234853778</v>
      </c>
      <c r="W118" s="13">
        <v>770.98281234853778</v>
      </c>
      <c r="X118" s="13">
        <v>770.98281234853778</v>
      </c>
      <c r="Y118" s="13">
        <v>770.98281234853778</v>
      </c>
      <c r="Z118" s="13">
        <v>770.98281234853778</v>
      </c>
      <c r="AA118" s="13">
        <v>770.98281234853778</v>
      </c>
      <c r="AB118" s="13">
        <v>770.98281234853778</v>
      </c>
      <c r="AC118" s="13">
        <v>770.98281234853778</v>
      </c>
      <c r="AD118" s="13">
        <v>770.98281234853778</v>
      </c>
      <c r="AE118" s="13">
        <v>770.98281234853778</v>
      </c>
      <c r="AF118" s="13">
        <v>770.98281234853778</v>
      </c>
      <c r="AG118" s="13">
        <v>770.98281234853778</v>
      </c>
      <c r="AH118" s="13">
        <v>770.98281234853778</v>
      </c>
      <c r="AI118" s="13">
        <v>770.98281234853778</v>
      </c>
    </row>
    <row r="121" spans="3:35">
      <c r="C121" s="39" t="s">
        <v>522</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3" spans="3:35">
      <c r="C123" s="14" t="s">
        <v>344</v>
      </c>
      <c r="D123" s="14" t="s">
        <v>325</v>
      </c>
      <c r="E123" s="14" t="s">
        <v>465</v>
      </c>
      <c r="F123" s="15">
        <v>2025</v>
      </c>
      <c r="G123" s="15">
        <v>2026</v>
      </c>
      <c r="H123" s="15">
        <v>2027</v>
      </c>
      <c r="I123" s="15">
        <v>2028</v>
      </c>
      <c r="J123" s="15">
        <v>2029</v>
      </c>
      <c r="K123" s="15">
        <v>2030</v>
      </c>
      <c r="L123" s="15">
        <v>2031</v>
      </c>
      <c r="M123" s="15">
        <v>2032</v>
      </c>
      <c r="N123" s="15">
        <v>2033</v>
      </c>
      <c r="O123" s="15">
        <v>2034</v>
      </c>
      <c r="P123" s="15">
        <v>2035</v>
      </c>
      <c r="Q123" s="15">
        <v>2036</v>
      </c>
      <c r="R123" s="15">
        <v>2037</v>
      </c>
      <c r="S123" s="15">
        <v>2038</v>
      </c>
      <c r="T123" s="15">
        <v>2039</v>
      </c>
      <c r="U123" s="15">
        <v>2040</v>
      </c>
      <c r="V123" s="15">
        <v>2041</v>
      </c>
      <c r="W123" s="15">
        <v>2042</v>
      </c>
      <c r="X123" s="15">
        <v>2043</v>
      </c>
      <c r="Y123" s="15">
        <v>2044</v>
      </c>
      <c r="Z123" s="15">
        <v>2045</v>
      </c>
      <c r="AA123" s="15">
        <v>2046</v>
      </c>
      <c r="AB123" s="15">
        <v>2047</v>
      </c>
      <c r="AC123" s="15">
        <v>2048</v>
      </c>
      <c r="AD123" s="15">
        <v>2049</v>
      </c>
      <c r="AE123" s="15">
        <v>2050</v>
      </c>
      <c r="AF123" s="15">
        <v>2051</v>
      </c>
      <c r="AG123" s="15">
        <v>2052</v>
      </c>
      <c r="AH123" s="15">
        <v>2053</v>
      </c>
      <c r="AI123" s="15">
        <v>2054</v>
      </c>
    </row>
    <row r="124" spans="3:35">
      <c r="C124" s="26" t="s">
        <v>345</v>
      </c>
      <c r="D124" s="11">
        <v>2079769</v>
      </c>
      <c r="E124" s="11">
        <v>2079769</v>
      </c>
      <c r="F124" s="16">
        <v>2079769</v>
      </c>
      <c r="G124" s="16">
        <v>0</v>
      </c>
      <c r="H124" s="16">
        <v>0</v>
      </c>
      <c r="I124" s="16">
        <v>0</v>
      </c>
      <c r="J124" s="16">
        <v>0</v>
      </c>
      <c r="K124" s="16">
        <v>0</v>
      </c>
      <c r="L124" s="16">
        <v>0</v>
      </c>
      <c r="M124" s="16">
        <v>0</v>
      </c>
      <c r="N124" s="16">
        <v>0</v>
      </c>
      <c r="O124" s="16">
        <v>0</v>
      </c>
      <c r="P124" s="16">
        <v>0</v>
      </c>
      <c r="Q124" s="16">
        <v>0</v>
      </c>
      <c r="R124" s="16">
        <v>0</v>
      </c>
      <c r="S124" s="16">
        <v>0</v>
      </c>
      <c r="T124" s="16">
        <v>0</v>
      </c>
      <c r="U124" s="16">
        <v>0</v>
      </c>
      <c r="V124" s="16">
        <v>0</v>
      </c>
      <c r="W124" s="16">
        <v>0</v>
      </c>
      <c r="X124" s="16">
        <v>0</v>
      </c>
      <c r="Y124" s="16">
        <v>0</v>
      </c>
      <c r="Z124" s="16">
        <v>0</v>
      </c>
      <c r="AA124" s="16">
        <v>0</v>
      </c>
      <c r="AB124" s="16">
        <v>0</v>
      </c>
      <c r="AC124" s="16">
        <v>0</v>
      </c>
      <c r="AD124" s="16">
        <v>0</v>
      </c>
      <c r="AE124" s="16">
        <v>0</v>
      </c>
      <c r="AF124" s="16">
        <v>0</v>
      </c>
      <c r="AG124" s="16">
        <v>0</v>
      </c>
      <c r="AH124" s="16">
        <v>0</v>
      </c>
      <c r="AI124" s="16">
        <v>0</v>
      </c>
    </row>
    <row r="125" spans="3:35">
      <c r="C125" s="26" t="s">
        <v>346</v>
      </c>
      <c r="D125" s="11">
        <v>22358.501558107608</v>
      </c>
      <c r="E125" s="11">
        <v>9273.2510543868975</v>
      </c>
      <c r="F125" s="16">
        <v>0</v>
      </c>
      <c r="G125" s="16">
        <v>770.98281234853778</v>
      </c>
      <c r="H125" s="16">
        <v>770.98281234853778</v>
      </c>
      <c r="I125" s="16">
        <v>770.98281234853778</v>
      </c>
      <c r="J125" s="16">
        <v>770.98281234853778</v>
      </c>
      <c r="K125" s="16">
        <v>770.98281234853778</v>
      </c>
      <c r="L125" s="16">
        <v>770.98281234853778</v>
      </c>
      <c r="M125" s="16">
        <v>770.98281234853778</v>
      </c>
      <c r="N125" s="16">
        <v>770.98281234853778</v>
      </c>
      <c r="O125" s="16">
        <v>770.98281234853778</v>
      </c>
      <c r="P125" s="16">
        <v>770.98281234853778</v>
      </c>
      <c r="Q125" s="16">
        <v>770.98281234853778</v>
      </c>
      <c r="R125" s="16">
        <v>770.98281234853778</v>
      </c>
      <c r="S125" s="16">
        <v>770.98281234853778</v>
      </c>
      <c r="T125" s="16">
        <v>770.98281234853778</v>
      </c>
      <c r="U125" s="16">
        <v>770.98281234853778</v>
      </c>
      <c r="V125" s="16">
        <v>770.98281234853778</v>
      </c>
      <c r="W125" s="16">
        <v>770.98281234853778</v>
      </c>
      <c r="X125" s="16">
        <v>770.98281234853778</v>
      </c>
      <c r="Y125" s="16">
        <v>770.98281234853778</v>
      </c>
      <c r="Z125" s="16">
        <v>770.98281234853778</v>
      </c>
      <c r="AA125" s="16">
        <v>770.98281234853778</v>
      </c>
      <c r="AB125" s="16">
        <v>770.98281234853778</v>
      </c>
      <c r="AC125" s="16">
        <v>770.98281234853778</v>
      </c>
      <c r="AD125" s="16">
        <v>770.98281234853778</v>
      </c>
      <c r="AE125" s="16">
        <v>770.98281234853778</v>
      </c>
      <c r="AF125" s="16">
        <v>770.98281234853778</v>
      </c>
      <c r="AG125" s="16">
        <v>770.98281234853778</v>
      </c>
      <c r="AH125" s="16">
        <v>770.98281234853778</v>
      </c>
      <c r="AI125" s="16">
        <v>770.98281234853778</v>
      </c>
    </row>
    <row r="126" spans="3:35">
      <c r="C126" s="26" t="s">
        <v>349</v>
      </c>
      <c r="D126" s="11">
        <v>2102127.5015581087</v>
      </c>
      <c r="E126" s="11">
        <v>2089042.2510543868</v>
      </c>
      <c r="F126" s="16">
        <v>2079769</v>
      </c>
      <c r="G126" s="16">
        <v>770.98281234853778</v>
      </c>
      <c r="H126" s="16">
        <v>770.98281234853778</v>
      </c>
      <c r="I126" s="16">
        <v>770.98281234853778</v>
      </c>
      <c r="J126" s="16">
        <v>770.98281234853778</v>
      </c>
      <c r="K126" s="16">
        <v>770.98281234853778</v>
      </c>
      <c r="L126" s="16">
        <v>770.98281234853778</v>
      </c>
      <c r="M126" s="16">
        <v>770.98281234853778</v>
      </c>
      <c r="N126" s="16">
        <v>770.98281234853778</v>
      </c>
      <c r="O126" s="16">
        <v>770.98281234853778</v>
      </c>
      <c r="P126" s="16">
        <v>770.98281234853778</v>
      </c>
      <c r="Q126" s="16">
        <v>770.98281234853778</v>
      </c>
      <c r="R126" s="16">
        <v>770.98281234853778</v>
      </c>
      <c r="S126" s="16">
        <v>770.98281234853778</v>
      </c>
      <c r="T126" s="16">
        <v>770.98281234853778</v>
      </c>
      <c r="U126" s="16">
        <v>770.98281234853778</v>
      </c>
      <c r="V126" s="16">
        <v>770.98281234853778</v>
      </c>
      <c r="W126" s="16">
        <v>770.98281234853778</v>
      </c>
      <c r="X126" s="16">
        <v>770.98281234853778</v>
      </c>
      <c r="Y126" s="16">
        <v>770.98281234853778</v>
      </c>
      <c r="Z126" s="16">
        <v>770.98281234853778</v>
      </c>
      <c r="AA126" s="16">
        <v>770.98281234853778</v>
      </c>
      <c r="AB126" s="16">
        <v>770.98281234853778</v>
      </c>
      <c r="AC126" s="16">
        <v>770.98281234853778</v>
      </c>
      <c r="AD126" s="16">
        <v>770.98281234853778</v>
      </c>
      <c r="AE126" s="16">
        <v>770.98281234853778</v>
      </c>
      <c r="AF126" s="16">
        <v>770.98281234853778</v>
      </c>
      <c r="AG126" s="16">
        <v>770.98281234853778</v>
      </c>
      <c r="AH126" s="16">
        <v>770.98281234853778</v>
      </c>
      <c r="AI126" s="16">
        <v>770.98281234853778</v>
      </c>
    </row>
    <row r="127" spans="3:35">
      <c r="C127" s="26" t="s">
        <v>350</v>
      </c>
      <c r="D127" s="11">
        <v>149043.25852915394</v>
      </c>
      <c r="E127" s="11">
        <v>61816.108325182293</v>
      </c>
      <c r="F127" s="16">
        <v>0</v>
      </c>
      <c r="G127" s="16">
        <v>5139.4227079018601</v>
      </c>
      <c r="H127" s="16">
        <v>5139.4227079018601</v>
      </c>
      <c r="I127" s="16">
        <v>5139.4227079018601</v>
      </c>
      <c r="J127" s="16">
        <v>5139.4227079018601</v>
      </c>
      <c r="K127" s="16">
        <v>5139.4227079018601</v>
      </c>
      <c r="L127" s="16">
        <v>5139.4227079018601</v>
      </c>
      <c r="M127" s="16">
        <v>5139.4227079018601</v>
      </c>
      <c r="N127" s="16">
        <v>5139.4227079018601</v>
      </c>
      <c r="O127" s="16">
        <v>5139.4227079018601</v>
      </c>
      <c r="P127" s="16">
        <v>5139.4227079018601</v>
      </c>
      <c r="Q127" s="16">
        <v>5139.4227079018601</v>
      </c>
      <c r="R127" s="16">
        <v>5139.4227079018601</v>
      </c>
      <c r="S127" s="16">
        <v>5139.4227079018601</v>
      </c>
      <c r="T127" s="16">
        <v>5139.4227079018601</v>
      </c>
      <c r="U127" s="16">
        <v>5139.4227079018601</v>
      </c>
      <c r="V127" s="16">
        <v>5139.4227079018601</v>
      </c>
      <c r="W127" s="16">
        <v>5139.4227079018601</v>
      </c>
      <c r="X127" s="16">
        <v>5139.4227079018601</v>
      </c>
      <c r="Y127" s="16">
        <v>5139.4227079018601</v>
      </c>
      <c r="Z127" s="16">
        <v>5139.4227079018601</v>
      </c>
      <c r="AA127" s="16">
        <v>5139.4227079018601</v>
      </c>
      <c r="AB127" s="16">
        <v>5139.4227079018601</v>
      </c>
      <c r="AC127" s="16">
        <v>5139.4227079018601</v>
      </c>
      <c r="AD127" s="16">
        <v>5139.4227079018601</v>
      </c>
      <c r="AE127" s="16">
        <v>5139.4227079018601</v>
      </c>
      <c r="AF127" s="16">
        <v>5139.4227079018601</v>
      </c>
      <c r="AG127" s="16">
        <v>5139.4227079018601</v>
      </c>
      <c r="AH127" s="16">
        <v>5139.4227079018601</v>
      </c>
      <c r="AI127" s="16">
        <v>5139.4227079018601</v>
      </c>
    </row>
    <row r="128" spans="3:35">
      <c r="C128" s="26" t="s">
        <v>351</v>
      </c>
      <c r="D128" s="11">
        <v>149043.25852915394</v>
      </c>
      <c r="E128" s="11">
        <v>61816.108325182293</v>
      </c>
      <c r="F128" s="16">
        <v>0</v>
      </c>
      <c r="G128" s="16">
        <v>5139.4227079018601</v>
      </c>
      <c r="H128" s="16">
        <v>5139.4227079018601</v>
      </c>
      <c r="I128" s="16">
        <v>5139.4227079018601</v>
      </c>
      <c r="J128" s="16">
        <v>5139.4227079018601</v>
      </c>
      <c r="K128" s="16">
        <v>5139.4227079018601</v>
      </c>
      <c r="L128" s="16">
        <v>5139.4227079018601</v>
      </c>
      <c r="M128" s="16">
        <v>5139.4227079018601</v>
      </c>
      <c r="N128" s="16">
        <v>5139.4227079018601</v>
      </c>
      <c r="O128" s="16">
        <v>5139.4227079018601</v>
      </c>
      <c r="P128" s="16">
        <v>5139.4227079018601</v>
      </c>
      <c r="Q128" s="16">
        <v>5139.4227079018601</v>
      </c>
      <c r="R128" s="16">
        <v>5139.4227079018601</v>
      </c>
      <c r="S128" s="16">
        <v>5139.4227079018601</v>
      </c>
      <c r="T128" s="16">
        <v>5139.4227079018601</v>
      </c>
      <c r="U128" s="16">
        <v>5139.4227079018601</v>
      </c>
      <c r="V128" s="16">
        <v>5139.4227079018601</v>
      </c>
      <c r="W128" s="16">
        <v>5139.4227079018601</v>
      </c>
      <c r="X128" s="16">
        <v>5139.4227079018601</v>
      </c>
      <c r="Y128" s="16">
        <v>5139.4227079018601</v>
      </c>
      <c r="Z128" s="16">
        <v>5139.4227079018601</v>
      </c>
      <c r="AA128" s="16">
        <v>5139.4227079018601</v>
      </c>
      <c r="AB128" s="16">
        <v>5139.4227079018601</v>
      </c>
      <c r="AC128" s="16">
        <v>5139.4227079018601</v>
      </c>
      <c r="AD128" s="16">
        <v>5139.4227079018601</v>
      </c>
      <c r="AE128" s="16">
        <v>5139.4227079018601</v>
      </c>
      <c r="AF128" s="16">
        <v>5139.4227079018601</v>
      </c>
      <c r="AG128" s="16">
        <v>5139.4227079018601</v>
      </c>
      <c r="AH128" s="16">
        <v>5139.4227079018601</v>
      </c>
      <c r="AI128" s="16">
        <v>5139.4227079018601</v>
      </c>
    </row>
    <row r="129" spans="3:35">
      <c r="C129" s="26" t="s">
        <v>352</v>
      </c>
      <c r="D129" s="11">
        <v>0</v>
      </c>
      <c r="E129" s="11">
        <v>0</v>
      </c>
      <c r="F129" s="16">
        <v>0</v>
      </c>
      <c r="G129" s="16">
        <v>0</v>
      </c>
      <c r="H129" s="16">
        <v>0</v>
      </c>
      <c r="I129" s="16">
        <v>0</v>
      </c>
      <c r="J129" s="16">
        <v>0</v>
      </c>
      <c r="K129" s="16">
        <v>0</v>
      </c>
      <c r="L129" s="16">
        <v>0</v>
      </c>
      <c r="M129" s="16">
        <v>0</v>
      </c>
      <c r="N129" s="16">
        <v>0</v>
      </c>
      <c r="O129" s="16">
        <v>0</v>
      </c>
      <c r="P129" s="16">
        <v>0</v>
      </c>
      <c r="Q129" s="16">
        <v>0</v>
      </c>
      <c r="R129" s="16">
        <v>0</v>
      </c>
      <c r="S129" s="16">
        <v>0</v>
      </c>
      <c r="T129" s="16">
        <v>0</v>
      </c>
      <c r="U129" s="16">
        <v>0</v>
      </c>
      <c r="V129" s="16">
        <v>0</v>
      </c>
      <c r="W129" s="16">
        <v>0</v>
      </c>
      <c r="X129" s="16">
        <v>0</v>
      </c>
      <c r="Y129" s="16">
        <v>0</v>
      </c>
      <c r="Z129" s="16">
        <v>0</v>
      </c>
      <c r="AA129" s="16">
        <v>0</v>
      </c>
      <c r="AB129" s="16">
        <v>0</v>
      </c>
      <c r="AC129" s="16">
        <v>0</v>
      </c>
      <c r="AD129" s="16">
        <v>0</v>
      </c>
      <c r="AE129" s="16">
        <v>0</v>
      </c>
      <c r="AF129" s="16">
        <v>0</v>
      </c>
      <c r="AG129" s="16">
        <v>0</v>
      </c>
      <c r="AH129" s="16">
        <v>0</v>
      </c>
      <c r="AI129" s="16">
        <v>0</v>
      </c>
    </row>
    <row r="130" spans="3:35">
      <c r="C130" s="27" t="s">
        <v>353</v>
      </c>
      <c r="D130" s="13">
        <v>-1953084.2430289548</v>
      </c>
      <c r="E130" s="13">
        <v>-2027226.1427292046</v>
      </c>
      <c r="F130" s="16">
        <v>-2079769</v>
      </c>
      <c r="G130" s="16">
        <v>4368.4398955533225</v>
      </c>
      <c r="H130" s="16">
        <v>4368.4398955533225</v>
      </c>
      <c r="I130" s="16">
        <v>4368.4398955533225</v>
      </c>
      <c r="J130" s="16">
        <v>4368.4398955533225</v>
      </c>
      <c r="K130" s="16">
        <v>4368.4398955533225</v>
      </c>
      <c r="L130" s="16">
        <v>4368.4398955533225</v>
      </c>
      <c r="M130" s="16">
        <v>4368.4398955533225</v>
      </c>
      <c r="N130" s="16">
        <v>4368.4398955533225</v>
      </c>
      <c r="O130" s="16">
        <v>4368.4398955533225</v>
      </c>
      <c r="P130" s="16">
        <v>4368.4398955533225</v>
      </c>
      <c r="Q130" s="16">
        <v>4368.4398955533225</v>
      </c>
      <c r="R130" s="16">
        <v>4368.4398955533225</v>
      </c>
      <c r="S130" s="16">
        <v>4368.4398955533225</v>
      </c>
      <c r="T130" s="16">
        <v>4368.4398955533225</v>
      </c>
      <c r="U130" s="16">
        <v>4368.4398955533225</v>
      </c>
      <c r="V130" s="16">
        <v>4368.4398955533225</v>
      </c>
      <c r="W130" s="16">
        <v>4368.4398955533225</v>
      </c>
      <c r="X130" s="16">
        <v>4368.4398955533225</v>
      </c>
      <c r="Y130" s="16">
        <v>4368.4398955533225</v>
      </c>
      <c r="Z130" s="16">
        <v>4368.4398955533225</v>
      </c>
      <c r="AA130" s="16">
        <v>4368.4398955533225</v>
      </c>
      <c r="AB130" s="16">
        <v>4368.4398955533225</v>
      </c>
      <c r="AC130" s="16">
        <v>4368.4398955533225</v>
      </c>
      <c r="AD130" s="16">
        <v>4368.4398955533225</v>
      </c>
      <c r="AE130" s="16">
        <v>4368.4398955533225</v>
      </c>
      <c r="AF130" s="16">
        <v>4368.4398955533225</v>
      </c>
      <c r="AG130" s="16">
        <v>4368.4398955533225</v>
      </c>
      <c r="AH130" s="16">
        <v>4368.4398955533225</v>
      </c>
      <c r="AI130" s="16">
        <v>4368.4398955533225</v>
      </c>
    </row>
    <row r="131" spans="3:35">
      <c r="C131" s="26" t="s">
        <v>354</v>
      </c>
      <c r="D131" s="28">
        <v>-2027226.1427292046</v>
      </c>
      <c r="E131" s="3"/>
    </row>
    <row r="132" spans="3:35">
      <c r="C132" s="26" t="s">
        <v>355</v>
      </c>
      <c r="D132" s="29">
        <v>-0.1339618686889279</v>
      </c>
      <c r="E132" s="3"/>
    </row>
    <row r="135" spans="3:35">
      <c r="C135" s="39" t="s">
        <v>523</v>
      </c>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row>
    <row r="137" spans="3:35">
      <c r="C137" s="14" t="s">
        <v>335</v>
      </c>
      <c r="D137" s="14" t="s">
        <v>524</v>
      </c>
      <c r="E137" s="14" t="s">
        <v>514</v>
      </c>
      <c r="F137" s="14" t="s">
        <v>525</v>
      </c>
    </row>
    <row r="138" spans="3:35">
      <c r="C138" s="30" t="s">
        <v>530</v>
      </c>
      <c r="D138" s="31"/>
      <c r="E138" s="11">
        <v>2079769</v>
      </c>
      <c r="F138" s="11">
        <v>5199.4224999999997</v>
      </c>
    </row>
    <row r="139" spans="3:35">
      <c r="C139" s="30" t="s">
        <v>541</v>
      </c>
      <c r="D139" s="31"/>
      <c r="E139" s="11">
        <v>0</v>
      </c>
      <c r="F139" s="11">
        <v>0</v>
      </c>
    </row>
    <row r="140" spans="3:35">
      <c r="C140" s="30" t="s">
        <v>542</v>
      </c>
      <c r="D140" s="138">
        <v>1</v>
      </c>
      <c r="E140" s="31"/>
      <c r="F140" s="31"/>
    </row>
    <row r="141" spans="3:35">
      <c r="C141" s="30" t="s">
        <v>543</v>
      </c>
      <c r="D141" s="32">
        <v>1</v>
      </c>
      <c r="E141" s="11">
        <v>2079769</v>
      </c>
      <c r="F141" s="11">
        <v>5199.4224999999997</v>
      </c>
    </row>
    <row r="142" spans="3:35">
      <c r="C142" s="30" t="s">
        <v>118</v>
      </c>
      <c r="D142" s="138">
        <v>0.83</v>
      </c>
      <c r="E142" s="31"/>
      <c r="F142" s="31"/>
    </row>
    <row r="143" spans="3:35">
      <c r="C143" s="30" t="s">
        <v>119</v>
      </c>
      <c r="D143" s="138">
        <v>0.17000000000000004</v>
      </c>
      <c r="E143" s="31"/>
      <c r="F143" s="31"/>
    </row>
    <row r="144" spans="3:35">
      <c r="C144" s="30" t="s">
        <v>533</v>
      </c>
      <c r="D144" s="32"/>
      <c r="E144" s="11">
        <v>1726208.27</v>
      </c>
      <c r="F144" s="11"/>
    </row>
    <row r="145" spans="3:35">
      <c r="C145" s="30" t="s">
        <v>534</v>
      </c>
      <c r="D145" s="32"/>
      <c r="E145" s="11">
        <v>353560.7300000001</v>
      </c>
      <c r="F145" s="11"/>
    </row>
    <row r="146" spans="3:35">
      <c r="C146" s="30" t="s">
        <v>544</v>
      </c>
      <c r="D146" s="32"/>
      <c r="E146" s="11">
        <v>0</v>
      </c>
      <c r="F146" s="11">
        <v>0</v>
      </c>
    </row>
    <row r="147" spans="3:35">
      <c r="C147" s="30" t="s">
        <v>536</v>
      </c>
      <c r="D147" s="32"/>
      <c r="E147" s="11">
        <v>353560.7300000001</v>
      </c>
      <c r="F147" s="11">
        <v>883.90182500000026</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33">
        <v>2025</v>
      </c>
      <c r="E153" s="33">
        <v>2026</v>
      </c>
      <c r="F153" s="33">
        <v>2027</v>
      </c>
      <c r="G153" s="33">
        <v>2028</v>
      </c>
      <c r="H153" s="33">
        <v>2029</v>
      </c>
      <c r="I153" s="33">
        <v>2030</v>
      </c>
      <c r="J153" s="33">
        <v>2031</v>
      </c>
      <c r="K153" s="33">
        <v>2032</v>
      </c>
      <c r="L153" s="33">
        <v>2033</v>
      </c>
      <c r="M153" s="33">
        <v>2034</v>
      </c>
      <c r="N153" s="33">
        <v>2035</v>
      </c>
      <c r="O153" s="33">
        <v>2036</v>
      </c>
      <c r="P153" s="33">
        <v>2037</v>
      </c>
      <c r="Q153" s="33">
        <v>2038</v>
      </c>
      <c r="R153" s="33">
        <v>2039</v>
      </c>
      <c r="S153" s="33">
        <v>2040</v>
      </c>
      <c r="T153" s="33">
        <v>2041</v>
      </c>
      <c r="U153" s="33">
        <v>2042</v>
      </c>
      <c r="V153" s="33">
        <v>2043</v>
      </c>
      <c r="W153" s="33">
        <v>2044</v>
      </c>
      <c r="X153" s="33">
        <v>2045</v>
      </c>
      <c r="Y153" s="33">
        <v>2046</v>
      </c>
      <c r="Z153" s="33">
        <v>2047</v>
      </c>
      <c r="AA153" s="33">
        <v>2048</v>
      </c>
      <c r="AB153" s="33">
        <v>2049</v>
      </c>
      <c r="AC153" s="33">
        <v>2050</v>
      </c>
      <c r="AD153" s="33">
        <v>2051</v>
      </c>
      <c r="AE153" s="33">
        <v>2052</v>
      </c>
      <c r="AF153" s="33">
        <v>2053</v>
      </c>
      <c r="AG153" s="33">
        <v>2054</v>
      </c>
    </row>
    <row r="154" spans="3:35">
      <c r="C154" s="163" t="s">
        <v>379</v>
      </c>
      <c r="D154" s="164">
        <v>2079769</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770.98281234853778</v>
      </c>
      <c r="F155" s="164">
        <v>770.98281234853778</v>
      </c>
      <c r="G155" s="164">
        <v>770.98281234853778</v>
      </c>
      <c r="H155" s="164">
        <v>770.98281234853778</v>
      </c>
      <c r="I155" s="164">
        <v>770.98281234853778</v>
      </c>
      <c r="J155" s="164">
        <v>770.98281234853778</v>
      </c>
      <c r="K155" s="164">
        <v>770.98281234853778</v>
      </c>
      <c r="L155" s="164">
        <v>770.98281234853778</v>
      </c>
      <c r="M155" s="164">
        <v>770.98281234853778</v>
      </c>
      <c r="N155" s="164">
        <v>770.98281234853778</v>
      </c>
      <c r="O155" s="164">
        <v>770.98281234853778</v>
      </c>
      <c r="P155" s="164">
        <v>770.98281234853778</v>
      </c>
      <c r="Q155" s="164">
        <v>770.98281234853778</v>
      </c>
      <c r="R155" s="164">
        <v>770.98281234853778</v>
      </c>
      <c r="S155" s="164">
        <v>770.98281234853778</v>
      </c>
      <c r="T155" s="164">
        <v>770.98281234853778</v>
      </c>
      <c r="U155" s="164">
        <v>770.98281234853778</v>
      </c>
      <c r="V155" s="164">
        <v>770.98281234853778</v>
      </c>
      <c r="W155" s="164">
        <v>770.98281234853778</v>
      </c>
      <c r="X155" s="164">
        <v>770.98281234853778</v>
      </c>
      <c r="Y155" s="164">
        <v>770.98281234853778</v>
      </c>
      <c r="Z155" s="164">
        <v>770.98281234853778</v>
      </c>
      <c r="AA155" s="164">
        <v>770.98281234853778</v>
      </c>
      <c r="AB155" s="164">
        <v>770.98281234853778</v>
      </c>
      <c r="AC155" s="164">
        <v>770.98281234853778</v>
      </c>
      <c r="AD155" s="164">
        <v>770.98281234853778</v>
      </c>
      <c r="AE155" s="164">
        <v>770.98281234853778</v>
      </c>
      <c r="AF155" s="164">
        <v>770.98281234853778</v>
      </c>
      <c r="AG155" s="164">
        <v>770.98281234853778</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2079769</v>
      </c>
      <c r="E159" s="162">
        <v>770.98281234853778</v>
      </c>
      <c r="F159" s="162">
        <v>770.98281234853778</v>
      </c>
      <c r="G159" s="162">
        <v>770.98281234853778</v>
      </c>
      <c r="H159" s="162">
        <v>770.98281234853778</v>
      </c>
      <c r="I159" s="162">
        <v>770.98281234853778</v>
      </c>
      <c r="J159" s="162">
        <v>770.98281234853778</v>
      </c>
      <c r="K159" s="162">
        <v>770.98281234853778</v>
      </c>
      <c r="L159" s="162">
        <v>770.98281234853778</v>
      </c>
      <c r="M159" s="162">
        <v>770.98281234853778</v>
      </c>
      <c r="N159" s="162">
        <v>770.98281234853778</v>
      </c>
      <c r="O159" s="162">
        <v>770.98281234853778</v>
      </c>
      <c r="P159" s="162">
        <v>770.98281234853778</v>
      </c>
      <c r="Q159" s="162">
        <v>770.98281234853778</v>
      </c>
      <c r="R159" s="162">
        <v>770.98281234853778</v>
      </c>
      <c r="S159" s="162">
        <v>770.98281234853778</v>
      </c>
      <c r="T159" s="162">
        <v>770.98281234853778</v>
      </c>
      <c r="U159" s="162">
        <v>770.98281234853778</v>
      </c>
      <c r="V159" s="162">
        <v>770.98281234853778</v>
      </c>
      <c r="W159" s="162">
        <v>770.98281234853778</v>
      </c>
      <c r="X159" s="162">
        <v>770.98281234853778</v>
      </c>
      <c r="Y159" s="162">
        <v>770.98281234853778</v>
      </c>
      <c r="Z159" s="162">
        <v>770.98281234853778</v>
      </c>
      <c r="AA159" s="162">
        <v>770.98281234853778</v>
      </c>
      <c r="AB159" s="162">
        <v>770.98281234853778</v>
      </c>
      <c r="AC159" s="162">
        <v>770.98281234853778</v>
      </c>
      <c r="AD159" s="162">
        <v>770.98281234853778</v>
      </c>
      <c r="AE159" s="162">
        <v>770.98281234853778</v>
      </c>
      <c r="AF159" s="162">
        <v>770.98281234853778</v>
      </c>
      <c r="AG159" s="162">
        <v>770.98281234853778</v>
      </c>
      <c r="AH159" s="3"/>
      <c r="AI159" s="3"/>
    </row>
    <row r="160" spans="3:35">
      <c r="C160" s="163" t="s">
        <v>385</v>
      </c>
      <c r="D160" s="164">
        <v>0</v>
      </c>
      <c r="E160" s="164">
        <v>5139.4227079018601</v>
      </c>
      <c r="F160" s="164">
        <v>5139.4227079018601</v>
      </c>
      <c r="G160" s="164">
        <v>5139.4227079018601</v>
      </c>
      <c r="H160" s="164">
        <v>5139.4227079018601</v>
      </c>
      <c r="I160" s="164">
        <v>5139.4227079018601</v>
      </c>
      <c r="J160" s="164">
        <v>5139.4227079018601</v>
      </c>
      <c r="K160" s="164">
        <v>5139.4227079018601</v>
      </c>
      <c r="L160" s="164">
        <v>5139.4227079018601</v>
      </c>
      <c r="M160" s="164">
        <v>5139.4227079018601</v>
      </c>
      <c r="N160" s="164">
        <v>5139.4227079018601</v>
      </c>
      <c r="O160" s="164">
        <v>5139.4227079018601</v>
      </c>
      <c r="P160" s="164">
        <v>5139.4227079018601</v>
      </c>
      <c r="Q160" s="164">
        <v>5139.4227079018601</v>
      </c>
      <c r="R160" s="164">
        <v>5139.4227079018601</v>
      </c>
      <c r="S160" s="164">
        <v>5139.4227079018601</v>
      </c>
      <c r="T160" s="164">
        <v>5139.4227079018601</v>
      </c>
      <c r="U160" s="164">
        <v>5139.4227079018601</v>
      </c>
      <c r="V160" s="164">
        <v>5139.4227079018601</v>
      </c>
      <c r="W160" s="164">
        <v>5139.4227079018601</v>
      </c>
      <c r="X160" s="164">
        <v>5139.4227079018601</v>
      </c>
      <c r="Y160" s="164">
        <v>5139.4227079018601</v>
      </c>
      <c r="Z160" s="164">
        <v>5139.4227079018601</v>
      </c>
      <c r="AA160" s="164">
        <v>5139.4227079018601</v>
      </c>
      <c r="AB160" s="164">
        <v>5139.4227079018601</v>
      </c>
      <c r="AC160" s="164">
        <v>5139.4227079018601</v>
      </c>
      <c r="AD160" s="164">
        <v>5139.4227079018601</v>
      </c>
      <c r="AE160" s="164">
        <v>5139.4227079018601</v>
      </c>
      <c r="AF160" s="164">
        <v>5139.4227079018601</v>
      </c>
      <c r="AG160" s="164">
        <v>5139.4227079018601</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1726208.27</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353560.73</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0</v>
      </c>
      <c r="AH163" s="3"/>
      <c r="AI163" s="3"/>
    </row>
    <row r="164" spans="3:35">
      <c r="C164" s="163" t="s">
        <v>389</v>
      </c>
      <c r="D164" s="164">
        <v>353560.73</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2079769</v>
      </c>
      <c r="E171" s="162">
        <v>5139.4227079018601</v>
      </c>
      <c r="F171" s="162">
        <v>5139.4227079018601</v>
      </c>
      <c r="G171" s="162">
        <v>5139.4227079018601</v>
      </c>
      <c r="H171" s="162">
        <v>5139.4227079018601</v>
      </c>
      <c r="I171" s="162">
        <v>5139.4227079018601</v>
      </c>
      <c r="J171" s="162">
        <v>5139.4227079018601</v>
      </c>
      <c r="K171" s="162">
        <v>5139.4227079018601</v>
      </c>
      <c r="L171" s="162">
        <v>5139.4227079018601</v>
      </c>
      <c r="M171" s="162">
        <v>5139.4227079018601</v>
      </c>
      <c r="N171" s="162">
        <v>5139.4227079018601</v>
      </c>
      <c r="O171" s="162">
        <v>5139.4227079018601</v>
      </c>
      <c r="P171" s="162">
        <v>5139.4227079018601</v>
      </c>
      <c r="Q171" s="162">
        <v>5139.4227079018601</v>
      </c>
      <c r="R171" s="162">
        <v>5139.4227079018601</v>
      </c>
      <c r="S171" s="162">
        <v>5139.4227079018601</v>
      </c>
      <c r="T171" s="162">
        <v>5139.4227079018601</v>
      </c>
      <c r="U171" s="162">
        <v>5139.4227079018601</v>
      </c>
      <c r="V171" s="162">
        <v>5139.4227079018601</v>
      </c>
      <c r="W171" s="162">
        <v>5139.4227079018601</v>
      </c>
      <c r="X171" s="162">
        <v>5139.4227079018601</v>
      </c>
      <c r="Y171" s="162">
        <v>5139.4227079018601</v>
      </c>
      <c r="Z171" s="162">
        <v>5139.4227079018601</v>
      </c>
      <c r="AA171" s="162">
        <v>5139.4227079018601</v>
      </c>
      <c r="AB171" s="162">
        <v>5139.4227079018601</v>
      </c>
      <c r="AC171" s="162">
        <v>5139.4227079018601</v>
      </c>
      <c r="AD171" s="162">
        <v>5139.4227079018601</v>
      </c>
      <c r="AE171" s="162">
        <v>5139.4227079018601</v>
      </c>
      <c r="AF171" s="162">
        <v>5139.4227079018601</v>
      </c>
      <c r="AG171" s="162">
        <v>5139.4227079018601</v>
      </c>
      <c r="AH171" s="3"/>
      <c r="AI171" s="3"/>
    </row>
    <row r="172" spans="3:35">
      <c r="C172" s="165" t="s">
        <v>397</v>
      </c>
      <c r="D172" s="162">
        <v>0</v>
      </c>
      <c r="E172" s="162">
        <v>4368.4398955533225</v>
      </c>
      <c r="F172" s="162">
        <v>4368.4398955533225</v>
      </c>
      <c r="G172" s="162">
        <v>4368.4398955533225</v>
      </c>
      <c r="H172" s="162">
        <v>4368.4398955533225</v>
      </c>
      <c r="I172" s="162">
        <v>4368.4398955533225</v>
      </c>
      <c r="J172" s="162">
        <v>4368.4398955533225</v>
      </c>
      <c r="K172" s="162">
        <v>4368.4398955533225</v>
      </c>
      <c r="L172" s="162">
        <v>4368.4398955533225</v>
      </c>
      <c r="M172" s="162">
        <v>4368.4398955533225</v>
      </c>
      <c r="N172" s="162">
        <v>4368.4398955533225</v>
      </c>
      <c r="O172" s="162">
        <v>4368.4398955533225</v>
      </c>
      <c r="P172" s="162">
        <v>4368.4398955533225</v>
      </c>
      <c r="Q172" s="162">
        <v>4368.4398955533225</v>
      </c>
      <c r="R172" s="162">
        <v>4368.4398955533225</v>
      </c>
      <c r="S172" s="162">
        <v>4368.4398955533225</v>
      </c>
      <c r="T172" s="162">
        <v>4368.4398955533225</v>
      </c>
      <c r="U172" s="162">
        <v>4368.4398955533225</v>
      </c>
      <c r="V172" s="162">
        <v>4368.4398955533225</v>
      </c>
      <c r="W172" s="162">
        <v>4368.4398955533225</v>
      </c>
      <c r="X172" s="162">
        <v>4368.4398955533225</v>
      </c>
      <c r="Y172" s="162">
        <v>4368.4398955533225</v>
      </c>
      <c r="Z172" s="162">
        <v>4368.4398955533225</v>
      </c>
      <c r="AA172" s="162">
        <v>4368.4398955533225</v>
      </c>
      <c r="AB172" s="162">
        <v>4368.4398955533225</v>
      </c>
      <c r="AC172" s="162">
        <v>4368.4398955533225</v>
      </c>
      <c r="AD172" s="162">
        <v>4368.4398955533225</v>
      </c>
      <c r="AE172" s="162">
        <v>4368.4398955533225</v>
      </c>
      <c r="AF172" s="162">
        <v>4368.4398955533225</v>
      </c>
      <c r="AG172" s="162">
        <v>4368.4398955533225</v>
      </c>
      <c r="AH172" s="3"/>
      <c r="AI172" s="3"/>
    </row>
    <row r="173" spans="3:35">
      <c r="C173" s="165" t="s">
        <v>398</v>
      </c>
      <c r="D173" s="162">
        <v>0</v>
      </c>
      <c r="E173" s="162">
        <v>4368.4398955533225</v>
      </c>
      <c r="F173" s="162">
        <v>8736.8797911066449</v>
      </c>
      <c r="G173" s="162">
        <v>13105.319686659968</v>
      </c>
      <c r="H173" s="162">
        <v>17473.75958221329</v>
      </c>
      <c r="I173" s="162">
        <v>21842.199477766611</v>
      </c>
      <c r="J173" s="162">
        <v>26210.639373319933</v>
      </c>
      <c r="K173" s="162">
        <v>30579.079268873254</v>
      </c>
      <c r="L173" s="162">
        <v>34947.51916442658</v>
      </c>
      <c r="M173" s="162">
        <v>39315.959059979905</v>
      </c>
      <c r="N173" s="162">
        <v>43684.39895553323</v>
      </c>
      <c r="O173" s="162">
        <v>48052.838851086555</v>
      </c>
      <c r="P173" s="162">
        <v>52421.27874663988</v>
      </c>
      <c r="Q173" s="162">
        <v>56789.718642193206</v>
      </c>
      <c r="R173" s="162">
        <v>61158.158537746531</v>
      </c>
      <c r="S173" s="162">
        <v>65526.598433299856</v>
      </c>
      <c r="T173" s="162">
        <v>69895.038328853174</v>
      </c>
      <c r="U173" s="162">
        <v>74263.478224406499</v>
      </c>
      <c r="V173" s="162">
        <v>78631.918119959824</v>
      </c>
      <c r="W173" s="162">
        <v>83000.358015513149</v>
      </c>
      <c r="X173" s="162">
        <v>87368.797911066475</v>
      </c>
      <c r="Y173" s="162">
        <v>91737.2378066198</v>
      </c>
      <c r="Z173" s="162">
        <v>96105.677702173125</v>
      </c>
      <c r="AA173" s="162">
        <v>100474.11759772645</v>
      </c>
      <c r="AB173" s="162">
        <v>104842.55749327978</v>
      </c>
      <c r="AC173" s="162">
        <v>109210.9973888331</v>
      </c>
      <c r="AD173" s="162">
        <v>113579.43728438643</v>
      </c>
      <c r="AE173" s="162">
        <v>117947.87717993975</v>
      </c>
      <c r="AF173" s="162">
        <v>122316.31707549308</v>
      </c>
      <c r="AG173" s="162">
        <v>126684.7569710464</v>
      </c>
      <c r="AH173" s="3"/>
      <c r="AI173" s="3"/>
    </row>
    <row r="175" spans="3:35">
      <c r="C175" s="165" t="s">
        <v>373</v>
      </c>
      <c r="D175" s="132">
        <v>0</v>
      </c>
      <c r="E175" s="132">
        <v>4368.4398955533225</v>
      </c>
      <c r="F175" s="132">
        <v>4368.4398955533225</v>
      </c>
      <c r="G175" s="132">
        <v>4368.4398955533225</v>
      </c>
      <c r="H175" s="132">
        <v>4368.4398955533225</v>
      </c>
      <c r="I175" s="132">
        <v>4368.4398955533225</v>
      </c>
      <c r="J175" s="132">
        <v>4368.4398955533225</v>
      </c>
      <c r="K175" s="132">
        <v>4368.4398955533225</v>
      </c>
      <c r="L175" s="132">
        <v>4368.4398955533225</v>
      </c>
      <c r="M175" s="132">
        <v>4368.4398955533225</v>
      </c>
      <c r="N175" s="132">
        <v>4368.4398955533225</v>
      </c>
      <c r="O175" s="132">
        <v>4368.4398955533225</v>
      </c>
      <c r="P175" s="132">
        <v>4368.4398955533225</v>
      </c>
      <c r="Q175" s="132">
        <v>4368.4398955533225</v>
      </c>
      <c r="R175" s="132">
        <v>4368.4398955533225</v>
      </c>
      <c r="S175" s="132">
        <v>4368.4398955533225</v>
      </c>
      <c r="T175" s="132">
        <v>4368.4398955533225</v>
      </c>
      <c r="U175" s="132">
        <v>4368.4398955533225</v>
      </c>
      <c r="V175" s="132">
        <v>4368.4398955533225</v>
      </c>
      <c r="W175" s="132">
        <v>4368.4398955533225</v>
      </c>
      <c r="X175" s="132">
        <v>4368.4398955533225</v>
      </c>
      <c r="Y175" s="132">
        <v>4368.4398955533225</v>
      </c>
      <c r="Z175" s="132">
        <v>4368.4398955533225</v>
      </c>
      <c r="AA175" s="132">
        <v>4368.4398955533225</v>
      </c>
      <c r="AB175" s="132">
        <v>4368.4398955533225</v>
      </c>
      <c r="AC175" s="132">
        <v>4368.4398955533225</v>
      </c>
      <c r="AD175" s="132">
        <v>4368.4398955533225</v>
      </c>
      <c r="AE175" s="132">
        <v>4368.4398955533225</v>
      </c>
      <c r="AF175" s="132">
        <v>4368.4398955533225</v>
      </c>
      <c r="AG175" s="132">
        <v>4368.4398955533225</v>
      </c>
      <c r="AH175" s="3"/>
      <c r="AI175" s="3"/>
    </row>
    <row r="176" spans="3:35">
      <c r="C176" s="165" t="s">
        <v>374</v>
      </c>
      <c r="D176" s="132">
        <v>0</v>
      </c>
      <c r="E176" s="132">
        <v>4368.4398955533225</v>
      </c>
      <c r="F176" s="132">
        <v>8736.8797911066449</v>
      </c>
      <c r="G176" s="132">
        <v>13105.319686659968</v>
      </c>
      <c r="H176" s="132">
        <v>17473.75958221329</v>
      </c>
      <c r="I176" s="132">
        <v>21842.199477766611</v>
      </c>
      <c r="J176" s="132">
        <v>26210.639373319933</v>
      </c>
      <c r="K176" s="132">
        <v>30579.079268873254</v>
      </c>
      <c r="L176" s="132">
        <v>34947.51916442658</v>
      </c>
      <c r="M176" s="132">
        <v>39315.959059979905</v>
      </c>
      <c r="N176" s="132">
        <v>43684.39895553323</v>
      </c>
      <c r="O176" s="132">
        <v>48052.838851086555</v>
      </c>
      <c r="P176" s="132">
        <v>52421.27874663988</v>
      </c>
      <c r="Q176" s="132">
        <v>56789.718642193206</v>
      </c>
      <c r="R176" s="132">
        <v>61158.158537746531</v>
      </c>
      <c r="S176" s="132">
        <v>65526.598433299856</v>
      </c>
      <c r="T176" s="132">
        <v>69895.038328853174</v>
      </c>
      <c r="U176" s="132">
        <v>74263.478224406499</v>
      </c>
      <c r="V176" s="132">
        <v>78631.918119959824</v>
      </c>
      <c r="W176" s="132">
        <v>83000.358015513149</v>
      </c>
      <c r="X176" s="132">
        <v>87368.797911066475</v>
      </c>
      <c r="Y176" s="132">
        <v>91737.2378066198</v>
      </c>
      <c r="Z176" s="132">
        <v>96105.677702173125</v>
      </c>
      <c r="AA176" s="132">
        <v>100474.11759772645</v>
      </c>
      <c r="AB176" s="132">
        <v>104842.55749327978</v>
      </c>
      <c r="AC176" s="132">
        <v>109210.9973888331</v>
      </c>
      <c r="AD176" s="132">
        <v>113579.43728438643</v>
      </c>
      <c r="AE176" s="132">
        <v>117947.87717993975</v>
      </c>
      <c r="AF176" s="132">
        <v>122316.31707549308</v>
      </c>
      <c r="AG176" s="132">
        <v>126684.7569710464</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114" priority="26">
      <formula>NOT(ISBLANK(D$153))</formula>
    </cfRule>
  </conditionalFormatting>
  <conditionalFormatting sqref="D175:AG177">
    <cfRule type="expression" dxfId="113" priority="1">
      <formula>NOT(ISBLANK(D$269))</formula>
    </cfRule>
  </conditionalFormatting>
  <conditionalFormatting sqref="F74:AI74">
    <cfRule type="expression" dxfId="112" priority="37">
      <formula>NOT(ISBLANK(F$74))</formula>
    </cfRule>
  </conditionalFormatting>
  <conditionalFormatting sqref="F75:AI75">
    <cfRule type="expression" dxfId="111" priority="36">
      <formula>NOT(ISBLANK(F$74))</formula>
    </cfRule>
  </conditionalFormatting>
  <conditionalFormatting sqref="F80:AI80">
    <cfRule type="expression" dxfId="110" priority="35">
      <formula>NOT(ISBLANK(F$80))</formula>
    </cfRule>
  </conditionalFormatting>
  <conditionalFormatting sqref="F81:AI81">
    <cfRule type="expression" dxfId="109" priority="7">
      <formula>NOT(ISBLANK(F$74))</formula>
    </cfRule>
  </conditionalFormatting>
  <conditionalFormatting sqref="F86:AI86">
    <cfRule type="expression" dxfId="108" priority="33">
      <formula>NOT(ISBLANK(F$86))</formula>
    </cfRule>
  </conditionalFormatting>
  <conditionalFormatting sqref="F94:AI94">
    <cfRule type="expression" dxfId="107" priority="31">
      <formula>NOT(ISBLANK(F$94))</formula>
    </cfRule>
  </conditionalFormatting>
  <conditionalFormatting sqref="F95:AI99">
    <cfRule type="expression" dxfId="106" priority="2">
      <formula>NOT(ISBLANK(F$86))</formula>
    </cfRule>
  </conditionalFormatting>
  <conditionalFormatting sqref="F112:AI112">
    <cfRule type="expression" dxfId="105" priority="8">
      <formula>NOT(ISBLANK(F$123))</formula>
    </cfRule>
  </conditionalFormatting>
  <conditionalFormatting sqref="F113:AI118">
    <cfRule type="expression" dxfId="104" priority="29">
      <formula>NOT(ISBLANK(F$110))</formula>
    </cfRule>
  </conditionalFormatting>
  <conditionalFormatting sqref="F123:AI123">
    <cfRule type="expression" dxfId="103" priority="11">
      <formula>NOT(ISBLANK(F$123))</formula>
    </cfRule>
  </conditionalFormatting>
  <conditionalFormatting sqref="F124:AI129">
    <cfRule type="expression" dxfId="102" priority="10">
      <formula>NOT(ISBLANK(F$123))</formula>
    </cfRule>
  </conditionalFormatting>
  <conditionalFormatting sqref="F130:AI130">
    <cfRule type="expression" dxfId="101" priority="9">
      <formula>NOT(ISBLANK(F$123))</formula>
    </cfRule>
  </conditionalFormatting>
  <dataValidations count="1">
    <dataValidation type="list" allowBlank="1" showInputMessage="1" showErrorMessage="1" sqref="D185" xr:uid="{E3B91D2C-7D54-4665-88EF-9C24F840D2EC}">
      <formula1>i_n_list</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3983-0FC1-4172-A692-9D8D1CA333D5}">
  <sheetPr codeName="Munka7">
    <tabColor theme="8" tint="0.59999389629810485"/>
  </sheetPr>
  <dimension ref="A1:AI185"/>
  <sheetViews>
    <sheetView topLeftCell="A98" zoomScale="65" zoomScaleNormal="55" workbookViewId="0">
      <selection activeCell="H59" sqref="H59"/>
    </sheetView>
  </sheetViews>
  <sheetFormatPr defaultColWidth="9.19921875" defaultRowHeight="13.8"/>
  <cols>
    <col min="1" max="1" width="9.19921875" style="1"/>
    <col min="2" max="2" width="47" style="1" customWidth="1"/>
    <col min="3" max="3" width="62.19921875" style="1" customWidth="1"/>
    <col min="4" max="4" width="28" style="1" bestFit="1" customWidth="1"/>
    <col min="5" max="5" width="24.19921875" style="1" customWidth="1"/>
    <col min="6" max="6" width="14" style="1" customWidth="1"/>
    <col min="7" max="12" width="12.69921875" style="1" customWidth="1"/>
    <col min="13" max="33" width="13.69921875" style="1" customWidth="1"/>
    <col min="34" max="16384" width="9.19921875" style="1"/>
  </cols>
  <sheetData>
    <row r="1" spans="1:6" ht="14.4" thickBot="1"/>
    <row r="2" spans="1:6" ht="14.4" thickBot="1">
      <c r="C2" s="5" t="s">
        <v>281</v>
      </c>
    </row>
    <row r="3" spans="1:6" ht="14.4" thickBot="1"/>
    <row r="4" spans="1:6" ht="145.8000000000000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0</v>
      </c>
      <c r="E12" s="130">
        <v>0</v>
      </c>
      <c r="F12" s="11">
        <v>0</v>
      </c>
    </row>
    <row r="13" spans="1:6">
      <c r="C13" s="10" t="s">
        <v>276</v>
      </c>
      <c r="D13" s="130">
        <v>6350000</v>
      </c>
      <c r="E13" s="130">
        <v>0</v>
      </c>
      <c r="F13" s="11">
        <v>6350000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6350000</v>
      </c>
      <c r="E21" s="131">
        <v>0</v>
      </c>
      <c r="F21" s="13">
        <v>6350000</v>
      </c>
    </row>
    <row r="22" spans="3:10">
      <c r="C22" s="12" t="s">
        <v>329</v>
      </c>
      <c r="D22" s="13">
        <v>6350000</v>
      </c>
      <c r="E22" s="13">
        <v>0</v>
      </c>
      <c r="F22" s="133">
        <v>6350000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0</v>
      </c>
      <c r="E27" s="11">
        <v>0</v>
      </c>
      <c r="F27" s="134">
        <v>0</v>
      </c>
      <c r="G27" s="134">
        <v>0</v>
      </c>
      <c r="H27" s="134">
        <v>0</v>
      </c>
      <c r="I27" s="134">
        <v>0</v>
      </c>
      <c r="J27" s="134">
        <v>0</v>
      </c>
    </row>
    <row r="28" spans="3:10">
      <c r="C28" s="10" t="s">
        <v>276</v>
      </c>
      <c r="D28" s="11">
        <v>6350000</v>
      </c>
      <c r="E28" s="11">
        <v>6350000</v>
      </c>
      <c r="F28" s="134">
        <v>6350000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6350000</v>
      </c>
      <c r="E36" s="13">
        <v>6350000</v>
      </c>
      <c r="F36" s="131">
        <v>6350000</v>
      </c>
      <c r="G36" s="131">
        <v>0</v>
      </c>
      <c r="H36" s="131">
        <v>0</v>
      </c>
      <c r="I36" s="131">
        <v>0</v>
      </c>
      <c r="J36" s="131">
        <v>0</v>
      </c>
    </row>
    <row r="37" spans="3:10">
      <c r="C37" s="12" t="s">
        <v>329</v>
      </c>
      <c r="D37" s="13">
        <v>6350000</v>
      </c>
      <c r="E37" s="13">
        <v>6350000</v>
      </c>
      <c r="F37" s="13">
        <v>6350000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1">
        <v>0</v>
      </c>
      <c r="G52" s="131">
        <v>0</v>
      </c>
      <c r="H52" s="131">
        <v>0</v>
      </c>
      <c r="I52" s="131">
        <v>0</v>
      </c>
      <c r="J52" s="131">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0</v>
      </c>
      <c r="E57" s="11">
        <v>0</v>
      </c>
      <c r="F57" s="11">
        <v>0</v>
      </c>
      <c r="G57" s="11">
        <v>0</v>
      </c>
      <c r="H57" s="11">
        <v>0</v>
      </c>
      <c r="I57" s="11">
        <v>0</v>
      </c>
      <c r="J57" s="11">
        <v>0</v>
      </c>
    </row>
    <row r="58" spans="3:10">
      <c r="C58" s="10" t="s">
        <v>276</v>
      </c>
      <c r="D58" s="11">
        <v>6350000</v>
      </c>
      <c r="E58" s="11">
        <v>6350000</v>
      </c>
      <c r="F58" s="11">
        <v>6350000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6350000</v>
      </c>
      <c r="E66" s="13">
        <v>6350000</v>
      </c>
      <c r="F66" s="13">
        <v>6350000</v>
      </c>
      <c r="G66" s="13">
        <v>0</v>
      </c>
      <c r="H66" s="13">
        <v>0</v>
      </c>
      <c r="I66" s="13">
        <v>0</v>
      </c>
      <c r="J66" s="13">
        <v>0</v>
      </c>
    </row>
    <row r="67" spans="1:35">
      <c r="C67" s="12" t="s">
        <v>329</v>
      </c>
      <c r="D67" s="13">
        <v>6350000</v>
      </c>
      <c r="E67" s="13">
        <v>6350000</v>
      </c>
      <c r="F67" s="13">
        <v>6350000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4">
        <v>2025</v>
      </c>
      <c r="G74" s="14">
        <v>2026</v>
      </c>
      <c r="H74" s="14">
        <v>2027</v>
      </c>
      <c r="I74" s="14">
        <v>2028</v>
      </c>
      <c r="J74" s="14">
        <v>2029</v>
      </c>
      <c r="K74" s="14">
        <v>2030</v>
      </c>
      <c r="L74" s="14">
        <v>2031</v>
      </c>
      <c r="M74" s="14">
        <v>2032</v>
      </c>
      <c r="N74" s="14">
        <v>2033</v>
      </c>
      <c r="O74" s="14">
        <v>2034</v>
      </c>
      <c r="P74" s="14">
        <v>2035</v>
      </c>
      <c r="Q74" s="14">
        <v>2036</v>
      </c>
      <c r="R74" s="14">
        <v>2037</v>
      </c>
      <c r="S74" s="14">
        <v>2038</v>
      </c>
      <c r="T74" s="14">
        <v>2039</v>
      </c>
      <c r="U74" s="14">
        <v>2040</v>
      </c>
      <c r="V74" s="14">
        <v>2041</v>
      </c>
      <c r="W74" s="14">
        <v>2042</v>
      </c>
      <c r="X74" s="14">
        <v>2043</v>
      </c>
      <c r="Y74" s="14">
        <v>2044</v>
      </c>
      <c r="Z74" s="14">
        <v>2045</v>
      </c>
      <c r="AA74" s="14">
        <v>2046</v>
      </c>
      <c r="AB74" s="14">
        <v>2047</v>
      </c>
      <c r="AC74" s="14">
        <v>2048</v>
      </c>
      <c r="AD74" s="14">
        <v>2049</v>
      </c>
      <c r="AE74" s="14">
        <v>2050</v>
      </c>
      <c r="AF74" s="14">
        <v>2051</v>
      </c>
      <c r="AG74" s="14">
        <v>2052</v>
      </c>
      <c r="AH74" s="14">
        <v>2053</v>
      </c>
      <c r="AI74" s="14">
        <v>2054</v>
      </c>
    </row>
    <row r="75" spans="1:35">
      <c r="C75" s="10" t="s">
        <v>337</v>
      </c>
      <c r="D75" s="132">
        <v>68265.506839453461</v>
      </c>
      <c r="E75" s="132">
        <v>28313.30988939483</v>
      </c>
      <c r="F75" s="130">
        <v>0</v>
      </c>
      <c r="G75" s="130">
        <v>2353.9829944639114</v>
      </c>
      <c r="H75" s="130">
        <v>2353.9829944639114</v>
      </c>
      <c r="I75" s="130">
        <v>2353.9829944639114</v>
      </c>
      <c r="J75" s="130">
        <v>2353.9829944639114</v>
      </c>
      <c r="K75" s="130">
        <v>2353.9829944639114</v>
      </c>
      <c r="L75" s="130">
        <v>2353.9829944639114</v>
      </c>
      <c r="M75" s="130">
        <v>2353.9829944639114</v>
      </c>
      <c r="N75" s="130">
        <v>2353.9829944639114</v>
      </c>
      <c r="O75" s="130">
        <v>2353.9829944639114</v>
      </c>
      <c r="P75" s="130">
        <v>2353.9829944639114</v>
      </c>
      <c r="Q75" s="130">
        <v>2353.9829944639114</v>
      </c>
      <c r="R75" s="130">
        <v>2353.9829944639114</v>
      </c>
      <c r="S75" s="130">
        <v>2353.9829944639114</v>
      </c>
      <c r="T75" s="130">
        <v>2353.9829944639114</v>
      </c>
      <c r="U75" s="130">
        <v>2353.9829944639114</v>
      </c>
      <c r="V75" s="130">
        <v>2353.9829944639114</v>
      </c>
      <c r="W75" s="130">
        <v>2353.9829944639114</v>
      </c>
      <c r="X75" s="130">
        <v>2353.9829944639114</v>
      </c>
      <c r="Y75" s="130">
        <v>2353.9829944639114</v>
      </c>
      <c r="Z75" s="130">
        <v>2353.9829944639114</v>
      </c>
      <c r="AA75" s="130">
        <v>2353.9829944639114</v>
      </c>
      <c r="AB75" s="130">
        <v>2353.9829944639114</v>
      </c>
      <c r="AC75" s="130">
        <v>2353.9829944639114</v>
      </c>
      <c r="AD75" s="130">
        <v>2353.9829944639114</v>
      </c>
      <c r="AE75" s="130">
        <v>2353.9829944639114</v>
      </c>
      <c r="AF75" s="130">
        <v>2353.9829944639114</v>
      </c>
      <c r="AG75" s="130">
        <v>2353.9829944639114</v>
      </c>
      <c r="AH75" s="130">
        <v>2353.9829944639114</v>
      </c>
      <c r="AI75" s="130">
        <v>2353.9829944639114</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5" t="s">
        <v>325</v>
      </c>
      <c r="E80" s="145" t="s">
        <v>465</v>
      </c>
      <c r="F80" s="146">
        <v>2025</v>
      </c>
      <c r="G80" s="146">
        <v>2026</v>
      </c>
      <c r="H80" s="146">
        <v>2027</v>
      </c>
      <c r="I80" s="146">
        <v>2028</v>
      </c>
      <c r="J80" s="146">
        <v>2029</v>
      </c>
      <c r="K80" s="146">
        <v>2030</v>
      </c>
      <c r="L80" s="146">
        <v>2031</v>
      </c>
      <c r="M80" s="146">
        <v>2032</v>
      </c>
      <c r="N80" s="146">
        <v>2033</v>
      </c>
      <c r="O80" s="146">
        <v>2034</v>
      </c>
      <c r="P80" s="146">
        <v>2035</v>
      </c>
      <c r="Q80" s="146">
        <v>2036</v>
      </c>
      <c r="R80" s="146">
        <v>2037</v>
      </c>
      <c r="S80" s="146">
        <v>2038</v>
      </c>
      <c r="T80" s="146">
        <v>2039</v>
      </c>
      <c r="U80" s="146">
        <v>2040</v>
      </c>
      <c r="V80" s="146">
        <v>2041</v>
      </c>
      <c r="W80" s="146">
        <v>2042</v>
      </c>
      <c r="X80" s="146">
        <v>2043</v>
      </c>
      <c r="Y80" s="146">
        <v>2044</v>
      </c>
      <c r="Z80" s="146">
        <v>2045</v>
      </c>
      <c r="AA80" s="146">
        <v>2046</v>
      </c>
      <c r="AB80" s="146">
        <v>2047</v>
      </c>
      <c r="AC80" s="146">
        <v>2048</v>
      </c>
      <c r="AD80" s="146">
        <v>2049</v>
      </c>
      <c r="AE80" s="146">
        <v>2050</v>
      </c>
      <c r="AF80" s="146">
        <v>2051</v>
      </c>
      <c r="AG80" s="146">
        <v>2052</v>
      </c>
      <c r="AH80" s="146">
        <v>2053</v>
      </c>
      <c r="AI80" s="146">
        <v>2054</v>
      </c>
    </row>
    <row r="81" spans="1:35">
      <c r="C81" s="10" t="s">
        <v>338</v>
      </c>
      <c r="D81" s="132">
        <v>0</v>
      </c>
      <c r="E81" s="132">
        <v>0</v>
      </c>
      <c r="F81" s="130">
        <v>0</v>
      </c>
      <c r="G81" s="130">
        <v>0</v>
      </c>
      <c r="H81" s="130">
        <v>0</v>
      </c>
      <c r="I81" s="130">
        <v>0</v>
      </c>
      <c r="J81" s="130">
        <v>0</v>
      </c>
      <c r="K81" s="130">
        <v>0</v>
      </c>
      <c r="L81" s="130">
        <v>0</v>
      </c>
      <c r="M81" s="130">
        <v>0</v>
      </c>
      <c r="N81" s="130">
        <v>0</v>
      </c>
      <c r="O81" s="130">
        <v>0</v>
      </c>
      <c r="P81" s="130">
        <v>0</v>
      </c>
      <c r="Q81" s="130">
        <v>0</v>
      </c>
      <c r="R81" s="130">
        <v>0</v>
      </c>
      <c r="S81" s="130">
        <v>0</v>
      </c>
      <c r="T81" s="130">
        <v>0</v>
      </c>
      <c r="U81" s="130">
        <v>0</v>
      </c>
      <c r="V81" s="130">
        <v>0</v>
      </c>
      <c r="W81" s="130">
        <v>0</v>
      </c>
      <c r="X81" s="130">
        <v>0</v>
      </c>
      <c r="Y81" s="130">
        <v>0</v>
      </c>
      <c r="Z81" s="130">
        <v>0</v>
      </c>
      <c r="AA81" s="130">
        <v>0</v>
      </c>
      <c r="AB81" s="130">
        <v>0</v>
      </c>
      <c r="AC81" s="130">
        <v>0</v>
      </c>
      <c r="AD81" s="130">
        <v>0</v>
      </c>
      <c r="AE81" s="130">
        <v>0</v>
      </c>
      <c r="AF81" s="130">
        <v>0</v>
      </c>
      <c r="AG81" s="130">
        <v>0</v>
      </c>
      <c r="AH81" s="130">
        <v>0</v>
      </c>
      <c r="AI81" s="130">
        <v>0</v>
      </c>
    </row>
    <row r="84" spans="1:35" s="7" customFormat="1">
      <c r="A84" s="6"/>
      <c r="C84" s="6" t="s">
        <v>509</v>
      </c>
    </row>
    <row r="86" spans="1:35">
      <c r="C86" s="14" t="s">
        <v>479</v>
      </c>
      <c r="D86" s="14" t="s">
        <v>325</v>
      </c>
      <c r="E86" s="14" t="s">
        <v>465</v>
      </c>
      <c r="F86" s="14">
        <v>2025</v>
      </c>
      <c r="G86" s="14">
        <v>2026</v>
      </c>
      <c r="H86" s="14">
        <v>2027</v>
      </c>
      <c r="I86" s="14">
        <v>2028</v>
      </c>
      <c r="J86" s="14">
        <v>2029</v>
      </c>
      <c r="K86" s="14">
        <v>2030</v>
      </c>
      <c r="L86" s="14">
        <v>2031</v>
      </c>
      <c r="M86" s="14">
        <v>2032</v>
      </c>
      <c r="N86" s="14">
        <v>2033</v>
      </c>
      <c r="O86" s="14">
        <v>2034</v>
      </c>
      <c r="P86" s="14">
        <v>2035</v>
      </c>
      <c r="Q86" s="14">
        <v>2036</v>
      </c>
      <c r="R86" s="14">
        <v>2037</v>
      </c>
      <c r="S86" s="14">
        <v>2038</v>
      </c>
      <c r="T86" s="14">
        <v>2039</v>
      </c>
      <c r="U86" s="14">
        <v>2040</v>
      </c>
      <c r="V86" s="14">
        <v>2041</v>
      </c>
      <c r="W86" s="14">
        <v>2042</v>
      </c>
      <c r="X86" s="14">
        <v>2043</v>
      </c>
      <c r="Y86" s="14">
        <v>2044</v>
      </c>
      <c r="Z86" s="14">
        <v>2045</v>
      </c>
      <c r="AA86" s="14">
        <v>2046</v>
      </c>
      <c r="AB86" s="14">
        <v>2047</v>
      </c>
      <c r="AC86" s="14">
        <v>2048</v>
      </c>
      <c r="AD86" s="14">
        <v>2049</v>
      </c>
      <c r="AE86" s="14">
        <v>2050</v>
      </c>
      <c r="AF86" s="14">
        <v>2051</v>
      </c>
      <c r="AG86" s="14">
        <v>2052</v>
      </c>
      <c r="AH86" s="14">
        <v>2053</v>
      </c>
      <c r="AI86" s="14">
        <v>2054</v>
      </c>
    </row>
    <row r="87" spans="1:35">
      <c r="C87" s="8" t="s">
        <v>341</v>
      </c>
      <c r="D87" s="132">
        <v>455062.40917146427</v>
      </c>
      <c r="E87" s="133">
        <v>188738.40694082249</v>
      </c>
      <c r="F87" s="131">
        <v>0</v>
      </c>
      <c r="G87" s="131">
        <v>15691.807212809119</v>
      </c>
      <c r="H87" s="131">
        <v>15691.807212809119</v>
      </c>
      <c r="I87" s="131">
        <v>15691.807212809119</v>
      </c>
      <c r="J87" s="131">
        <v>15691.807212809119</v>
      </c>
      <c r="K87" s="131">
        <v>15691.807212809119</v>
      </c>
      <c r="L87" s="131">
        <v>15691.807212809119</v>
      </c>
      <c r="M87" s="131">
        <v>15691.807212809119</v>
      </c>
      <c r="N87" s="131">
        <v>15691.807212809119</v>
      </c>
      <c r="O87" s="131">
        <v>15691.807212809119</v>
      </c>
      <c r="P87" s="131">
        <v>15691.807212809119</v>
      </c>
      <c r="Q87" s="131">
        <v>15691.807212809119</v>
      </c>
      <c r="R87" s="131">
        <v>15691.807212809119</v>
      </c>
      <c r="S87" s="131">
        <v>15691.807212809119</v>
      </c>
      <c r="T87" s="131">
        <v>15691.807212809119</v>
      </c>
      <c r="U87" s="131">
        <v>15691.807212809119</v>
      </c>
      <c r="V87" s="131">
        <v>15691.807212809119</v>
      </c>
      <c r="W87" s="131">
        <v>15691.807212809119</v>
      </c>
      <c r="X87" s="131">
        <v>15691.807212809119</v>
      </c>
      <c r="Y87" s="131">
        <v>15691.807212809119</v>
      </c>
      <c r="Z87" s="131">
        <v>15691.807212809119</v>
      </c>
      <c r="AA87" s="131">
        <v>15691.807212809119</v>
      </c>
      <c r="AB87" s="131">
        <v>15691.807212809119</v>
      </c>
      <c r="AC87" s="131">
        <v>15691.807212809119</v>
      </c>
      <c r="AD87" s="131">
        <v>15691.807212809119</v>
      </c>
      <c r="AE87" s="131">
        <v>15691.807212809119</v>
      </c>
      <c r="AF87" s="131">
        <v>15691.807212809119</v>
      </c>
      <c r="AG87" s="131">
        <v>15691.807212809119</v>
      </c>
      <c r="AH87" s="131">
        <v>15691.807212809119</v>
      </c>
      <c r="AI87" s="131">
        <v>15691.807212809119</v>
      </c>
    </row>
    <row r="88" spans="1:35">
      <c r="C88" s="10" t="s">
        <v>342</v>
      </c>
      <c r="D88" s="132">
        <v>0</v>
      </c>
      <c r="E88" s="132">
        <v>0</v>
      </c>
      <c r="F88" s="130">
        <v>0</v>
      </c>
      <c r="G88" s="130">
        <v>0</v>
      </c>
      <c r="H88" s="130">
        <v>0</v>
      </c>
      <c r="I88" s="130">
        <v>0</v>
      </c>
      <c r="J88" s="130">
        <v>0</v>
      </c>
      <c r="K88" s="130">
        <v>0</v>
      </c>
      <c r="L88" s="130">
        <v>0</v>
      </c>
      <c r="M88" s="130">
        <v>0</v>
      </c>
      <c r="N88" s="130">
        <v>0</v>
      </c>
      <c r="O88" s="130">
        <v>0</v>
      </c>
      <c r="P88" s="130">
        <v>0</v>
      </c>
      <c r="Q88" s="130">
        <v>0</v>
      </c>
      <c r="R88" s="130">
        <v>0</v>
      </c>
      <c r="S88" s="130">
        <v>0</v>
      </c>
      <c r="T88" s="130">
        <v>0</v>
      </c>
      <c r="U88" s="130">
        <v>0</v>
      </c>
      <c r="V88" s="130">
        <v>0</v>
      </c>
      <c r="W88" s="130">
        <v>0</v>
      </c>
      <c r="X88" s="130">
        <v>0</v>
      </c>
      <c r="Y88" s="130">
        <v>0</v>
      </c>
      <c r="Z88" s="130">
        <v>0</v>
      </c>
      <c r="AA88" s="130">
        <v>0</v>
      </c>
      <c r="AB88" s="130">
        <v>0</v>
      </c>
      <c r="AC88" s="130">
        <v>0</v>
      </c>
      <c r="AD88" s="130">
        <v>0</v>
      </c>
      <c r="AE88" s="130">
        <v>0</v>
      </c>
      <c r="AF88" s="130">
        <v>0</v>
      </c>
      <c r="AG88" s="130">
        <v>0</v>
      </c>
      <c r="AH88" s="130">
        <v>0</v>
      </c>
      <c r="AI88" s="130">
        <v>0</v>
      </c>
    </row>
    <row r="89" spans="1:35">
      <c r="C89" s="8" t="s">
        <v>343</v>
      </c>
      <c r="D89" s="133">
        <v>455062.40917146404</v>
      </c>
      <c r="E89" s="133">
        <v>188738.4069408224</v>
      </c>
      <c r="F89" s="143">
        <v>0</v>
      </c>
      <c r="G89" s="143">
        <v>15691.807212809115</v>
      </c>
      <c r="H89" s="143">
        <v>15691.807212809115</v>
      </c>
      <c r="I89" s="143">
        <v>15691.807212809115</v>
      </c>
      <c r="J89" s="143">
        <v>15691.807212809115</v>
      </c>
      <c r="K89" s="143">
        <v>15691.807212809115</v>
      </c>
      <c r="L89" s="143">
        <v>15691.807212809115</v>
      </c>
      <c r="M89" s="143">
        <v>15691.807212809115</v>
      </c>
      <c r="N89" s="143">
        <v>15691.807212809115</v>
      </c>
      <c r="O89" s="143">
        <v>15691.807212809115</v>
      </c>
      <c r="P89" s="143">
        <v>15691.807212809115</v>
      </c>
      <c r="Q89" s="143">
        <v>15691.807212809115</v>
      </c>
      <c r="R89" s="143">
        <v>15691.807212809115</v>
      </c>
      <c r="S89" s="143">
        <v>15691.807212809115</v>
      </c>
      <c r="T89" s="143">
        <v>15691.807212809115</v>
      </c>
      <c r="U89" s="143">
        <v>15691.807212809115</v>
      </c>
      <c r="V89" s="143">
        <v>15691.807212809115</v>
      </c>
      <c r="W89" s="143">
        <v>15691.807212809115</v>
      </c>
      <c r="X89" s="143">
        <v>15691.807212809115</v>
      </c>
      <c r="Y89" s="143">
        <v>15691.807212809115</v>
      </c>
      <c r="Z89" s="143">
        <v>15691.807212809115</v>
      </c>
      <c r="AA89" s="143">
        <v>15691.807212809115</v>
      </c>
      <c r="AB89" s="143">
        <v>15691.807212809115</v>
      </c>
      <c r="AC89" s="143">
        <v>15691.807212809115</v>
      </c>
      <c r="AD89" s="143">
        <v>15691.807212809115</v>
      </c>
      <c r="AE89" s="143">
        <v>15691.807212809115</v>
      </c>
      <c r="AF89" s="143">
        <v>15691.807212809115</v>
      </c>
      <c r="AG89" s="143">
        <v>15691.807212809115</v>
      </c>
      <c r="AH89" s="143">
        <v>15691.807212809115</v>
      </c>
      <c r="AI89" s="143">
        <v>15691.807212809115</v>
      </c>
    </row>
    <row r="92" spans="1:35" s="7" customFormat="1">
      <c r="A92" s="6"/>
      <c r="C92" s="6" t="s">
        <v>312</v>
      </c>
    </row>
    <row r="94" spans="1:35">
      <c r="C94" s="14" t="s">
        <v>312</v>
      </c>
      <c r="D94" s="14" t="s">
        <v>325</v>
      </c>
      <c r="E94" s="14" t="s">
        <v>465</v>
      </c>
      <c r="F94" s="14">
        <v>2025</v>
      </c>
      <c r="G94" s="14">
        <v>2026</v>
      </c>
      <c r="H94" s="14">
        <v>2027</v>
      </c>
      <c r="I94" s="14">
        <v>2028</v>
      </c>
      <c r="J94" s="14">
        <v>2029</v>
      </c>
      <c r="K94" s="14">
        <v>2030</v>
      </c>
      <c r="L94" s="14">
        <v>2031</v>
      </c>
      <c r="M94" s="14">
        <v>2032</v>
      </c>
      <c r="N94" s="14">
        <v>2033</v>
      </c>
      <c r="O94" s="14">
        <v>2034</v>
      </c>
      <c r="P94" s="14">
        <v>2035</v>
      </c>
      <c r="Q94" s="14">
        <v>2036</v>
      </c>
      <c r="R94" s="14">
        <v>2037</v>
      </c>
      <c r="S94" s="14">
        <v>2038</v>
      </c>
      <c r="T94" s="14">
        <v>2039</v>
      </c>
      <c r="U94" s="14">
        <v>2040</v>
      </c>
      <c r="V94" s="14">
        <v>2041</v>
      </c>
      <c r="W94" s="14">
        <v>2042</v>
      </c>
      <c r="X94" s="14">
        <v>2043</v>
      </c>
      <c r="Y94" s="14">
        <v>2044</v>
      </c>
      <c r="Z94" s="14">
        <v>2045</v>
      </c>
      <c r="AA94" s="14">
        <v>2046</v>
      </c>
      <c r="AB94" s="14">
        <v>2047</v>
      </c>
      <c r="AC94" s="14">
        <v>2048</v>
      </c>
      <c r="AD94" s="14">
        <v>2049</v>
      </c>
      <c r="AE94" s="14">
        <v>2050</v>
      </c>
      <c r="AF94" s="14">
        <v>2051</v>
      </c>
      <c r="AG94" s="14">
        <v>2052</v>
      </c>
      <c r="AH94" s="14">
        <v>2053</v>
      </c>
      <c r="AI94" s="14">
        <v>2054</v>
      </c>
    </row>
    <row r="95" spans="1:35">
      <c r="C95" s="10" t="s">
        <v>314</v>
      </c>
      <c r="D95" s="132">
        <v>0</v>
      </c>
      <c r="E95" s="132">
        <v>0</v>
      </c>
      <c r="F95" s="130">
        <v>0</v>
      </c>
      <c r="G95" s="130">
        <v>0</v>
      </c>
      <c r="H95" s="130">
        <v>0</v>
      </c>
      <c r="I95" s="130">
        <v>0</v>
      </c>
      <c r="J95" s="130">
        <v>0</v>
      </c>
      <c r="K95" s="130">
        <v>0</v>
      </c>
      <c r="L95" s="130">
        <v>0</v>
      </c>
      <c r="M95" s="130">
        <v>0</v>
      </c>
      <c r="N95" s="130">
        <v>0</v>
      </c>
      <c r="O95" s="130">
        <v>0</v>
      </c>
      <c r="P95" s="130">
        <v>0</v>
      </c>
      <c r="Q95" s="130">
        <v>0</v>
      </c>
      <c r="R95" s="130">
        <v>0</v>
      </c>
      <c r="S95" s="130">
        <v>0</v>
      </c>
      <c r="T95" s="130">
        <v>0</v>
      </c>
      <c r="U95" s="130">
        <v>0</v>
      </c>
      <c r="V95" s="130">
        <v>0</v>
      </c>
      <c r="W95" s="130">
        <v>0</v>
      </c>
      <c r="X95" s="130">
        <v>0</v>
      </c>
      <c r="Y95" s="130">
        <v>0</v>
      </c>
      <c r="Z95" s="130">
        <v>0</v>
      </c>
      <c r="AA95" s="130">
        <v>0</v>
      </c>
      <c r="AB95" s="130">
        <v>0</v>
      </c>
      <c r="AC95" s="130">
        <v>0</v>
      </c>
      <c r="AD95" s="130">
        <v>0</v>
      </c>
      <c r="AE95" s="130">
        <v>0</v>
      </c>
      <c r="AF95" s="130">
        <v>0</v>
      </c>
      <c r="AG95" s="130">
        <v>0</v>
      </c>
      <c r="AH95" s="130">
        <v>0</v>
      </c>
      <c r="AI95" s="130">
        <v>0</v>
      </c>
    </row>
    <row r="96" spans="1:35">
      <c r="C96" s="10" t="s">
        <v>315</v>
      </c>
      <c r="D96" s="132">
        <v>0</v>
      </c>
      <c r="E96" s="132">
        <v>0</v>
      </c>
      <c r="F96" s="130">
        <v>0</v>
      </c>
      <c r="G96" s="130">
        <v>0</v>
      </c>
      <c r="H96" s="130">
        <v>0</v>
      </c>
      <c r="I96" s="130">
        <v>0</v>
      </c>
      <c r="J96" s="130">
        <v>0</v>
      </c>
      <c r="K96" s="130">
        <v>0</v>
      </c>
      <c r="L96" s="130">
        <v>0</v>
      </c>
      <c r="M96" s="130">
        <v>0</v>
      </c>
      <c r="N96" s="130">
        <v>0</v>
      </c>
      <c r="O96" s="130">
        <v>0</v>
      </c>
      <c r="P96" s="130">
        <v>0</v>
      </c>
      <c r="Q96" s="130">
        <v>0</v>
      </c>
      <c r="R96" s="130">
        <v>0</v>
      </c>
      <c r="S96" s="130">
        <v>0</v>
      </c>
      <c r="T96" s="130">
        <v>0</v>
      </c>
      <c r="U96" s="130">
        <v>0</v>
      </c>
      <c r="V96" s="130">
        <v>0</v>
      </c>
      <c r="W96" s="130">
        <v>0</v>
      </c>
      <c r="X96" s="130">
        <v>0</v>
      </c>
      <c r="Y96" s="130">
        <v>0</v>
      </c>
      <c r="Z96" s="130">
        <v>0</v>
      </c>
      <c r="AA96" s="130">
        <v>0</v>
      </c>
      <c r="AB96" s="130">
        <v>0</v>
      </c>
      <c r="AC96" s="130">
        <v>0</v>
      </c>
      <c r="AD96" s="130">
        <v>0</v>
      </c>
      <c r="AE96" s="130">
        <v>0</v>
      </c>
      <c r="AF96" s="130">
        <v>0</v>
      </c>
      <c r="AG96" s="130">
        <v>0</v>
      </c>
      <c r="AH96" s="130">
        <v>0</v>
      </c>
      <c r="AI96" s="130">
        <v>0</v>
      </c>
    </row>
    <row r="97" spans="1:35">
      <c r="C97" s="10" t="s">
        <v>316</v>
      </c>
      <c r="D97" s="132">
        <v>0</v>
      </c>
      <c r="E97" s="132">
        <v>0</v>
      </c>
      <c r="F97" s="130">
        <v>0</v>
      </c>
      <c r="G97" s="130">
        <v>0</v>
      </c>
      <c r="H97" s="130">
        <v>0</v>
      </c>
      <c r="I97" s="130">
        <v>0</v>
      </c>
      <c r="J97" s="130">
        <v>0</v>
      </c>
      <c r="K97" s="130">
        <v>0</v>
      </c>
      <c r="L97" s="130">
        <v>0</v>
      </c>
      <c r="M97" s="130">
        <v>0</v>
      </c>
      <c r="N97" s="130">
        <v>0</v>
      </c>
      <c r="O97" s="130">
        <v>0</v>
      </c>
      <c r="P97" s="130">
        <v>0</v>
      </c>
      <c r="Q97" s="130">
        <v>0</v>
      </c>
      <c r="R97" s="130">
        <v>0</v>
      </c>
      <c r="S97" s="130">
        <v>0</v>
      </c>
      <c r="T97" s="130">
        <v>0</v>
      </c>
      <c r="U97" s="130">
        <v>0</v>
      </c>
      <c r="V97" s="130">
        <v>0</v>
      </c>
      <c r="W97" s="130">
        <v>0</v>
      </c>
      <c r="X97" s="130">
        <v>0</v>
      </c>
      <c r="Y97" s="130">
        <v>0</v>
      </c>
      <c r="Z97" s="130">
        <v>0</v>
      </c>
      <c r="AA97" s="130">
        <v>0</v>
      </c>
      <c r="AB97" s="130">
        <v>0</v>
      </c>
      <c r="AC97" s="130">
        <v>0</v>
      </c>
      <c r="AD97" s="130">
        <v>0</v>
      </c>
      <c r="AE97" s="130">
        <v>0</v>
      </c>
      <c r="AF97" s="130">
        <v>0</v>
      </c>
      <c r="AG97" s="130">
        <v>0</v>
      </c>
      <c r="AH97" s="130">
        <v>0</v>
      </c>
      <c r="AI97" s="130">
        <v>0</v>
      </c>
    </row>
    <row r="98" spans="1:35">
      <c r="C98" s="10" t="s">
        <v>317</v>
      </c>
      <c r="D98" s="132">
        <v>0</v>
      </c>
      <c r="E98" s="132">
        <v>0</v>
      </c>
      <c r="F98" s="130">
        <v>0</v>
      </c>
      <c r="G98" s="130">
        <v>0</v>
      </c>
      <c r="H98" s="130">
        <v>0</v>
      </c>
      <c r="I98" s="130">
        <v>0</v>
      </c>
      <c r="J98" s="130">
        <v>0</v>
      </c>
      <c r="K98" s="130">
        <v>0</v>
      </c>
      <c r="L98" s="130">
        <v>0</v>
      </c>
      <c r="M98" s="130">
        <v>0</v>
      </c>
      <c r="N98" s="130">
        <v>0</v>
      </c>
      <c r="O98" s="130">
        <v>0</v>
      </c>
      <c r="P98" s="130">
        <v>0</v>
      </c>
      <c r="Q98" s="130">
        <v>0</v>
      </c>
      <c r="R98" s="130">
        <v>0</v>
      </c>
      <c r="S98" s="130">
        <v>0</v>
      </c>
      <c r="T98" s="130">
        <v>0</v>
      </c>
      <c r="U98" s="130">
        <v>0</v>
      </c>
      <c r="V98" s="130">
        <v>0</v>
      </c>
      <c r="W98" s="130">
        <v>0</v>
      </c>
      <c r="X98" s="130">
        <v>0</v>
      </c>
      <c r="Y98" s="130">
        <v>0</v>
      </c>
      <c r="Z98" s="130">
        <v>0</v>
      </c>
      <c r="AA98" s="130">
        <v>0</v>
      </c>
      <c r="AB98" s="130">
        <v>0</v>
      </c>
      <c r="AC98" s="130">
        <v>0</v>
      </c>
      <c r="AD98" s="130">
        <v>0</v>
      </c>
      <c r="AE98" s="130">
        <v>0</v>
      </c>
      <c r="AF98" s="130">
        <v>0</v>
      </c>
      <c r="AG98" s="130">
        <v>0</v>
      </c>
      <c r="AH98" s="130">
        <v>0</v>
      </c>
      <c r="AI98" s="130">
        <v>0</v>
      </c>
    </row>
    <row r="99" spans="1:35">
      <c r="C99" s="10" t="s">
        <v>318</v>
      </c>
      <c r="D99" s="132">
        <v>0</v>
      </c>
      <c r="E99" s="132">
        <v>0</v>
      </c>
      <c r="F99" s="130">
        <v>0</v>
      </c>
      <c r="G99" s="130">
        <v>0</v>
      </c>
      <c r="H99" s="130">
        <v>0</v>
      </c>
      <c r="I99" s="130">
        <v>0</v>
      </c>
      <c r="J99" s="130">
        <v>0</v>
      </c>
      <c r="K99" s="130">
        <v>0</v>
      </c>
      <c r="L99" s="130">
        <v>0</v>
      </c>
      <c r="M99" s="130">
        <v>0</v>
      </c>
      <c r="N99" s="130">
        <v>0</v>
      </c>
      <c r="O99" s="130">
        <v>0</v>
      </c>
      <c r="P99" s="130">
        <v>0</v>
      </c>
      <c r="Q99" s="130">
        <v>0</v>
      </c>
      <c r="R99" s="130">
        <v>0</v>
      </c>
      <c r="S99" s="130">
        <v>0</v>
      </c>
      <c r="T99" s="130">
        <v>0</v>
      </c>
      <c r="U99" s="130">
        <v>0</v>
      </c>
      <c r="V99" s="130">
        <v>0</v>
      </c>
      <c r="W99" s="130">
        <v>0</v>
      </c>
      <c r="X99" s="130">
        <v>0</v>
      </c>
      <c r="Y99" s="130">
        <v>0</v>
      </c>
      <c r="Z99" s="130">
        <v>0</v>
      </c>
      <c r="AA99" s="130">
        <v>0</v>
      </c>
      <c r="AB99" s="130">
        <v>0</v>
      </c>
      <c r="AC99" s="130">
        <v>0</v>
      </c>
      <c r="AD99" s="130">
        <v>0</v>
      </c>
      <c r="AE99" s="130">
        <v>0</v>
      </c>
      <c r="AF99" s="130">
        <v>0</v>
      </c>
      <c r="AG99" s="130">
        <v>0</v>
      </c>
      <c r="AH99" s="130">
        <v>0</v>
      </c>
      <c r="AI99" s="130">
        <v>0</v>
      </c>
    </row>
    <row r="102" spans="1:35" s="7" customFormat="1">
      <c r="A102" s="6"/>
      <c r="C102" s="6" t="s">
        <v>246</v>
      </c>
    </row>
    <row r="103" spans="1:35">
      <c r="C103" s="36"/>
    </row>
    <row r="104" spans="1:35">
      <c r="C104" s="14" t="s">
        <v>246</v>
      </c>
      <c r="D104" s="14">
        <v>2054</v>
      </c>
    </row>
    <row r="105" spans="1:35">
      <c r="C105" s="4" t="s">
        <v>332</v>
      </c>
      <c r="D105" s="134">
        <v>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36">
        <v>2025</v>
      </c>
      <c r="G112" s="136">
        <v>2026</v>
      </c>
      <c r="H112" s="136">
        <v>2027</v>
      </c>
      <c r="I112" s="136">
        <v>2028</v>
      </c>
      <c r="J112" s="136">
        <v>2029</v>
      </c>
      <c r="K112" s="136">
        <v>2030</v>
      </c>
      <c r="L112" s="136">
        <v>2031</v>
      </c>
      <c r="M112" s="136">
        <v>2032</v>
      </c>
      <c r="N112" s="136">
        <v>2033</v>
      </c>
      <c r="O112" s="136">
        <v>2034</v>
      </c>
      <c r="P112" s="136">
        <v>2035</v>
      </c>
      <c r="Q112" s="136">
        <v>2036</v>
      </c>
      <c r="R112" s="136">
        <v>2037</v>
      </c>
      <c r="S112" s="136">
        <v>2038</v>
      </c>
      <c r="T112" s="136">
        <v>2039</v>
      </c>
      <c r="U112" s="136">
        <v>2040</v>
      </c>
      <c r="V112" s="136">
        <v>2041</v>
      </c>
      <c r="W112" s="136">
        <v>2042</v>
      </c>
      <c r="X112" s="136">
        <v>2043</v>
      </c>
      <c r="Y112" s="136">
        <v>2044</v>
      </c>
      <c r="Z112" s="136">
        <v>2045</v>
      </c>
      <c r="AA112" s="136">
        <v>2046</v>
      </c>
      <c r="AB112" s="136">
        <v>2047</v>
      </c>
      <c r="AC112" s="136">
        <v>2048</v>
      </c>
      <c r="AD112" s="136">
        <v>2049</v>
      </c>
      <c r="AE112" s="136">
        <v>2050</v>
      </c>
      <c r="AF112" s="136">
        <v>2051</v>
      </c>
      <c r="AG112" s="136">
        <v>2052</v>
      </c>
      <c r="AH112" s="136">
        <v>2053</v>
      </c>
      <c r="AI112" s="136">
        <v>2054</v>
      </c>
    </row>
    <row r="113" spans="3:35">
      <c r="C113" s="10" t="s">
        <v>336</v>
      </c>
      <c r="D113" s="132">
        <v>6350000</v>
      </c>
      <c r="E113" s="132">
        <v>6350000</v>
      </c>
      <c r="F113" s="132">
        <v>6350000</v>
      </c>
      <c r="G113" s="132">
        <v>0</v>
      </c>
      <c r="H113" s="132">
        <v>0</v>
      </c>
      <c r="I113" s="132">
        <v>0</v>
      </c>
      <c r="J113" s="132">
        <v>0</v>
      </c>
      <c r="K113" s="132">
        <v>0</v>
      </c>
      <c r="L113" s="132">
        <v>0</v>
      </c>
      <c r="M113" s="132">
        <v>0</v>
      </c>
      <c r="N113" s="132">
        <v>0</v>
      </c>
      <c r="O113" s="132">
        <v>0</v>
      </c>
      <c r="P113" s="132">
        <v>0</v>
      </c>
      <c r="Q113" s="132">
        <v>0</v>
      </c>
      <c r="R113" s="132">
        <v>0</v>
      </c>
      <c r="S113" s="132">
        <v>0</v>
      </c>
      <c r="T113" s="132">
        <v>0</v>
      </c>
      <c r="U113" s="132">
        <v>0</v>
      </c>
      <c r="V113" s="132">
        <v>0</v>
      </c>
      <c r="W113" s="132">
        <v>0</v>
      </c>
      <c r="X113" s="132">
        <v>0</v>
      </c>
      <c r="Y113" s="132">
        <v>0</v>
      </c>
      <c r="Z113" s="132">
        <v>0</v>
      </c>
      <c r="AA113" s="132">
        <v>0</v>
      </c>
      <c r="AB113" s="132">
        <v>0</v>
      </c>
      <c r="AC113" s="132">
        <v>0</v>
      </c>
      <c r="AD113" s="132">
        <v>0</v>
      </c>
      <c r="AE113" s="132">
        <v>0</v>
      </c>
      <c r="AF113" s="132">
        <v>0</v>
      </c>
      <c r="AG113" s="132">
        <v>0</v>
      </c>
      <c r="AH113" s="132">
        <v>0</v>
      </c>
      <c r="AI113" s="132">
        <v>0</v>
      </c>
    </row>
    <row r="114" spans="3:35">
      <c r="C114" s="10" t="s">
        <v>301</v>
      </c>
      <c r="D114" s="132">
        <v>68265.506839453461</v>
      </c>
      <c r="E114" s="132">
        <v>28313.30988939483</v>
      </c>
      <c r="F114" s="132">
        <v>0</v>
      </c>
      <c r="G114" s="132">
        <v>2353.9829944639114</v>
      </c>
      <c r="H114" s="132">
        <v>2353.9829944639114</v>
      </c>
      <c r="I114" s="132">
        <v>2353.9829944639114</v>
      </c>
      <c r="J114" s="132">
        <v>2353.9829944639114</v>
      </c>
      <c r="K114" s="132">
        <v>2353.9829944639114</v>
      </c>
      <c r="L114" s="132">
        <v>2353.9829944639114</v>
      </c>
      <c r="M114" s="132">
        <v>2353.9829944639114</v>
      </c>
      <c r="N114" s="132">
        <v>2353.9829944639114</v>
      </c>
      <c r="O114" s="132">
        <v>2353.9829944639114</v>
      </c>
      <c r="P114" s="132">
        <v>2353.9829944639114</v>
      </c>
      <c r="Q114" s="132">
        <v>2353.9829944639114</v>
      </c>
      <c r="R114" s="132">
        <v>2353.9829944639114</v>
      </c>
      <c r="S114" s="132">
        <v>2353.9829944639114</v>
      </c>
      <c r="T114" s="132">
        <v>2353.9829944639114</v>
      </c>
      <c r="U114" s="132">
        <v>2353.9829944639114</v>
      </c>
      <c r="V114" s="132">
        <v>2353.9829944639114</v>
      </c>
      <c r="W114" s="132">
        <v>2353.9829944639114</v>
      </c>
      <c r="X114" s="132">
        <v>2353.9829944639114</v>
      </c>
      <c r="Y114" s="132">
        <v>2353.9829944639114</v>
      </c>
      <c r="Z114" s="132">
        <v>2353.9829944639114</v>
      </c>
      <c r="AA114" s="132">
        <v>2353.9829944639114</v>
      </c>
      <c r="AB114" s="132">
        <v>2353.9829944639114</v>
      </c>
      <c r="AC114" s="132">
        <v>2353.9829944639114</v>
      </c>
      <c r="AD114" s="132">
        <v>2353.9829944639114</v>
      </c>
      <c r="AE114" s="132">
        <v>2353.9829944639114</v>
      </c>
      <c r="AF114" s="132">
        <v>2353.9829944639114</v>
      </c>
      <c r="AG114" s="132">
        <v>2353.9829944639114</v>
      </c>
      <c r="AH114" s="132">
        <v>2353.9829944639114</v>
      </c>
      <c r="AI114" s="132">
        <v>2353.9829944639114</v>
      </c>
    </row>
    <row r="115" spans="3:35" ht="14.4">
      <c r="C115" s="23" t="s">
        <v>337</v>
      </c>
      <c r="D115" s="132">
        <v>68265.506839453461</v>
      </c>
      <c r="E115" s="144">
        <v>28313.30988939483</v>
      </c>
      <c r="F115" s="144">
        <v>0</v>
      </c>
      <c r="G115" s="144">
        <v>2353.9829944639114</v>
      </c>
      <c r="H115" s="144">
        <v>2353.9829944639114</v>
      </c>
      <c r="I115" s="144">
        <v>2353.9829944639114</v>
      </c>
      <c r="J115" s="144">
        <v>2353.9829944639114</v>
      </c>
      <c r="K115" s="144">
        <v>2353.9829944639114</v>
      </c>
      <c r="L115" s="144">
        <v>2353.9829944639114</v>
      </c>
      <c r="M115" s="144">
        <v>2353.9829944639114</v>
      </c>
      <c r="N115" s="144">
        <v>2353.9829944639114</v>
      </c>
      <c r="O115" s="144">
        <v>2353.9829944639114</v>
      </c>
      <c r="P115" s="144">
        <v>2353.9829944639114</v>
      </c>
      <c r="Q115" s="144">
        <v>2353.9829944639114</v>
      </c>
      <c r="R115" s="144">
        <v>2353.9829944639114</v>
      </c>
      <c r="S115" s="144">
        <v>2353.9829944639114</v>
      </c>
      <c r="T115" s="144">
        <v>2353.9829944639114</v>
      </c>
      <c r="U115" s="144">
        <v>2353.9829944639114</v>
      </c>
      <c r="V115" s="144">
        <v>2353.9829944639114</v>
      </c>
      <c r="W115" s="144">
        <v>2353.9829944639114</v>
      </c>
      <c r="X115" s="144">
        <v>2353.9829944639114</v>
      </c>
      <c r="Y115" s="144">
        <v>2353.9829944639114</v>
      </c>
      <c r="Z115" s="144">
        <v>2353.9829944639114</v>
      </c>
      <c r="AA115" s="144">
        <v>2353.9829944639114</v>
      </c>
      <c r="AB115" s="144">
        <v>2353.9829944639114</v>
      </c>
      <c r="AC115" s="144">
        <v>2353.9829944639114</v>
      </c>
      <c r="AD115" s="144">
        <v>2353.9829944639114</v>
      </c>
      <c r="AE115" s="144">
        <v>2353.9829944639114</v>
      </c>
      <c r="AF115" s="144">
        <v>2353.9829944639114</v>
      </c>
      <c r="AG115" s="144">
        <v>2353.9829944639114</v>
      </c>
      <c r="AH115" s="144">
        <v>2353.9829944639114</v>
      </c>
      <c r="AI115" s="144">
        <v>2353.9829944639114</v>
      </c>
    </row>
    <row r="116" spans="3:35" ht="14.4">
      <c r="C116" s="23" t="s">
        <v>521</v>
      </c>
      <c r="D116" s="132">
        <v>0</v>
      </c>
      <c r="E116" s="144">
        <v>0</v>
      </c>
      <c r="F116" s="144">
        <v>0</v>
      </c>
      <c r="G116" s="144">
        <v>0</v>
      </c>
      <c r="H116" s="144">
        <v>0</v>
      </c>
      <c r="I116" s="144">
        <v>0</v>
      </c>
      <c r="J116" s="144">
        <v>0</v>
      </c>
      <c r="K116" s="144">
        <v>0</v>
      </c>
      <c r="L116" s="144">
        <v>0</v>
      </c>
      <c r="M116" s="144">
        <v>0</v>
      </c>
      <c r="N116" s="144">
        <v>0</v>
      </c>
      <c r="O116" s="144">
        <v>0</v>
      </c>
      <c r="P116" s="144">
        <v>0</v>
      </c>
      <c r="Q116" s="144">
        <v>0</v>
      </c>
      <c r="R116" s="144">
        <v>0</v>
      </c>
      <c r="S116" s="144">
        <v>0</v>
      </c>
      <c r="T116" s="144">
        <v>0</v>
      </c>
      <c r="U116" s="144">
        <v>0</v>
      </c>
      <c r="V116" s="144">
        <v>0</v>
      </c>
      <c r="W116" s="144">
        <v>0</v>
      </c>
      <c r="X116" s="144">
        <v>0</v>
      </c>
      <c r="Y116" s="144">
        <v>0</v>
      </c>
      <c r="Z116" s="144">
        <v>0</v>
      </c>
      <c r="AA116" s="144">
        <v>0</v>
      </c>
      <c r="AB116" s="144">
        <v>0</v>
      </c>
      <c r="AC116" s="144">
        <v>0</v>
      </c>
      <c r="AD116" s="144">
        <v>0</v>
      </c>
      <c r="AE116" s="144">
        <v>0</v>
      </c>
      <c r="AF116" s="144">
        <v>0</v>
      </c>
      <c r="AG116" s="144">
        <v>0</v>
      </c>
      <c r="AH116" s="144">
        <v>0</v>
      </c>
      <c r="AI116" s="144">
        <v>0</v>
      </c>
    </row>
    <row r="117" spans="3:35">
      <c r="C117" s="10" t="s">
        <v>246</v>
      </c>
      <c r="D117" s="132">
        <v>0</v>
      </c>
      <c r="E117" s="132">
        <v>0</v>
      </c>
      <c r="F117" s="132">
        <v>0</v>
      </c>
      <c r="G117" s="132">
        <v>0</v>
      </c>
      <c r="H117" s="132">
        <v>0</v>
      </c>
      <c r="I117" s="132">
        <v>0</v>
      </c>
      <c r="J117" s="132">
        <v>0</v>
      </c>
      <c r="K117" s="132">
        <v>0</v>
      </c>
      <c r="L117" s="132">
        <v>0</v>
      </c>
      <c r="M117" s="132">
        <v>0</v>
      </c>
      <c r="N117" s="132">
        <v>0</v>
      </c>
      <c r="O117" s="132">
        <v>0</v>
      </c>
      <c r="P117" s="132">
        <v>0</v>
      </c>
      <c r="Q117" s="132">
        <v>0</v>
      </c>
      <c r="R117" s="132">
        <v>0</v>
      </c>
      <c r="S117" s="132">
        <v>0</v>
      </c>
      <c r="T117" s="132">
        <v>0</v>
      </c>
      <c r="U117" s="132">
        <v>0</v>
      </c>
      <c r="V117" s="132">
        <v>0</v>
      </c>
      <c r="W117" s="132">
        <v>0</v>
      </c>
      <c r="X117" s="132">
        <v>0</v>
      </c>
      <c r="Y117" s="132">
        <v>0</v>
      </c>
      <c r="Z117" s="132">
        <v>0</v>
      </c>
      <c r="AA117" s="132">
        <v>0</v>
      </c>
      <c r="AB117" s="132">
        <v>0</v>
      </c>
      <c r="AC117" s="132">
        <v>0</v>
      </c>
      <c r="AD117" s="132">
        <v>0</v>
      </c>
      <c r="AE117" s="132">
        <v>0</v>
      </c>
      <c r="AF117" s="132">
        <v>0</v>
      </c>
      <c r="AG117" s="132">
        <v>0</v>
      </c>
      <c r="AH117" s="132">
        <v>0</v>
      </c>
      <c r="AI117" s="132">
        <v>0</v>
      </c>
    </row>
    <row r="118" spans="3:35">
      <c r="C118" s="20" t="s">
        <v>288</v>
      </c>
      <c r="D118" s="133">
        <v>6418265.5068394626</v>
      </c>
      <c r="E118" s="133">
        <v>6378313.3098893948</v>
      </c>
      <c r="F118" s="133">
        <v>6350000</v>
      </c>
      <c r="G118" s="133">
        <v>2353.9829944639114</v>
      </c>
      <c r="H118" s="133">
        <v>2353.9829944639114</v>
      </c>
      <c r="I118" s="133">
        <v>2353.9829944639114</v>
      </c>
      <c r="J118" s="133">
        <v>2353.9829944639114</v>
      </c>
      <c r="K118" s="133">
        <v>2353.9829944639114</v>
      </c>
      <c r="L118" s="133">
        <v>2353.9829944639114</v>
      </c>
      <c r="M118" s="133">
        <v>2353.9829944639114</v>
      </c>
      <c r="N118" s="133">
        <v>2353.9829944639114</v>
      </c>
      <c r="O118" s="133">
        <v>2353.9829944639114</v>
      </c>
      <c r="P118" s="133">
        <v>2353.9829944639114</v>
      </c>
      <c r="Q118" s="133">
        <v>2353.9829944639114</v>
      </c>
      <c r="R118" s="133">
        <v>2353.9829944639114</v>
      </c>
      <c r="S118" s="133">
        <v>2353.9829944639114</v>
      </c>
      <c r="T118" s="133">
        <v>2353.9829944639114</v>
      </c>
      <c r="U118" s="133">
        <v>2353.9829944639114</v>
      </c>
      <c r="V118" s="133">
        <v>2353.9829944639114</v>
      </c>
      <c r="W118" s="133">
        <v>2353.9829944639114</v>
      </c>
      <c r="X118" s="133">
        <v>2353.9829944639114</v>
      </c>
      <c r="Y118" s="133">
        <v>2353.9829944639114</v>
      </c>
      <c r="Z118" s="133">
        <v>2353.9829944639114</v>
      </c>
      <c r="AA118" s="133">
        <v>2353.9829944639114</v>
      </c>
      <c r="AB118" s="133">
        <v>2353.9829944639114</v>
      </c>
      <c r="AC118" s="133">
        <v>2353.9829944639114</v>
      </c>
      <c r="AD118" s="133">
        <v>2353.9829944639114</v>
      </c>
      <c r="AE118" s="133">
        <v>2353.9829944639114</v>
      </c>
      <c r="AF118" s="133">
        <v>2353.9829944639114</v>
      </c>
      <c r="AG118" s="133">
        <v>2353.9829944639114</v>
      </c>
      <c r="AH118" s="133">
        <v>2353.9829944639114</v>
      </c>
      <c r="AI118" s="133">
        <v>2353.9829944639114</v>
      </c>
    </row>
    <row r="121" spans="3:35">
      <c r="C121" s="39" t="s">
        <v>522</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3" spans="3:35">
      <c r="C123" s="14" t="s">
        <v>344</v>
      </c>
      <c r="D123" s="14" t="s">
        <v>325</v>
      </c>
      <c r="E123" s="14" t="s">
        <v>465</v>
      </c>
      <c r="F123" s="136">
        <v>2025</v>
      </c>
      <c r="G123" s="136">
        <v>2026</v>
      </c>
      <c r="H123" s="136">
        <v>2027</v>
      </c>
      <c r="I123" s="136">
        <v>2028</v>
      </c>
      <c r="J123" s="136">
        <v>2029</v>
      </c>
      <c r="K123" s="136">
        <v>2030</v>
      </c>
      <c r="L123" s="136">
        <v>2031</v>
      </c>
      <c r="M123" s="136">
        <v>2032</v>
      </c>
      <c r="N123" s="136">
        <v>2033</v>
      </c>
      <c r="O123" s="136">
        <v>2034</v>
      </c>
      <c r="P123" s="136">
        <v>2035</v>
      </c>
      <c r="Q123" s="136">
        <v>2036</v>
      </c>
      <c r="R123" s="136">
        <v>2037</v>
      </c>
      <c r="S123" s="136">
        <v>2038</v>
      </c>
      <c r="T123" s="136">
        <v>2039</v>
      </c>
      <c r="U123" s="136">
        <v>2040</v>
      </c>
      <c r="V123" s="136">
        <v>2041</v>
      </c>
      <c r="W123" s="136">
        <v>2042</v>
      </c>
      <c r="X123" s="136">
        <v>2043</v>
      </c>
      <c r="Y123" s="136">
        <v>2044</v>
      </c>
      <c r="Z123" s="136">
        <v>2045</v>
      </c>
      <c r="AA123" s="136">
        <v>2046</v>
      </c>
      <c r="AB123" s="136">
        <v>2047</v>
      </c>
      <c r="AC123" s="136">
        <v>2048</v>
      </c>
      <c r="AD123" s="136">
        <v>2049</v>
      </c>
      <c r="AE123" s="136">
        <v>2050</v>
      </c>
      <c r="AF123" s="136">
        <v>2051</v>
      </c>
      <c r="AG123" s="136">
        <v>2052</v>
      </c>
      <c r="AH123" s="136">
        <v>2053</v>
      </c>
      <c r="AI123" s="136">
        <v>2054</v>
      </c>
    </row>
    <row r="124" spans="3:35">
      <c r="C124" s="26" t="s">
        <v>345</v>
      </c>
      <c r="D124" s="132">
        <v>6350000</v>
      </c>
      <c r="E124" s="132">
        <v>6350000</v>
      </c>
      <c r="F124" s="135">
        <v>6350000</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0</v>
      </c>
      <c r="V124" s="135">
        <v>0</v>
      </c>
      <c r="W124" s="135">
        <v>0</v>
      </c>
      <c r="X124" s="135">
        <v>0</v>
      </c>
      <c r="Y124" s="135">
        <v>0</v>
      </c>
      <c r="Z124" s="135">
        <v>0</v>
      </c>
      <c r="AA124" s="135">
        <v>0</v>
      </c>
      <c r="AB124" s="135">
        <v>0</v>
      </c>
      <c r="AC124" s="135">
        <v>0</v>
      </c>
      <c r="AD124" s="135">
        <v>0</v>
      </c>
      <c r="AE124" s="135">
        <v>0</v>
      </c>
      <c r="AF124" s="135">
        <v>0</v>
      </c>
      <c r="AG124" s="135">
        <v>0</v>
      </c>
      <c r="AH124" s="135">
        <v>0</v>
      </c>
      <c r="AI124" s="135">
        <v>0</v>
      </c>
    </row>
    <row r="125" spans="3:35">
      <c r="C125" s="26" t="s">
        <v>346</v>
      </c>
      <c r="D125" s="132">
        <v>68265.506839453461</v>
      </c>
      <c r="E125" s="132">
        <v>28313.30988939483</v>
      </c>
      <c r="F125" s="135">
        <v>0</v>
      </c>
      <c r="G125" s="135">
        <v>2353.9829944639114</v>
      </c>
      <c r="H125" s="135">
        <v>2353.9829944639114</v>
      </c>
      <c r="I125" s="135">
        <v>2353.9829944639114</v>
      </c>
      <c r="J125" s="135">
        <v>2353.9829944639114</v>
      </c>
      <c r="K125" s="135">
        <v>2353.9829944639114</v>
      </c>
      <c r="L125" s="135">
        <v>2353.9829944639114</v>
      </c>
      <c r="M125" s="135">
        <v>2353.9829944639114</v>
      </c>
      <c r="N125" s="135">
        <v>2353.9829944639114</v>
      </c>
      <c r="O125" s="135">
        <v>2353.9829944639114</v>
      </c>
      <c r="P125" s="135">
        <v>2353.9829944639114</v>
      </c>
      <c r="Q125" s="135">
        <v>2353.9829944639114</v>
      </c>
      <c r="R125" s="135">
        <v>2353.9829944639114</v>
      </c>
      <c r="S125" s="135">
        <v>2353.9829944639114</v>
      </c>
      <c r="T125" s="135">
        <v>2353.9829944639114</v>
      </c>
      <c r="U125" s="135">
        <v>2353.9829944639114</v>
      </c>
      <c r="V125" s="135">
        <v>2353.9829944639114</v>
      </c>
      <c r="W125" s="135">
        <v>2353.9829944639114</v>
      </c>
      <c r="X125" s="135">
        <v>2353.9829944639114</v>
      </c>
      <c r="Y125" s="135">
        <v>2353.9829944639114</v>
      </c>
      <c r="Z125" s="135">
        <v>2353.9829944639114</v>
      </c>
      <c r="AA125" s="135">
        <v>2353.9829944639114</v>
      </c>
      <c r="AB125" s="135">
        <v>2353.9829944639114</v>
      </c>
      <c r="AC125" s="135">
        <v>2353.9829944639114</v>
      </c>
      <c r="AD125" s="135">
        <v>2353.9829944639114</v>
      </c>
      <c r="AE125" s="135">
        <v>2353.9829944639114</v>
      </c>
      <c r="AF125" s="135">
        <v>2353.9829944639114</v>
      </c>
      <c r="AG125" s="135">
        <v>2353.9829944639114</v>
      </c>
      <c r="AH125" s="135">
        <v>2353.9829944639114</v>
      </c>
      <c r="AI125" s="135">
        <v>2353.9829944639114</v>
      </c>
    </row>
    <row r="126" spans="3:35">
      <c r="C126" s="26" t="s">
        <v>349</v>
      </c>
      <c r="D126" s="132">
        <v>6418265.5068394626</v>
      </c>
      <c r="E126" s="132">
        <v>6378313.3098893948</v>
      </c>
      <c r="F126" s="135">
        <v>6350000</v>
      </c>
      <c r="G126" s="135">
        <v>2353.9829944639114</v>
      </c>
      <c r="H126" s="135">
        <v>2353.9829944639114</v>
      </c>
      <c r="I126" s="135">
        <v>2353.9829944639114</v>
      </c>
      <c r="J126" s="135">
        <v>2353.9829944639114</v>
      </c>
      <c r="K126" s="135">
        <v>2353.9829944639114</v>
      </c>
      <c r="L126" s="135">
        <v>2353.9829944639114</v>
      </c>
      <c r="M126" s="135">
        <v>2353.9829944639114</v>
      </c>
      <c r="N126" s="135">
        <v>2353.9829944639114</v>
      </c>
      <c r="O126" s="135">
        <v>2353.9829944639114</v>
      </c>
      <c r="P126" s="135">
        <v>2353.9829944639114</v>
      </c>
      <c r="Q126" s="135">
        <v>2353.9829944639114</v>
      </c>
      <c r="R126" s="135">
        <v>2353.9829944639114</v>
      </c>
      <c r="S126" s="135">
        <v>2353.9829944639114</v>
      </c>
      <c r="T126" s="135">
        <v>2353.9829944639114</v>
      </c>
      <c r="U126" s="135">
        <v>2353.9829944639114</v>
      </c>
      <c r="V126" s="135">
        <v>2353.9829944639114</v>
      </c>
      <c r="W126" s="135">
        <v>2353.9829944639114</v>
      </c>
      <c r="X126" s="135">
        <v>2353.9829944639114</v>
      </c>
      <c r="Y126" s="135">
        <v>2353.9829944639114</v>
      </c>
      <c r="Z126" s="135">
        <v>2353.9829944639114</v>
      </c>
      <c r="AA126" s="135">
        <v>2353.9829944639114</v>
      </c>
      <c r="AB126" s="135">
        <v>2353.9829944639114</v>
      </c>
      <c r="AC126" s="135">
        <v>2353.9829944639114</v>
      </c>
      <c r="AD126" s="135">
        <v>2353.9829944639114</v>
      </c>
      <c r="AE126" s="135">
        <v>2353.9829944639114</v>
      </c>
      <c r="AF126" s="135">
        <v>2353.9829944639114</v>
      </c>
      <c r="AG126" s="135">
        <v>2353.9829944639114</v>
      </c>
      <c r="AH126" s="135">
        <v>2353.9829944639114</v>
      </c>
      <c r="AI126" s="135">
        <v>2353.9829944639114</v>
      </c>
    </row>
    <row r="127" spans="3:35">
      <c r="C127" s="26" t="s">
        <v>350</v>
      </c>
      <c r="D127" s="132">
        <v>455062.40917146427</v>
      </c>
      <c r="E127" s="132">
        <v>188738.40694082249</v>
      </c>
      <c r="F127" s="135">
        <v>0</v>
      </c>
      <c r="G127" s="135">
        <v>15691.807212809119</v>
      </c>
      <c r="H127" s="135">
        <v>15691.807212809119</v>
      </c>
      <c r="I127" s="135">
        <v>15691.807212809119</v>
      </c>
      <c r="J127" s="135">
        <v>15691.807212809119</v>
      </c>
      <c r="K127" s="135">
        <v>15691.807212809119</v>
      </c>
      <c r="L127" s="135">
        <v>15691.807212809119</v>
      </c>
      <c r="M127" s="135">
        <v>15691.807212809119</v>
      </c>
      <c r="N127" s="135">
        <v>15691.807212809119</v>
      </c>
      <c r="O127" s="135">
        <v>15691.807212809119</v>
      </c>
      <c r="P127" s="135">
        <v>15691.807212809119</v>
      </c>
      <c r="Q127" s="135">
        <v>15691.807212809119</v>
      </c>
      <c r="R127" s="135">
        <v>15691.807212809119</v>
      </c>
      <c r="S127" s="135">
        <v>15691.807212809119</v>
      </c>
      <c r="T127" s="135">
        <v>15691.807212809119</v>
      </c>
      <c r="U127" s="135">
        <v>15691.807212809119</v>
      </c>
      <c r="V127" s="135">
        <v>15691.807212809119</v>
      </c>
      <c r="W127" s="135">
        <v>15691.807212809119</v>
      </c>
      <c r="X127" s="135">
        <v>15691.807212809119</v>
      </c>
      <c r="Y127" s="135">
        <v>15691.807212809119</v>
      </c>
      <c r="Z127" s="135">
        <v>15691.807212809119</v>
      </c>
      <c r="AA127" s="135">
        <v>15691.807212809119</v>
      </c>
      <c r="AB127" s="135">
        <v>15691.807212809119</v>
      </c>
      <c r="AC127" s="135">
        <v>15691.807212809119</v>
      </c>
      <c r="AD127" s="135">
        <v>15691.807212809119</v>
      </c>
      <c r="AE127" s="135">
        <v>15691.807212809119</v>
      </c>
      <c r="AF127" s="135">
        <v>15691.807212809119</v>
      </c>
      <c r="AG127" s="135">
        <v>15691.807212809119</v>
      </c>
      <c r="AH127" s="135">
        <v>15691.807212809119</v>
      </c>
      <c r="AI127" s="135">
        <v>15691.807212809119</v>
      </c>
    </row>
    <row r="128" spans="3:35">
      <c r="C128" s="26" t="s">
        <v>351</v>
      </c>
      <c r="D128" s="132">
        <v>455062.40917146427</v>
      </c>
      <c r="E128" s="132">
        <v>188738.40694082249</v>
      </c>
      <c r="F128" s="135">
        <v>0</v>
      </c>
      <c r="G128" s="135">
        <v>15691.807212809119</v>
      </c>
      <c r="H128" s="135">
        <v>15691.807212809119</v>
      </c>
      <c r="I128" s="135">
        <v>15691.807212809119</v>
      </c>
      <c r="J128" s="135">
        <v>15691.807212809119</v>
      </c>
      <c r="K128" s="135">
        <v>15691.807212809119</v>
      </c>
      <c r="L128" s="135">
        <v>15691.807212809119</v>
      </c>
      <c r="M128" s="135">
        <v>15691.807212809119</v>
      </c>
      <c r="N128" s="135">
        <v>15691.807212809119</v>
      </c>
      <c r="O128" s="135">
        <v>15691.807212809119</v>
      </c>
      <c r="P128" s="135">
        <v>15691.807212809119</v>
      </c>
      <c r="Q128" s="135">
        <v>15691.807212809119</v>
      </c>
      <c r="R128" s="135">
        <v>15691.807212809119</v>
      </c>
      <c r="S128" s="135">
        <v>15691.807212809119</v>
      </c>
      <c r="T128" s="135">
        <v>15691.807212809119</v>
      </c>
      <c r="U128" s="135">
        <v>15691.807212809119</v>
      </c>
      <c r="V128" s="135">
        <v>15691.807212809119</v>
      </c>
      <c r="W128" s="135">
        <v>15691.807212809119</v>
      </c>
      <c r="X128" s="135">
        <v>15691.807212809119</v>
      </c>
      <c r="Y128" s="135">
        <v>15691.807212809119</v>
      </c>
      <c r="Z128" s="135">
        <v>15691.807212809119</v>
      </c>
      <c r="AA128" s="135">
        <v>15691.807212809119</v>
      </c>
      <c r="AB128" s="135">
        <v>15691.807212809119</v>
      </c>
      <c r="AC128" s="135">
        <v>15691.807212809119</v>
      </c>
      <c r="AD128" s="135">
        <v>15691.807212809119</v>
      </c>
      <c r="AE128" s="135">
        <v>15691.807212809119</v>
      </c>
      <c r="AF128" s="135">
        <v>15691.807212809119</v>
      </c>
      <c r="AG128" s="135">
        <v>15691.807212809119</v>
      </c>
      <c r="AH128" s="135">
        <v>15691.807212809119</v>
      </c>
      <c r="AI128" s="135">
        <v>15691.807212809119</v>
      </c>
    </row>
    <row r="129" spans="3:35">
      <c r="C129" s="26" t="s">
        <v>352</v>
      </c>
      <c r="D129" s="132">
        <v>0</v>
      </c>
      <c r="E129" s="132">
        <v>0</v>
      </c>
      <c r="F129" s="135">
        <v>0</v>
      </c>
      <c r="G129" s="135">
        <v>0</v>
      </c>
      <c r="H129" s="135">
        <v>0</v>
      </c>
      <c r="I129" s="135">
        <v>0</v>
      </c>
      <c r="J129" s="135">
        <v>0</v>
      </c>
      <c r="K129" s="135">
        <v>0</v>
      </c>
      <c r="L129" s="135">
        <v>0</v>
      </c>
      <c r="M129" s="135">
        <v>0</v>
      </c>
      <c r="N129" s="135">
        <v>0</v>
      </c>
      <c r="O129" s="135">
        <v>0</v>
      </c>
      <c r="P129" s="135">
        <v>0</v>
      </c>
      <c r="Q129" s="135">
        <v>0</v>
      </c>
      <c r="R129" s="135">
        <v>0</v>
      </c>
      <c r="S129" s="135">
        <v>0</v>
      </c>
      <c r="T129" s="135">
        <v>0</v>
      </c>
      <c r="U129" s="135">
        <v>0</v>
      </c>
      <c r="V129" s="135">
        <v>0</v>
      </c>
      <c r="W129" s="135">
        <v>0</v>
      </c>
      <c r="X129" s="135">
        <v>0</v>
      </c>
      <c r="Y129" s="135">
        <v>0</v>
      </c>
      <c r="Z129" s="135">
        <v>0</v>
      </c>
      <c r="AA129" s="135">
        <v>0</v>
      </c>
      <c r="AB129" s="135">
        <v>0</v>
      </c>
      <c r="AC129" s="135">
        <v>0</v>
      </c>
      <c r="AD129" s="135">
        <v>0</v>
      </c>
      <c r="AE129" s="135">
        <v>0</v>
      </c>
      <c r="AF129" s="135">
        <v>0</v>
      </c>
      <c r="AG129" s="135">
        <v>0</v>
      </c>
      <c r="AH129" s="135">
        <v>0</v>
      </c>
      <c r="AI129" s="135">
        <v>0</v>
      </c>
    </row>
    <row r="130" spans="3:35">
      <c r="C130" s="27" t="s">
        <v>353</v>
      </c>
      <c r="D130" s="133">
        <v>-5963203.0976679986</v>
      </c>
      <c r="E130" s="133">
        <v>-6189574.9029485723</v>
      </c>
      <c r="F130" s="135">
        <v>-6350000</v>
      </c>
      <c r="G130" s="135">
        <v>13337.824218345208</v>
      </c>
      <c r="H130" s="135">
        <v>13337.824218345208</v>
      </c>
      <c r="I130" s="135">
        <v>13337.824218345208</v>
      </c>
      <c r="J130" s="135">
        <v>13337.824218345208</v>
      </c>
      <c r="K130" s="135">
        <v>13337.824218345208</v>
      </c>
      <c r="L130" s="135">
        <v>13337.824218345208</v>
      </c>
      <c r="M130" s="135">
        <v>13337.824218345208</v>
      </c>
      <c r="N130" s="135">
        <v>13337.824218345208</v>
      </c>
      <c r="O130" s="135">
        <v>13337.824218345208</v>
      </c>
      <c r="P130" s="135">
        <v>13337.824218345208</v>
      </c>
      <c r="Q130" s="135">
        <v>13337.824218345208</v>
      </c>
      <c r="R130" s="135">
        <v>13337.824218345208</v>
      </c>
      <c r="S130" s="135">
        <v>13337.824218345208</v>
      </c>
      <c r="T130" s="135">
        <v>13337.824218345208</v>
      </c>
      <c r="U130" s="135">
        <v>13337.824218345208</v>
      </c>
      <c r="V130" s="135">
        <v>13337.824218345208</v>
      </c>
      <c r="W130" s="135">
        <v>13337.824218345208</v>
      </c>
      <c r="X130" s="135">
        <v>13337.824218345208</v>
      </c>
      <c r="Y130" s="135">
        <v>13337.824218345208</v>
      </c>
      <c r="Z130" s="135">
        <v>13337.824218345208</v>
      </c>
      <c r="AA130" s="135">
        <v>13337.824218345208</v>
      </c>
      <c r="AB130" s="135">
        <v>13337.824218345208</v>
      </c>
      <c r="AC130" s="135">
        <v>13337.824218345208</v>
      </c>
      <c r="AD130" s="135">
        <v>13337.824218345208</v>
      </c>
      <c r="AE130" s="135">
        <v>13337.824218345208</v>
      </c>
      <c r="AF130" s="135">
        <v>13337.824218345208</v>
      </c>
      <c r="AG130" s="135">
        <v>13337.824218345208</v>
      </c>
      <c r="AH130" s="135">
        <v>13337.824218345208</v>
      </c>
      <c r="AI130" s="135">
        <v>13337.824218345208</v>
      </c>
    </row>
    <row r="131" spans="3:35">
      <c r="C131" s="26" t="s">
        <v>354</v>
      </c>
      <c r="D131" s="142">
        <v>-6189574.9029485723</v>
      </c>
      <c r="E131" s="143"/>
    </row>
    <row r="132" spans="3:35">
      <c r="C132" s="26" t="s">
        <v>355</v>
      </c>
      <c r="D132" s="29">
        <v>-0.1339618686889279</v>
      </c>
      <c r="E132" s="143"/>
    </row>
    <row r="135" spans="3:35">
      <c r="C135" s="39" t="s">
        <v>523</v>
      </c>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row>
    <row r="137" spans="3:35">
      <c r="C137" s="14" t="s">
        <v>335</v>
      </c>
      <c r="D137" s="14" t="s">
        <v>524</v>
      </c>
      <c r="E137" s="14" t="s">
        <v>514</v>
      </c>
      <c r="F137" s="14" t="s">
        <v>525</v>
      </c>
    </row>
    <row r="138" spans="3:35">
      <c r="C138" s="30" t="s">
        <v>530</v>
      </c>
      <c r="D138" s="140"/>
      <c r="E138" s="132">
        <v>6350000</v>
      </c>
      <c r="F138" s="11">
        <v>15875</v>
      </c>
    </row>
    <row r="139" spans="3:35">
      <c r="C139" s="30" t="s">
        <v>541</v>
      </c>
      <c r="D139" s="140"/>
      <c r="E139" s="132">
        <v>0</v>
      </c>
      <c r="F139" s="11">
        <v>0</v>
      </c>
    </row>
    <row r="140" spans="3:35">
      <c r="C140" s="30" t="s">
        <v>542</v>
      </c>
      <c r="D140" s="138">
        <v>0.7</v>
      </c>
      <c r="E140" s="140"/>
      <c r="F140" s="140"/>
    </row>
    <row r="141" spans="3:35">
      <c r="C141" s="30" t="s">
        <v>543</v>
      </c>
      <c r="D141" s="141"/>
      <c r="E141" s="132">
        <v>4445000</v>
      </c>
      <c r="F141" s="11">
        <v>11112.5</v>
      </c>
    </row>
    <row r="142" spans="3:35">
      <c r="C142" s="30" t="s">
        <v>118</v>
      </c>
      <c r="D142" s="138">
        <v>0.83</v>
      </c>
      <c r="E142" s="140"/>
      <c r="F142" s="140"/>
    </row>
    <row r="143" spans="3:35">
      <c r="C143" s="30" t="s">
        <v>119</v>
      </c>
      <c r="D143" s="138">
        <v>0.17000000000000004</v>
      </c>
      <c r="E143" s="140"/>
      <c r="F143" s="140"/>
    </row>
    <row r="144" spans="3:35">
      <c r="C144" s="30" t="s">
        <v>533</v>
      </c>
      <c r="D144" s="141"/>
      <c r="E144" s="132">
        <v>3689350</v>
      </c>
      <c r="F144" s="132"/>
    </row>
    <row r="145" spans="3:35">
      <c r="C145" s="30" t="s">
        <v>534</v>
      </c>
      <c r="D145" s="141"/>
      <c r="E145" s="132">
        <v>755650.00000000023</v>
      </c>
      <c r="F145" s="132"/>
    </row>
    <row r="146" spans="3:35">
      <c r="C146" s="30" t="s">
        <v>544</v>
      </c>
      <c r="D146" s="141"/>
      <c r="E146" s="11">
        <v>1905000</v>
      </c>
      <c r="F146" s="11">
        <v>4762.5</v>
      </c>
    </row>
    <row r="147" spans="3:35">
      <c r="C147" s="30" t="s">
        <v>536</v>
      </c>
      <c r="D147" s="141"/>
      <c r="E147" s="11">
        <v>2660650</v>
      </c>
      <c r="F147" s="11">
        <v>6651.625</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36">
        <v>2025</v>
      </c>
      <c r="E153" s="136">
        <v>2026</v>
      </c>
      <c r="F153" s="136">
        <v>2027</v>
      </c>
      <c r="G153" s="136">
        <v>2028</v>
      </c>
      <c r="H153" s="136">
        <v>2029</v>
      </c>
      <c r="I153" s="136">
        <v>2030</v>
      </c>
      <c r="J153" s="136">
        <v>2031</v>
      </c>
      <c r="K153" s="136">
        <v>2032</v>
      </c>
      <c r="L153" s="136">
        <v>2033</v>
      </c>
      <c r="M153" s="136">
        <v>2034</v>
      </c>
      <c r="N153" s="136">
        <v>2035</v>
      </c>
      <c r="O153" s="136">
        <v>2036</v>
      </c>
      <c r="P153" s="136">
        <v>2037</v>
      </c>
      <c r="Q153" s="136">
        <v>2038</v>
      </c>
      <c r="R153" s="136">
        <v>2039</v>
      </c>
      <c r="S153" s="136">
        <v>2040</v>
      </c>
      <c r="T153" s="136">
        <v>2041</v>
      </c>
      <c r="U153" s="136">
        <v>2042</v>
      </c>
      <c r="V153" s="136">
        <v>2043</v>
      </c>
      <c r="W153" s="136">
        <v>2044</v>
      </c>
      <c r="X153" s="136">
        <v>2045</v>
      </c>
      <c r="Y153" s="136">
        <v>2046</v>
      </c>
      <c r="Z153" s="136">
        <v>2047</v>
      </c>
      <c r="AA153" s="136">
        <v>2048</v>
      </c>
      <c r="AB153" s="136">
        <v>2049</v>
      </c>
      <c r="AC153" s="136">
        <v>2050</v>
      </c>
      <c r="AD153" s="136">
        <v>2051</v>
      </c>
      <c r="AE153" s="136">
        <v>2052</v>
      </c>
      <c r="AF153" s="136">
        <v>2053</v>
      </c>
      <c r="AG153" s="136">
        <v>2054</v>
      </c>
    </row>
    <row r="154" spans="3:35">
      <c r="C154" s="163" t="s">
        <v>379</v>
      </c>
      <c r="D154" s="164">
        <v>6350000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2353.9829944639114</v>
      </c>
      <c r="F155" s="164">
        <v>2353.9829944639114</v>
      </c>
      <c r="G155" s="164">
        <v>2353.9829944639114</v>
      </c>
      <c r="H155" s="164">
        <v>2353.9829944639114</v>
      </c>
      <c r="I155" s="164">
        <v>2353.9829944639114</v>
      </c>
      <c r="J155" s="164">
        <v>2353.9829944639114</v>
      </c>
      <c r="K155" s="164">
        <v>2353.9829944639114</v>
      </c>
      <c r="L155" s="164">
        <v>2353.9829944639114</v>
      </c>
      <c r="M155" s="164">
        <v>2353.9829944639114</v>
      </c>
      <c r="N155" s="164">
        <v>2353.9829944639114</v>
      </c>
      <c r="O155" s="164">
        <v>2353.9829944639114</v>
      </c>
      <c r="P155" s="164">
        <v>2353.9829944639114</v>
      </c>
      <c r="Q155" s="164">
        <v>2353.9829944639114</v>
      </c>
      <c r="R155" s="164">
        <v>2353.9829944639114</v>
      </c>
      <c r="S155" s="164">
        <v>2353.9829944639114</v>
      </c>
      <c r="T155" s="164">
        <v>2353.9829944639114</v>
      </c>
      <c r="U155" s="164">
        <v>2353.9829944639114</v>
      </c>
      <c r="V155" s="164">
        <v>2353.9829944639114</v>
      </c>
      <c r="W155" s="164">
        <v>2353.9829944639114</v>
      </c>
      <c r="X155" s="164">
        <v>2353.9829944639114</v>
      </c>
      <c r="Y155" s="164">
        <v>2353.9829944639114</v>
      </c>
      <c r="Z155" s="164">
        <v>2353.9829944639114</v>
      </c>
      <c r="AA155" s="164">
        <v>2353.9829944639114</v>
      </c>
      <c r="AB155" s="164">
        <v>2353.9829944639114</v>
      </c>
      <c r="AC155" s="164">
        <v>2353.9829944639114</v>
      </c>
      <c r="AD155" s="164">
        <v>2353.9829944639114</v>
      </c>
      <c r="AE155" s="164">
        <v>2353.9829944639114</v>
      </c>
      <c r="AF155" s="164">
        <v>2353.9829944639114</v>
      </c>
      <c r="AG155" s="164">
        <v>2353.9829944639114</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6350000</v>
      </c>
      <c r="E159" s="162">
        <v>2353.9829944639114</v>
      </c>
      <c r="F159" s="162">
        <v>2353.9829944639114</v>
      </c>
      <c r="G159" s="162">
        <v>2353.9829944639114</v>
      </c>
      <c r="H159" s="162">
        <v>2353.9829944639114</v>
      </c>
      <c r="I159" s="162">
        <v>2353.9829944639114</v>
      </c>
      <c r="J159" s="162">
        <v>2353.9829944639114</v>
      </c>
      <c r="K159" s="162">
        <v>2353.9829944639114</v>
      </c>
      <c r="L159" s="162">
        <v>2353.9829944639114</v>
      </c>
      <c r="M159" s="162">
        <v>2353.9829944639114</v>
      </c>
      <c r="N159" s="162">
        <v>2353.9829944639114</v>
      </c>
      <c r="O159" s="162">
        <v>2353.9829944639114</v>
      </c>
      <c r="P159" s="162">
        <v>2353.9829944639114</v>
      </c>
      <c r="Q159" s="162">
        <v>2353.9829944639114</v>
      </c>
      <c r="R159" s="162">
        <v>2353.9829944639114</v>
      </c>
      <c r="S159" s="162">
        <v>2353.9829944639114</v>
      </c>
      <c r="T159" s="162">
        <v>2353.9829944639114</v>
      </c>
      <c r="U159" s="162">
        <v>2353.9829944639114</v>
      </c>
      <c r="V159" s="162">
        <v>2353.9829944639114</v>
      </c>
      <c r="W159" s="162">
        <v>2353.9829944639114</v>
      </c>
      <c r="X159" s="162">
        <v>2353.9829944639114</v>
      </c>
      <c r="Y159" s="162">
        <v>2353.9829944639114</v>
      </c>
      <c r="Z159" s="162">
        <v>2353.9829944639114</v>
      </c>
      <c r="AA159" s="162">
        <v>2353.9829944639114</v>
      </c>
      <c r="AB159" s="162">
        <v>2353.9829944639114</v>
      </c>
      <c r="AC159" s="162">
        <v>2353.9829944639114</v>
      </c>
      <c r="AD159" s="162">
        <v>2353.9829944639114</v>
      </c>
      <c r="AE159" s="162">
        <v>2353.9829944639114</v>
      </c>
      <c r="AF159" s="162">
        <v>2353.9829944639114</v>
      </c>
      <c r="AG159" s="162">
        <v>2353.9829944639114</v>
      </c>
      <c r="AH159" s="3"/>
      <c r="AI159" s="3"/>
    </row>
    <row r="160" spans="3:35">
      <c r="C160" s="163" t="s">
        <v>385</v>
      </c>
      <c r="D160" s="164">
        <v>0</v>
      </c>
      <c r="E160" s="164">
        <v>15691.807212809119</v>
      </c>
      <c r="F160" s="164">
        <v>15691.807212809119</v>
      </c>
      <c r="G160" s="164">
        <v>15691.807212809119</v>
      </c>
      <c r="H160" s="164">
        <v>15691.807212809119</v>
      </c>
      <c r="I160" s="164">
        <v>15691.807212809119</v>
      </c>
      <c r="J160" s="164">
        <v>15691.807212809119</v>
      </c>
      <c r="K160" s="164">
        <v>15691.807212809119</v>
      </c>
      <c r="L160" s="164">
        <v>15691.807212809119</v>
      </c>
      <c r="M160" s="164">
        <v>15691.807212809119</v>
      </c>
      <c r="N160" s="164">
        <v>15691.807212809119</v>
      </c>
      <c r="O160" s="164">
        <v>15691.807212809119</v>
      </c>
      <c r="P160" s="164">
        <v>15691.807212809119</v>
      </c>
      <c r="Q160" s="164">
        <v>15691.807212809119</v>
      </c>
      <c r="R160" s="164">
        <v>15691.807212809119</v>
      </c>
      <c r="S160" s="164">
        <v>15691.807212809119</v>
      </c>
      <c r="T160" s="164">
        <v>15691.807212809119</v>
      </c>
      <c r="U160" s="164">
        <v>15691.807212809119</v>
      </c>
      <c r="V160" s="164">
        <v>15691.807212809119</v>
      </c>
      <c r="W160" s="164">
        <v>15691.807212809119</v>
      </c>
      <c r="X160" s="164">
        <v>15691.807212809119</v>
      </c>
      <c r="Y160" s="164">
        <v>15691.807212809119</v>
      </c>
      <c r="Z160" s="164">
        <v>15691.807212809119</v>
      </c>
      <c r="AA160" s="164">
        <v>15691.807212809119</v>
      </c>
      <c r="AB160" s="164">
        <v>15691.807212809119</v>
      </c>
      <c r="AC160" s="164">
        <v>15691.807212809119</v>
      </c>
      <c r="AD160" s="164">
        <v>15691.807212809119</v>
      </c>
      <c r="AE160" s="164">
        <v>15691.807212809119</v>
      </c>
      <c r="AF160" s="164">
        <v>15691.807212809119</v>
      </c>
      <c r="AG160" s="164">
        <v>15691.807212809119</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3689350</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2660650</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0</v>
      </c>
      <c r="AH163" s="3"/>
      <c r="AI163" s="3"/>
    </row>
    <row r="164" spans="3:35">
      <c r="C164" s="163" t="s">
        <v>389</v>
      </c>
      <c r="D164" s="164">
        <v>2660650</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6350000</v>
      </c>
      <c r="E171" s="162">
        <v>15691.807212809119</v>
      </c>
      <c r="F171" s="162">
        <v>15691.807212809119</v>
      </c>
      <c r="G171" s="162">
        <v>15691.807212809119</v>
      </c>
      <c r="H171" s="162">
        <v>15691.807212809119</v>
      </c>
      <c r="I171" s="162">
        <v>15691.807212809119</v>
      </c>
      <c r="J171" s="162">
        <v>15691.807212809119</v>
      </c>
      <c r="K171" s="162">
        <v>15691.807212809119</v>
      </c>
      <c r="L171" s="162">
        <v>15691.807212809119</v>
      </c>
      <c r="M171" s="162">
        <v>15691.807212809119</v>
      </c>
      <c r="N171" s="162">
        <v>15691.807212809119</v>
      </c>
      <c r="O171" s="162">
        <v>15691.807212809119</v>
      </c>
      <c r="P171" s="162">
        <v>15691.807212809119</v>
      </c>
      <c r="Q171" s="162">
        <v>15691.807212809119</v>
      </c>
      <c r="R171" s="162">
        <v>15691.807212809119</v>
      </c>
      <c r="S171" s="162">
        <v>15691.807212809119</v>
      </c>
      <c r="T171" s="162">
        <v>15691.807212809119</v>
      </c>
      <c r="U171" s="162">
        <v>15691.807212809119</v>
      </c>
      <c r="V171" s="162">
        <v>15691.807212809119</v>
      </c>
      <c r="W171" s="162">
        <v>15691.807212809119</v>
      </c>
      <c r="X171" s="162">
        <v>15691.807212809119</v>
      </c>
      <c r="Y171" s="162">
        <v>15691.807212809119</v>
      </c>
      <c r="Z171" s="162">
        <v>15691.807212809119</v>
      </c>
      <c r="AA171" s="162">
        <v>15691.807212809119</v>
      </c>
      <c r="AB171" s="162">
        <v>15691.807212809119</v>
      </c>
      <c r="AC171" s="162">
        <v>15691.807212809119</v>
      </c>
      <c r="AD171" s="162">
        <v>15691.807212809119</v>
      </c>
      <c r="AE171" s="162">
        <v>15691.807212809119</v>
      </c>
      <c r="AF171" s="162">
        <v>15691.807212809119</v>
      </c>
      <c r="AG171" s="162">
        <v>15691.807212809119</v>
      </c>
      <c r="AH171" s="3"/>
      <c r="AI171" s="3"/>
    </row>
    <row r="172" spans="3:35">
      <c r="C172" s="165" t="s">
        <v>397</v>
      </c>
      <c r="D172" s="162">
        <v>0</v>
      </c>
      <c r="E172" s="162">
        <v>13337.824218345208</v>
      </c>
      <c r="F172" s="162">
        <v>13337.824218345208</v>
      </c>
      <c r="G172" s="162">
        <v>13337.824218345208</v>
      </c>
      <c r="H172" s="162">
        <v>13337.824218345208</v>
      </c>
      <c r="I172" s="162">
        <v>13337.824218345208</v>
      </c>
      <c r="J172" s="162">
        <v>13337.824218345208</v>
      </c>
      <c r="K172" s="162">
        <v>13337.824218345208</v>
      </c>
      <c r="L172" s="162">
        <v>13337.824218345208</v>
      </c>
      <c r="M172" s="162">
        <v>13337.824218345208</v>
      </c>
      <c r="N172" s="162">
        <v>13337.824218345208</v>
      </c>
      <c r="O172" s="162">
        <v>13337.824218345208</v>
      </c>
      <c r="P172" s="162">
        <v>13337.824218345208</v>
      </c>
      <c r="Q172" s="162">
        <v>13337.824218345208</v>
      </c>
      <c r="R172" s="162">
        <v>13337.824218345208</v>
      </c>
      <c r="S172" s="162">
        <v>13337.824218345208</v>
      </c>
      <c r="T172" s="162">
        <v>13337.824218345208</v>
      </c>
      <c r="U172" s="162">
        <v>13337.824218345208</v>
      </c>
      <c r="V172" s="162">
        <v>13337.824218345208</v>
      </c>
      <c r="W172" s="162">
        <v>13337.824218345208</v>
      </c>
      <c r="X172" s="162">
        <v>13337.824218345208</v>
      </c>
      <c r="Y172" s="162">
        <v>13337.824218345208</v>
      </c>
      <c r="Z172" s="162">
        <v>13337.824218345208</v>
      </c>
      <c r="AA172" s="162">
        <v>13337.824218345208</v>
      </c>
      <c r="AB172" s="162">
        <v>13337.824218345208</v>
      </c>
      <c r="AC172" s="162">
        <v>13337.824218345208</v>
      </c>
      <c r="AD172" s="162">
        <v>13337.824218345208</v>
      </c>
      <c r="AE172" s="162">
        <v>13337.824218345208</v>
      </c>
      <c r="AF172" s="162">
        <v>13337.824218345208</v>
      </c>
      <c r="AG172" s="162">
        <v>13337.824218345208</v>
      </c>
      <c r="AH172" s="3"/>
      <c r="AI172" s="3"/>
    </row>
    <row r="173" spans="3:35">
      <c r="C173" s="165" t="s">
        <v>398</v>
      </c>
      <c r="D173" s="162">
        <v>0</v>
      </c>
      <c r="E173" s="162">
        <v>13337.824218345208</v>
      </c>
      <c r="F173" s="162">
        <v>26675.648436690415</v>
      </c>
      <c r="G173" s="162">
        <v>40013.472655035621</v>
      </c>
      <c r="H173" s="162">
        <v>53351.29687338083</v>
      </c>
      <c r="I173" s="162">
        <v>66689.121091726032</v>
      </c>
      <c r="J173" s="162">
        <v>80026.945310071242</v>
      </c>
      <c r="K173" s="162">
        <v>93364.769528416451</v>
      </c>
      <c r="L173" s="162">
        <v>106702.59374676166</v>
      </c>
      <c r="M173" s="162">
        <v>120040.41796510687</v>
      </c>
      <c r="N173" s="162">
        <v>133378.24218345206</v>
      </c>
      <c r="O173" s="162">
        <v>146716.06640179726</v>
      </c>
      <c r="P173" s="162">
        <v>160053.89062014245</v>
      </c>
      <c r="Q173" s="162">
        <v>173391.71483848765</v>
      </c>
      <c r="R173" s="162">
        <v>186729.53905683284</v>
      </c>
      <c r="S173" s="162">
        <v>200067.36327517804</v>
      </c>
      <c r="T173" s="162">
        <v>213405.18749352323</v>
      </c>
      <c r="U173" s="162">
        <v>226743.01171186843</v>
      </c>
      <c r="V173" s="162">
        <v>240080.83593021362</v>
      </c>
      <c r="W173" s="162">
        <v>253418.66014855882</v>
      </c>
      <c r="X173" s="162">
        <v>266756.48436690401</v>
      </c>
      <c r="Y173" s="162">
        <v>280094.30858524924</v>
      </c>
      <c r="Z173" s="162">
        <v>293432.13280359446</v>
      </c>
      <c r="AA173" s="162">
        <v>306769.95702193968</v>
      </c>
      <c r="AB173" s="162">
        <v>320107.78124028491</v>
      </c>
      <c r="AC173" s="162">
        <v>333445.60545863013</v>
      </c>
      <c r="AD173" s="162">
        <v>346783.42967697536</v>
      </c>
      <c r="AE173" s="162">
        <v>360121.25389532058</v>
      </c>
      <c r="AF173" s="162">
        <v>373459.0781136658</v>
      </c>
      <c r="AG173" s="162">
        <v>386796.90233201103</v>
      </c>
      <c r="AH173" s="3"/>
      <c r="AI173" s="3"/>
    </row>
    <row r="175" spans="3:35">
      <c r="C175" s="165" t="s">
        <v>373</v>
      </c>
      <c r="D175" s="132">
        <v>0</v>
      </c>
      <c r="E175" s="132">
        <v>13337.824218345208</v>
      </c>
      <c r="F175" s="132">
        <v>13337.824218345208</v>
      </c>
      <c r="G175" s="132">
        <v>13337.824218345208</v>
      </c>
      <c r="H175" s="132">
        <v>13337.824218345208</v>
      </c>
      <c r="I175" s="132">
        <v>13337.824218345208</v>
      </c>
      <c r="J175" s="132">
        <v>13337.824218345208</v>
      </c>
      <c r="K175" s="132">
        <v>13337.824218345208</v>
      </c>
      <c r="L175" s="132">
        <v>13337.824218345208</v>
      </c>
      <c r="M175" s="132">
        <v>13337.824218345208</v>
      </c>
      <c r="N175" s="132">
        <v>13337.824218345208</v>
      </c>
      <c r="O175" s="132">
        <v>13337.824218345208</v>
      </c>
      <c r="P175" s="132">
        <v>13337.824218345208</v>
      </c>
      <c r="Q175" s="132">
        <v>13337.824218345208</v>
      </c>
      <c r="R175" s="132">
        <v>13337.824218345208</v>
      </c>
      <c r="S175" s="132">
        <v>13337.824218345208</v>
      </c>
      <c r="T175" s="132">
        <v>13337.824218345208</v>
      </c>
      <c r="U175" s="132">
        <v>13337.824218345208</v>
      </c>
      <c r="V175" s="132">
        <v>13337.824218345208</v>
      </c>
      <c r="W175" s="132">
        <v>13337.824218345208</v>
      </c>
      <c r="X175" s="132">
        <v>13337.824218345208</v>
      </c>
      <c r="Y175" s="132">
        <v>13337.824218345208</v>
      </c>
      <c r="Z175" s="132">
        <v>13337.824218345208</v>
      </c>
      <c r="AA175" s="132">
        <v>13337.824218345208</v>
      </c>
      <c r="AB175" s="132">
        <v>13337.824218345208</v>
      </c>
      <c r="AC175" s="132">
        <v>13337.824218345208</v>
      </c>
      <c r="AD175" s="132">
        <v>13337.824218345208</v>
      </c>
      <c r="AE175" s="132">
        <v>13337.824218345208</v>
      </c>
      <c r="AF175" s="132">
        <v>13337.824218345208</v>
      </c>
      <c r="AG175" s="132">
        <v>13337.824218345208</v>
      </c>
      <c r="AH175" s="3"/>
      <c r="AI175" s="3"/>
    </row>
    <row r="176" spans="3:35">
      <c r="C176" s="165" t="s">
        <v>374</v>
      </c>
      <c r="D176" s="132">
        <v>0</v>
      </c>
      <c r="E176" s="132">
        <v>13337.824218345208</v>
      </c>
      <c r="F176" s="132">
        <v>26675.648436690415</v>
      </c>
      <c r="G176" s="132">
        <v>40013.472655035621</v>
      </c>
      <c r="H176" s="132">
        <v>53351.29687338083</v>
      </c>
      <c r="I176" s="132">
        <v>66689.121091726032</v>
      </c>
      <c r="J176" s="132">
        <v>80026.945310071242</v>
      </c>
      <c r="K176" s="132">
        <v>93364.769528416451</v>
      </c>
      <c r="L176" s="132">
        <v>106702.59374676166</v>
      </c>
      <c r="M176" s="132">
        <v>120040.41796510687</v>
      </c>
      <c r="N176" s="132">
        <v>133378.24218345206</v>
      </c>
      <c r="O176" s="132">
        <v>146716.06640179726</v>
      </c>
      <c r="P176" s="132">
        <v>160053.89062014245</v>
      </c>
      <c r="Q176" s="132">
        <v>173391.71483848765</v>
      </c>
      <c r="R176" s="132">
        <v>186729.53905683284</v>
      </c>
      <c r="S176" s="132">
        <v>200067.36327517804</v>
      </c>
      <c r="T176" s="132">
        <v>213405.18749352323</v>
      </c>
      <c r="U176" s="132">
        <v>226743.01171186843</v>
      </c>
      <c r="V176" s="132">
        <v>240080.83593021362</v>
      </c>
      <c r="W176" s="132">
        <v>253418.66014855882</v>
      </c>
      <c r="X176" s="132">
        <v>266756.48436690401</v>
      </c>
      <c r="Y176" s="132">
        <v>280094.30858524924</v>
      </c>
      <c r="Z176" s="132">
        <v>293432.13280359446</v>
      </c>
      <c r="AA176" s="132">
        <v>306769.95702193968</v>
      </c>
      <c r="AB176" s="132">
        <v>320107.78124028491</v>
      </c>
      <c r="AC176" s="132">
        <v>333445.60545863013</v>
      </c>
      <c r="AD176" s="132">
        <v>346783.42967697536</v>
      </c>
      <c r="AE176" s="132">
        <v>360121.25389532058</v>
      </c>
      <c r="AF176" s="132">
        <v>373459.0781136658</v>
      </c>
      <c r="AG176" s="132">
        <v>386796.90233201103</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100" priority="32">
      <formula>NOT(ISBLANK(D$153))</formula>
    </cfRule>
  </conditionalFormatting>
  <conditionalFormatting sqref="D175:AG177">
    <cfRule type="expression" dxfId="99" priority="1">
      <formula>NOT(ISBLANK(D$268))</formula>
    </cfRule>
  </conditionalFormatting>
  <conditionalFormatting sqref="F74:AI74">
    <cfRule type="expression" dxfId="98" priority="42">
      <formula>NOT(ISBLANK(F$74))</formula>
    </cfRule>
  </conditionalFormatting>
  <conditionalFormatting sqref="F75:AI75">
    <cfRule type="expression" dxfId="97" priority="10">
      <formula>NOT(ISBLANK(F$73))</formula>
    </cfRule>
  </conditionalFormatting>
  <conditionalFormatting sqref="F80:AI80">
    <cfRule type="expression" dxfId="96" priority="40">
      <formula>NOT(ISBLANK(F$80))</formula>
    </cfRule>
  </conditionalFormatting>
  <conditionalFormatting sqref="F81:AI81">
    <cfRule type="expression" dxfId="95" priority="9">
      <formula>NOT(ISBLANK(F$73))</formula>
    </cfRule>
  </conditionalFormatting>
  <conditionalFormatting sqref="F86:AI86">
    <cfRule type="expression" dxfId="94" priority="38">
      <formula>NOT(ISBLANK(F$86))</formula>
    </cfRule>
  </conditionalFormatting>
  <conditionalFormatting sqref="F87:AI88">
    <cfRule type="expression" dxfId="93" priority="7">
      <formula>NOT(ISBLANK(F$73))</formula>
    </cfRule>
  </conditionalFormatting>
  <conditionalFormatting sqref="F89:AI89">
    <cfRule type="expression" dxfId="92" priority="37">
      <formula>NOT(ISBLANK(F$86))</formula>
    </cfRule>
  </conditionalFormatting>
  <conditionalFormatting sqref="F94:AI94">
    <cfRule type="expression" dxfId="91" priority="36">
      <formula>NOT(ISBLANK(F$94))</formula>
    </cfRule>
  </conditionalFormatting>
  <conditionalFormatting sqref="F95:AI99">
    <cfRule type="expression" dxfId="90" priority="2">
      <formula>NOT(ISBLANK(F$73))</formula>
    </cfRule>
  </conditionalFormatting>
  <conditionalFormatting sqref="F112:AI112">
    <cfRule type="expression" dxfId="89" priority="14">
      <formula>NOT(ISBLANK(F$123))</formula>
    </cfRule>
  </conditionalFormatting>
  <conditionalFormatting sqref="F113:AI118">
    <cfRule type="expression" dxfId="88" priority="12">
      <formula>NOT(ISBLANK(F$110))</formula>
    </cfRule>
  </conditionalFormatting>
  <conditionalFormatting sqref="F123:AI123">
    <cfRule type="expression" dxfId="87" priority="17">
      <formula>NOT(ISBLANK(F$123))</formula>
    </cfRule>
  </conditionalFormatting>
  <conditionalFormatting sqref="F124:AI129">
    <cfRule type="expression" dxfId="86" priority="16">
      <formula>NOT(ISBLANK(F$123))</formula>
    </cfRule>
  </conditionalFormatting>
  <conditionalFormatting sqref="F130:AI130">
    <cfRule type="expression" dxfId="85" priority="15">
      <formula>NOT(ISBLANK(F$123))</formula>
    </cfRule>
  </conditionalFormatting>
  <conditionalFormatting sqref="G118:AI118">
    <cfRule type="expression" dxfId="84" priority="13">
      <formula>NOT(ISBLANK(G$110))</formula>
    </cfRule>
  </conditionalFormatting>
  <dataValidations count="1">
    <dataValidation type="list" allowBlank="1" showInputMessage="1" showErrorMessage="1" sqref="D185" xr:uid="{06AF9810-5AC0-4745-953D-C089380B43BD}">
      <formula1>i_n_list</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411A-EA0E-4099-8D09-36DDF31650F3}">
  <sheetPr codeName="Munka8">
    <tabColor theme="8" tint="0.59999389629810485"/>
  </sheetPr>
  <dimension ref="A1:AI185"/>
  <sheetViews>
    <sheetView topLeftCell="A99" zoomScale="65" zoomScaleNormal="55" workbookViewId="0">
      <selection activeCell="L113" sqref="L113"/>
    </sheetView>
  </sheetViews>
  <sheetFormatPr defaultColWidth="9.19921875" defaultRowHeight="13.8"/>
  <cols>
    <col min="1" max="1" width="9.19921875" style="1"/>
    <col min="2" max="2" width="47" style="1" customWidth="1"/>
    <col min="3" max="3" width="62.19921875" style="1" customWidth="1"/>
    <col min="4" max="4" width="27.5" style="1" bestFit="1" customWidth="1"/>
    <col min="5" max="5" width="24.19921875" style="1" customWidth="1"/>
    <col min="6" max="6" width="14" style="1" customWidth="1"/>
    <col min="7" max="8" width="10.19921875" style="1" customWidth="1"/>
    <col min="9" max="11" width="11.19921875" style="1" customWidth="1"/>
    <col min="12" max="33" width="13" style="1" customWidth="1"/>
    <col min="34" max="34" width="9.19921875" style="1" bestFit="1" customWidth="1"/>
    <col min="35" max="35" width="10.5" style="1" bestFit="1" customWidth="1"/>
    <col min="36" max="16384" width="9.19921875" style="1"/>
  </cols>
  <sheetData>
    <row r="1" spans="1:6" ht="14.4" thickBot="1"/>
    <row r="2" spans="1:6" ht="14.4" thickBot="1">
      <c r="C2" s="5" t="s">
        <v>273</v>
      </c>
    </row>
    <row r="3" spans="1:6" ht="14.4" thickBot="1"/>
    <row r="4" spans="1:6" ht="145.8000000000000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107950000</v>
      </c>
      <c r="E12" s="130">
        <v>0</v>
      </c>
      <c r="F12" s="11">
        <v>107950000</v>
      </c>
    </row>
    <row r="13" spans="1:6">
      <c r="C13" s="10" t="s">
        <v>276</v>
      </c>
      <c r="D13" s="130">
        <v>0</v>
      </c>
      <c r="E13" s="130">
        <v>0</v>
      </c>
      <c r="F13" s="11">
        <v>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107950000</v>
      </c>
      <c r="E21" s="131">
        <v>0</v>
      </c>
      <c r="F21" s="13">
        <v>107950000</v>
      </c>
    </row>
    <row r="22" spans="3:10">
      <c r="C22" s="12" t="s">
        <v>329</v>
      </c>
      <c r="D22" s="13">
        <v>107950000</v>
      </c>
      <c r="E22" s="13">
        <v>0</v>
      </c>
      <c r="F22" s="133">
        <v>107950000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107950000</v>
      </c>
      <c r="E27" s="11">
        <v>107950000</v>
      </c>
      <c r="F27" s="134">
        <v>107950000</v>
      </c>
      <c r="G27" s="134">
        <v>0</v>
      </c>
      <c r="H27" s="134">
        <v>0</v>
      </c>
      <c r="I27" s="134">
        <v>0</v>
      </c>
      <c r="J27" s="134">
        <v>0</v>
      </c>
    </row>
    <row r="28" spans="3:10">
      <c r="C28" s="10" t="s">
        <v>276</v>
      </c>
      <c r="D28" s="11">
        <v>0</v>
      </c>
      <c r="E28" s="11">
        <v>0</v>
      </c>
      <c r="F28" s="134">
        <v>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107950000</v>
      </c>
      <c r="E36" s="13">
        <v>107950000</v>
      </c>
      <c r="F36" s="131">
        <v>107950000</v>
      </c>
      <c r="G36" s="131">
        <v>0</v>
      </c>
      <c r="H36" s="131">
        <v>0</v>
      </c>
      <c r="I36" s="131">
        <v>0</v>
      </c>
      <c r="J36" s="131">
        <v>0</v>
      </c>
    </row>
    <row r="37" spans="3:10">
      <c r="C37" s="12" t="s">
        <v>329</v>
      </c>
      <c r="D37" s="13">
        <v>107950000</v>
      </c>
      <c r="E37" s="13">
        <v>107950000</v>
      </c>
      <c r="F37" s="13">
        <v>107950000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1">
        <v>0</v>
      </c>
      <c r="G52" s="131">
        <v>0</v>
      </c>
      <c r="H52" s="131">
        <v>0</v>
      </c>
      <c r="I52" s="131">
        <v>0</v>
      </c>
      <c r="J52" s="131">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107950000</v>
      </c>
      <c r="E57" s="11">
        <v>107950000</v>
      </c>
      <c r="F57" s="11">
        <v>107950000</v>
      </c>
      <c r="G57" s="11">
        <v>0</v>
      </c>
      <c r="H57" s="11">
        <v>0</v>
      </c>
      <c r="I57" s="11">
        <v>0</v>
      </c>
      <c r="J57" s="11">
        <v>0</v>
      </c>
    </row>
    <row r="58" spans="3:10">
      <c r="C58" s="10" t="s">
        <v>276</v>
      </c>
      <c r="D58" s="11">
        <v>0</v>
      </c>
      <c r="E58" s="11">
        <v>0</v>
      </c>
      <c r="F58" s="11">
        <v>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107950000</v>
      </c>
      <c r="E66" s="13">
        <v>107950000</v>
      </c>
      <c r="F66" s="13">
        <v>107950000</v>
      </c>
      <c r="G66" s="13">
        <v>0</v>
      </c>
      <c r="H66" s="13">
        <v>0</v>
      </c>
      <c r="I66" s="13">
        <v>0</v>
      </c>
      <c r="J66" s="13">
        <v>0</v>
      </c>
    </row>
    <row r="67" spans="1:35">
      <c r="C67" s="12" t="s">
        <v>329</v>
      </c>
      <c r="D67" s="13">
        <v>107950000</v>
      </c>
      <c r="E67" s="13">
        <v>107950000</v>
      </c>
      <c r="F67" s="13">
        <v>107950000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4">
        <v>2025</v>
      </c>
      <c r="G74" s="14">
        <v>2026</v>
      </c>
      <c r="H74" s="14">
        <v>2027</v>
      </c>
      <c r="I74" s="14">
        <v>2028</v>
      </c>
      <c r="J74" s="14">
        <v>2029</v>
      </c>
      <c r="K74" s="14">
        <v>2030</v>
      </c>
      <c r="L74" s="14">
        <v>2031</v>
      </c>
      <c r="M74" s="14">
        <v>2032</v>
      </c>
      <c r="N74" s="14">
        <v>2033</v>
      </c>
      <c r="O74" s="14">
        <v>2034</v>
      </c>
      <c r="P74" s="14">
        <v>2035</v>
      </c>
      <c r="Q74" s="14">
        <v>2036</v>
      </c>
      <c r="R74" s="14">
        <v>2037</v>
      </c>
      <c r="S74" s="14">
        <v>2038</v>
      </c>
      <c r="T74" s="14">
        <v>2039</v>
      </c>
      <c r="U74" s="14">
        <v>2040</v>
      </c>
      <c r="V74" s="14">
        <v>2041</v>
      </c>
      <c r="W74" s="14">
        <v>2042</v>
      </c>
      <c r="X74" s="14">
        <v>2043</v>
      </c>
      <c r="Y74" s="14">
        <v>2044</v>
      </c>
      <c r="Z74" s="14">
        <v>2045</v>
      </c>
      <c r="AA74" s="14">
        <v>2046</v>
      </c>
      <c r="AB74" s="14">
        <v>2047</v>
      </c>
      <c r="AC74" s="14">
        <v>2048</v>
      </c>
      <c r="AD74" s="14">
        <v>2049</v>
      </c>
      <c r="AE74" s="14">
        <v>2050</v>
      </c>
      <c r="AF74" s="14">
        <v>2051</v>
      </c>
      <c r="AG74" s="14">
        <v>2052</v>
      </c>
      <c r="AH74" s="14">
        <v>2053</v>
      </c>
      <c r="AI74" s="14">
        <v>2054</v>
      </c>
    </row>
    <row r="75" spans="1:35">
      <c r="C75" s="10" t="s">
        <v>337</v>
      </c>
      <c r="D75" s="132">
        <v>1160513.6162707084</v>
      </c>
      <c r="E75" s="132">
        <v>481326.26811971219</v>
      </c>
      <c r="F75" s="135">
        <v>0</v>
      </c>
      <c r="G75" s="135">
        <v>40017.710905886495</v>
      </c>
      <c r="H75" s="135">
        <v>40017.710905886495</v>
      </c>
      <c r="I75" s="135">
        <v>40017.710905886495</v>
      </c>
      <c r="J75" s="135">
        <v>40017.710905886495</v>
      </c>
      <c r="K75" s="135">
        <v>40017.710905886495</v>
      </c>
      <c r="L75" s="135">
        <v>40017.710905886495</v>
      </c>
      <c r="M75" s="135">
        <v>40017.710905886495</v>
      </c>
      <c r="N75" s="135">
        <v>40017.710905886495</v>
      </c>
      <c r="O75" s="135">
        <v>40017.710905886495</v>
      </c>
      <c r="P75" s="135">
        <v>40017.710905886495</v>
      </c>
      <c r="Q75" s="135">
        <v>40017.710905886495</v>
      </c>
      <c r="R75" s="135">
        <v>40017.710905886495</v>
      </c>
      <c r="S75" s="135">
        <v>40017.710905886495</v>
      </c>
      <c r="T75" s="135">
        <v>40017.710905886495</v>
      </c>
      <c r="U75" s="135">
        <v>40017.710905886495</v>
      </c>
      <c r="V75" s="135">
        <v>40017.710905886495</v>
      </c>
      <c r="W75" s="135">
        <v>40017.710905886495</v>
      </c>
      <c r="X75" s="135">
        <v>40017.710905886495</v>
      </c>
      <c r="Y75" s="135">
        <v>40017.710905886495</v>
      </c>
      <c r="Z75" s="135">
        <v>40017.710905886495</v>
      </c>
      <c r="AA75" s="135">
        <v>40017.710905886495</v>
      </c>
      <c r="AB75" s="135">
        <v>40017.710905886495</v>
      </c>
      <c r="AC75" s="135">
        <v>40017.710905886495</v>
      </c>
      <c r="AD75" s="135">
        <v>40017.710905886495</v>
      </c>
      <c r="AE75" s="135">
        <v>40017.710905886495</v>
      </c>
      <c r="AF75" s="135">
        <v>40017.710905886495</v>
      </c>
      <c r="AG75" s="135">
        <v>40017.710905886495</v>
      </c>
      <c r="AH75" s="135">
        <v>40017.710905886495</v>
      </c>
      <c r="AI75" s="135">
        <v>40017.710905886495</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4">
        <v>2025</v>
      </c>
      <c r="G80" s="14">
        <v>2026</v>
      </c>
      <c r="H80" s="14">
        <v>2027</v>
      </c>
      <c r="I80" s="14">
        <v>2028</v>
      </c>
      <c r="J80" s="14">
        <v>2029</v>
      </c>
      <c r="K80" s="14">
        <v>2030</v>
      </c>
      <c r="L80" s="14">
        <v>2031</v>
      </c>
      <c r="M80" s="14">
        <v>2032</v>
      </c>
      <c r="N80" s="14">
        <v>2033</v>
      </c>
      <c r="O80" s="14">
        <v>2034</v>
      </c>
      <c r="P80" s="14">
        <v>2035</v>
      </c>
      <c r="Q80" s="14">
        <v>2036</v>
      </c>
      <c r="R80" s="14">
        <v>2037</v>
      </c>
      <c r="S80" s="14">
        <v>2038</v>
      </c>
      <c r="T80" s="14">
        <v>2039</v>
      </c>
      <c r="U80" s="14">
        <v>2040</v>
      </c>
      <c r="V80" s="14">
        <v>2041</v>
      </c>
      <c r="W80" s="14">
        <v>2042</v>
      </c>
      <c r="X80" s="14">
        <v>2043</v>
      </c>
      <c r="Y80" s="14">
        <v>2044</v>
      </c>
      <c r="Z80" s="14">
        <v>2045</v>
      </c>
      <c r="AA80" s="14">
        <v>2046</v>
      </c>
      <c r="AB80" s="14">
        <v>2047</v>
      </c>
      <c r="AC80" s="14">
        <v>2048</v>
      </c>
      <c r="AD80" s="14">
        <v>2049</v>
      </c>
      <c r="AE80" s="14">
        <v>2050</v>
      </c>
      <c r="AF80" s="14">
        <v>2051</v>
      </c>
      <c r="AG80" s="14">
        <v>2052</v>
      </c>
      <c r="AH80" s="14">
        <v>2053</v>
      </c>
      <c r="AI80" s="14">
        <v>2054</v>
      </c>
    </row>
    <row r="81" spans="1:35">
      <c r="C81" s="10" t="s">
        <v>338</v>
      </c>
      <c r="D81" s="132">
        <v>0</v>
      </c>
      <c r="E81" s="132">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4">
        <v>2025</v>
      </c>
      <c r="G86" s="14">
        <v>2026</v>
      </c>
      <c r="H86" s="14">
        <v>2027</v>
      </c>
      <c r="I86" s="14">
        <v>2028</v>
      </c>
      <c r="J86" s="14">
        <v>2029</v>
      </c>
      <c r="K86" s="14">
        <v>2030</v>
      </c>
      <c r="L86" s="14">
        <v>2031</v>
      </c>
      <c r="M86" s="14">
        <v>2032</v>
      </c>
      <c r="N86" s="14">
        <v>2033</v>
      </c>
      <c r="O86" s="14">
        <v>2034</v>
      </c>
      <c r="P86" s="14">
        <v>2035</v>
      </c>
      <c r="Q86" s="14">
        <v>2036</v>
      </c>
      <c r="R86" s="14">
        <v>2037</v>
      </c>
      <c r="S86" s="14">
        <v>2038</v>
      </c>
      <c r="T86" s="14">
        <v>2039</v>
      </c>
      <c r="U86" s="14">
        <v>2040</v>
      </c>
      <c r="V86" s="14">
        <v>2041</v>
      </c>
      <c r="W86" s="14">
        <v>2042</v>
      </c>
      <c r="X86" s="14">
        <v>2043</v>
      </c>
      <c r="Y86" s="14">
        <v>2044</v>
      </c>
      <c r="Z86" s="14">
        <v>2045</v>
      </c>
      <c r="AA86" s="14">
        <v>2046</v>
      </c>
      <c r="AB86" s="14">
        <v>2047</v>
      </c>
      <c r="AC86" s="14">
        <v>2048</v>
      </c>
      <c r="AD86" s="14">
        <v>2049</v>
      </c>
      <c r="AE86" s="14">
        <v>2050</v>
      </c>
      <c r="AF86" s="14">
        <v>2051</v>
      </c>
      <c r="AG86" s="14">
        <v>2052</v>
      </c>
      <c r="AH86" s="14">
        <v>2053</v>
      </c>
      <c r="AI86" s="14">
        <v>2054</v>
      </c>
    </row>
    <row r="87" spans="1:35">
      <c r="C87" s="8" t="s">
        <v>341</v>
      </c>
      <c r="D87" s="133">
        <v>7736060.9559148923</v>
      </c>
      <c r="E87" s="133">
        <v>3208552.9179939828</v>
      </c>
      <c r="F87" s="137">
        <v>0</v>
      </c>
      <c r="G87" s="137">
        <v>266760.722617755</v>
      </c>
      <c r="H87" s="137">
        <v>266760.722617755</v>
      </c>
      <c r="I87" s="137">
        <v>266760.722617755</v>
      </c>
      <c r="J87" s="137">
        <v>266760.722617755</v>
      </c>
      <c r="K87" s="137">
        <v>266760.722617755</v>
      </c>
      <c r="L87" s="137">
        <v>266760.722617755</v>
      </c>
      <c r="M87" s="137">
        <v>266760.722617755</v>
      </c>
      <c r="N87" s="137">
        <v>266760.722617755</v>
      </c>
      <c r="O87" s="137">
        <v>266760.722617755</v>
      </c>
      <c r="P87" s="137">
        <v>266760.722617755</v>
      </c>
      <c r="Q87" s="137">
        <v>266760.722617755</v>
      </c>
      <c r="R87" s="137">
        <v>266760.722617755</v>
      </c>
      <c r="S87" s="137">
        <v>266760.722617755</v>
      </c>
      <c r="T87" s="137">
        <v>266760.722617755</v>
      </c>
      <c r="U87" s="137">
        <v>266760.722617755</v>
      </c>
      <c r="V87" s="137">
        <v>266760.722617755</v>
      </c>
      <c r="W87" s="137">
        <v>266760.722617755</v>
      </c>
      <c r="X87" s="137">
        <v>266760.722617755</v>
      </c>
      <c r="Y87" s="137">
        <v>266760.722617755</v>
      </c>
      <c r="Z87" s="137">
        <v>266760.722617755</v>
      </c>
      <c r="AA87" s="137">
        <v>266760.722617755</v>
      </c>
      <c r="AB87" s="137">
        <v>266760.722617755</v>
      </c>
      <c r="AC87" s="137">
        <v>266760.722617755</v>
      </c>
      <c r="AD87" s="137">
        <v>266760.722617755</v>
      </c>
      <c r="AE87" s="137">
        <v>266760.722617755</v>
      </c>
      <c r="AF87" s="137">
        <v>266760.722617755</v>
      </c>
      <c r="AG87" s="137">
        <v>266760.722617755</v>
      </c>
      <c r="AH87" s="137">
        <v>266760.722617755</v>
      </c>
      <c r="AI87" s="137">
        <v>266760.722617755</v>
      </c>
    </row>
    <row r="88" spans="1:35">
      <c r="C88" s="10" t="s">
        <v>342</v>
      </c>
      <c r="D88" s="132">
        <v>0</v>
      </c>
      <c r="E88" s="132">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v>0</v>
      </c>
      <c r="AF88" s="135">
        <v>0</v>
      </c>
      <c r="AG88" s="135">
        <v>0</v>
      </c>
      <c r="AH88" s="135">
        <v>0</v>
      </c>
      <c r="AI88" s="135">
        <v>0</v>
      </c>
    </row>
    <row r="89" spans="1:35">
      <c r="C89" s="8" t="s">
        <v>343</v>
      </c>
      <c r="D89" s="133">
        <v>7736060.9559148923</v>
      </c>
      <c r="E89" s="133">
        <v>3208552.9179939828</v>
      </c>
      <c r="F89" s="139">
        <v>0</v>
      </c>
      <c r="G89" s="139">
        <v>266760.722617755</v>
      </c>
      <c r="H89" s="139">
        <v>266760.722617755</v>
      </c>
      <c r="I89" s="139">
        <v>266760.722617755</v>
      </c>
      <c r="J89" s="139">
        <v>266760.722617755</v>
      </c>
      <c r="K89" s="139">
        <v>266760.722617755</v>
      </c>
      <c r="L89" s="139">
        <v>266760.722617755</v>
      </c>
      <c r="M89" s="139">
        <v>266760.722617755</v>
      </c>
      <c r="N89" s="139">
        <v>266760.722617755</v>
      </c>
      <c r="O89" s="139">
        <v>266760.722617755</v>
      </c>
      <c r="P89" s="139">
        <v>266760.722617755</v>
      </c>
      <c r="Q89" s="139">
        <v>266760.722617755</v>
      </c>
      <c r="R89" s="139">
        <v>266760.722617755</v>
      </c>
      <c r="S89" s="139">
        <v>266760.722617755</v>
      </c>
      <c r="T89" s="139">
        <v>266760.722617755</v>
      </c>
      <c r="U89" s="139">
        <v>266760.722617755</v>
      </c>
      <c r="V89" s="139">
        <v>266760.722617755</v>
      </c>
      <c r="W89" s="139">
        <v>266760.722617755</v>
      </c>
      <c r="X89" s="139">
        <v>266760.722617755</v>
      </c>
      <c r="Y89" s="139">
        <v>266760.722617755</v>
      </c>
      <c r="Z89" s="139">
        <v>266760.722617755</v>
      </c>
      <c r="AA89" s="139">
        <v>266760.722617755</v>
      </c>
      <c r="AB89" s="139">
        <v>266760.722617755</v>
      </c>
      <c r="AC89" s="139">
        <v>266760.722617755</v>
      </c>
      <c r="AD89" s="139">
        <v>266760.722617755</v>
      </c>
      <c r="AE89" s="139">
        <v>266760.722617755</v>
      </c>
      <c r="AF89" s="139">
        <v>266760.722617755</v>
      </c>
      <c r="AG89" s="139">
        <v>266760.722617755</v>
      </c>
      <c r="AH89" s="139">
        <v>266760.722617755</v>
      </c>
      <c r="AI89" s="139">
        <v>266760.722617755</v>
      </c>
    </row>
    <row r="92" spans="1:35" s="7" customFormat="1">
      <c r="A92" s="6"/>
      <c r="C92" s="6" t="s">
        <v>312</v>
      </c>
    </row>
    <row r="94" spans="1:35">
      <c r="C94" s="14" t="s">
        <v>312</v>
      </c>
      <c r="D94" s="14" t="s">
        <v>325</v>
      </c>
      <c r="E94" s="14" t="s">
        <v>465</v>
      </c>
      <c r="F94" s="14">
        <v>2025</v>
      </c>
      <c r="G94" s="14">
        <v>2026</v>
      </c>
      <c r="H94" s="14">
        <v>2027</v>
      </c>
      <c r="I94" s="14">
        <v>2028</v>
      </c>
      <c r="J94" s="14">
        <v>2029</v>
      </c>
      <c r="K94" s="14">
        <v>2030</v>
      </c>
      <c r="L94" s="14">
        <v>2031</v>
      </c>
      <c r="M94" s="14">
        <v>2032</v>
      </c>
      <c r="N94" s="14">
        <v>2033</v>
      </c>
      <c r="O94" s="14">
        <v>2034</v>
      </c>
      <c r="P94" s="14">
        <v>2035</v>
      </c>
      <c r="Q94" s="14">
        <v>2036</v>
      </c>
      <c r="R94" s="14">
        <v>2037</v>
      </c>
      <c r="S94" s="14">
        <v>2038</v>
      </c>
      <c r="T94" s="14">
        <v>2039</v>
      </c>
      <c r="U94" s="14">
        <v>2040</v>
      </c>
      <c r="V94" s="14">
        <v>2041</v>
      </c>
      <c r="W94" s="14">
        <v>2042</v>
      </c>
      <c r="X94" s="14">
        <v>2043</v>
      </c>
      <c r="Y94" s="14">
        <v>2044</v>
      </c>
      <c r="Z94" s="14">
        <v>2045</v>
      </c>
      <c r="AA94" s="14">
        <v>2046</v>
      </c>
      <c r="AB94" s="14">
        <v>2047</v>
      </c>
      <c r="AC94" s="14">
        <v>2048</v>
      </c>
      <c r="AD94" s="14">
        <v>2049</v>
      </c>
      <c r="AE94" s="14">
        <v>2050</v>
      </c>
      <c r="AF94" s="14">
        <v>2051</v>
      </c>
      <c r="AG94" s="14">
        <v>2052</v>
      </c>
      <c r="AH94" s="14">
        <v>2053</v>
      </c>
      <c r="AI94" s="14">
        <v>2054</v>
      </c>
    </row>
    <row r="95" spans="1:35">
      <c r="C95" s="10" t="s">
        <v>314</v>
      </c>
      <c r="D95" s="132">
        <v>0</v>
      </c>
      <c r="E95" s="132">
        <v>0</v>
      </c>
      <c r="F95" s="135">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315</v>
      </c>
      <c r="D96" s="132">
        <v>0</v>
      </c>
      <c r="E96" s="132">
        <v>0</v>
      </c>
      <c r="F96" s="135">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316</v>
      </c>
      <c r="D97" s="132">
        <v>0</v>
      </c>
      <c r="E97" s="132">
        <v>0</v>
      </c>
      <c r="F97" s="135">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98" spans="1:35">
      <c r="C98" s="10" t="s">
        <v>317</v>
      </c>
      <c r="D98" s="132">
        <v>0</v>
      </c>
      <c r="E98" s="132">
        <v>0</v>
      </c>
      <c r="F98" s="135">
        <v>0</v>
      </c>
      <c r="G98" s="135">
        <v>0</v>
      </c>
      <c r="H98" s="135">
        <v>0</v>
      </c>
      <c r="I98" s="135">
        <v>0</v>
      </c>
      <c r="J98" s="135">
        <v>0</v>
      </c>
      <c r="K98" s="135">
        <v>0</v>
      </c>
      <c r="L98" s="135">
        <v>0</v>
      </c>
      <c r="M98" s="135">
        <v>0</v>
      </c>
      <c r="N98" s="135">
        <v>0</v>
      </c>
      <c r="O98" s="135">
        <v>0</v>
      </c>
      <c r="P98" s="135">
        <v>0</v>
      </c>
      <c r="Q98" s="135">
        <v>0</v>
      </c>
      <c r="R98" s="135">
        <v>0</v>
      </c>
      <c r="S98" s="135">
        <v>0</v>
      </c>
      <c r="T98" s="135">
        <v>0</v>
      </c>
      <c r="U98" s="135">
        <v>0</v>
      </c>
      <c r="V98" s="135">
        <v>0</v>
      </c>
      <c r="W98" s="135">
        <v>0</v>
      </c>
      <c r="X98" s="135">
        <v>0</v>
      </c>
      <c r="Y98" s="135">
        <v>0</v>
      </c>
      <c r="Z98" s="135">
        <v>0</v>
      </c>
      <c r="AA98" s="135">
        <v>0</v>
      </c>
      <c r="AB98" s="135">
        <v>0</v>
      </c>
      <c r="AC98" s="135">
        <v>0</v>
      </c>
      <c r="AD98" s="135">
        <v>0</v>
      </c>
      <c r="AE98" s="135">
        <v>0</v>
      </c>
      <c r="AF98" s="135">
        <v>0</v>
      </c>
      <c r="AG98" s="135">
        <v>0</v>
      </c>
      <c r="AH98" s="135">
        <v>0</v>
      </c>
      <c r="AI98" s="135">
        <v>0</v>
      </c>
    </row>
    <row r="99" spans="1:35">
      <c r="C99" s="10" t="s">
        <v>318</v>
      </c>
      <c r="D99" s="132">
        <v>0</v>
      </c>
      <c r="E99" s="132">
        <v>0</v>
      </c>
      <c r="F99" s="135">
        <v>0</v>
      </c>
      <c r="G99" s="135">
        <v>0</v>
      </c>
      <c r="H99" s="135">
        <v>0</v>
      </c>
      <c r="I99" s="135">
        <v>0</v>
      </c>
      <c r="J99" s="135">
        <v>0</v>
      </c>
      <c r="K99" s="135">
        <v>0</v>
      </c>
      <c r="L99" s="135">
        <v>0</v>
      </c>
      <c r="M99" s="135">
        <v>0</v>
      </c>
      <c r="N99" s="135">
        <v>0</v>
      </c>
      <c r="O99" s="135">
        <v>0</v>
      </c>
      <c r="P99" s="135">
        <v>0</v>
      </c>
      <c r="Q99" s="135">
        <v>0</v>
      </c>
      <c r="R99" s="135">
        <v>0</v>
      </c>
      <c r="S99" s="135">
        <v>0</v>
      </c>
      <c r="T99" s="135">
        <v>0</v>
      </c>
      <c r="U99" s="135">
        <v>0</v>
      </c>
      <c r="V99" s="135">
        <v>0</v>
      </c>
      <c r="W99" s="135">
        <v>0</v>
      </c>
      <c r="X99" s="135">
        <v>0</v>
      </c>
      <c r="Y99" s="135">
        <v>0</v>
      </c>
      <c r="Z99" s="135">
        <v>0</v>
      </c>
      <c r="AA99" s="135">
        <v>0</v>
      </c>
      <c r="AB99" s="135">
        <v>0</v>
      </c>
      <c r="AC99" s="135">
        <v>0</v>
      </c>
      <c r="AD99" s="135">
        <v>0</v>
      </c>
      <c r="AE99" s="135">
        <v>0</v>
      </c>
      <c r="AF99" s="135">
        <v>0</v>
      </c>
      <c r="AG99" s="135">
        <v>0</v>
      </c>
      <c r="AH99" s="135">
        <v>0</v>
      </c>
      <c r="AI99" s="135">
        <v>0</v>
      </c>
    </row>
    <row r="102" spans="1:35" s="7" customFormat="1">
      <c r="A102" s="6"/>
      <c r="C102" s="6" t="s">
        <v>246</v>
      </c>
    </row>
    <row r="103" spans="1:35">
      <c r="C103" s="36"/>
    </row>
    <row r="104" spans="1:35">
      <c r="C104" s="14" t="s">
        <v>246</v>
      </c>
      <c r="D104" s="14">
        <v>2054</v>
      </c>
    </row>
    <row r="105" spans="1:35">
      <c r="C105" s="4" t="s">
        <v>332</v>
      </c>
      <c r="D105" s="134">
        <v>37400000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5">
        <v>2025</v>
      </c>
      <c r="G112" s="15">
        <v>2026</v>
      </c>
      <c r="H112" s="15">
        <v>2027</v>
      </c>
      <c r="I112" s="15">
        <v>2028</v>
      </c>
      <c r="J112" s="15">
        <v>2029</v>
      </c>
      <c r="K112" s="15">
        <v>2030</v>
      </c>
      <c r="L112" s="15">
        <v>2031</v>
      </c>
      <c r="M112" s="15">
        <v>2032</v>
      </c>
      <c r="N112" s="15">
        <v>2033</v>
      </c>
      <c r="O112" s="15">
        <v>2034</v>
      </c>
      <c r="P112" s="15">
        <v>2035</v>
      </c>
      <c r="Q112" s="15">
        <v>2036</v>
      </c>
      <c r="R112" s="15">
        <v>2037</v>
      </c>
      <c r="S112" s="15">
        <v>2038</v>
      </c>
      <c r="T112" s="15">
        <v>2039</v>
      </c>
      <c r="U112" s="15">
        <v>2040</v>
      </c>
      <c r="V112" s="15">
        <v>2041</v>
      </c>
      <c r="W112" s="15">
        <v>2042</v>
      </c>
      <c r="X112" s="15">
        <v>2043</v>
      </c>
      <c r="Y112" s="15">
        <v>2044</v>
      </c>
      <c r="Z112" s="15">
        <v>2045</v>
      </c>
      <c r="AA112" s="15">
        <v>2046</v>
      </c>
      <c r="AB112" s="15">
        <v>2047</v>
      </c>
      <c r="AC112" s="15">
        <v>2048</v>
      </c>
      <c r="AD112" s="15">
        <v>2049</v>
      </c>
      <c r="AE112" s="15">
        <v>2050</v>
      </c>
      <c r="AF112" s="15">
        <v>2051</v>
      </c>
      <c r="AG112" s="15">
        <v>2052</v>
      </c>
      <c r="AH112" s="15">
        <v>2053</v>
      </c>
      <c r="AI112" s="15">
        <v>2054</v>
      </c>
    </row>
    <row r="113" spans="3:35">
      <c r="C113" s="10" t="s">
        <v>336</v>
      </c>
      <c r="D113" s="132">
        <v>107950000</v>
      </c>
      <c r="E113" s="132">
        <v>107950000</v>
      </c>
      <c r="F113" s="11">
        <v>107950000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row>
    <row r="114" spans="3:35">
      <c r="C114" s="10" t="s">
        <v>301</v>
      </c>
      <c r="D114" s="11">
        <v>1160513.6162707084</v>
      </c>
      <c r="E114" s="11">
        <v>481326.26811971219</v>
      </c>
      <c r="F114" s="11">
        <v>0</v>
      </c>
      <c r="G114" s="11">
        <v>40017.710905886495</v>
      </c>
      <c r="H114" s="11">
        <v>40017.710905886495</v>
      </c>
      <c r="I114" s="11">
        <v>40017.710905886495</v>
      </c>
      <c r="J114" s="11">
        <v>40017.710905886495</v>
      </c>
      <c r="K114" s="11">
        <v>40017.710905886495</v>
      </c>
      <c r="L114" s="11">
        <v>40017.710905886495</v>
      </c>
      <c r="M114" s="11">
        <v>40017.710905886495</v>
      </c>
      <c r="N114" s="11">
        <v>40017.710905886495</v>
      </c>
      <c r="O114" s="11">
        <v>40017.710905886495</v>
      </c>
      <c r="P114" s="11">
        <v>40017.710905886495</v>
      </c>
      <c r="Q114" s="11">
        <v>40017.710905886495</v>
      </c>
      <c r="R114" s="11">
        <v>40017.710905886495</v>
      </c>
      <c r="S114" s="11">
        <v>40017.710905886495</v>
      </c>
      <c r="T114" s="11">
        <v>40017.710905886495</v>
      </c>
      <c r="U114" s="11">
        <v>40017.710905886495</v>
      </c>
      <c r="V114" s="11">
        <v>40017.710905886495</v>
      </c>
      <c r="W114" s="11">
        <v>40017.710905886495</v>
      </c>
      <c r="X114" s="11">
        <v>40017.710905886495</v>
      </c>
      <c r="Y114" s="11">
        <v>40017.710905886495</v>
      </c>
      <c r="Z114" s="11">
        <v>40017.710905886495</v>
      </c>
      <c r="AA114" s="11">
        <v>40017.710905886495</v>
      </c>
      <c r="AB114" s="11">
        <v>40017.710905886495</v>
      </c>
      <c r="AC114" s="11">
        <v>40017.710905886495</v>
      </c>
      <c r="AD114" s="11">
        <v>40017.710905886495</v>
      </c>
      <c r="AE114" s="11">
        <v>40017.710905886495</v>
      </c>
      <c r="AF114" s="11">
        <v>40017.710905886495</v>
      </c>
      <c r="AG114" s="11">
        <v>40017.710905886495</v>
      </c>
      <c r="AH114" s="11">
        <v>40017.710905886495</v>
      </c>
      <c r="AI114" s="11">
        <v>40017.710905886495</v>
      </c>
    </row>
    <row r="115" spans="3:35" ht="14.4">
      <c r="C115" s="23" t="s">
        <v>337</v>
      </c>
      <c r="D115" s="24">
        <v>1160513.6162707084</v>
      </c>
      <c r="E115" s="24">
        <v>481326.26811971219</v>
      </c>
      <c r="F115" s="24">
        <v>0</v>
      </c>
      <c r="G115" s="24">
        <v>40017.710905886495</v>
      </c>
      <c r="H115" s="24">
        <v>40017.710905886495</v>
      </c>
      <c r="I115" s="24">
        <v>40017.710905886495</v>
      </c>
      <c r="J115" s="24">
        <v>40017.710905886495</v>
      </c>
      <c r="K115" s="24">
        <v>40017.710905886495</v>
      </c>
      <c r="L115" s="24">
        <v>40017.710905886495</v>
      </c>
      <c r="M115" s="24">
        <v>40017.710905886495</v>
      </c>
      <c r="N115" s="24">
        <v>40017.710905886495</v>
      </c>
      <c r="O115" s="24">
        <v>40017.710905886495</v>
      </c>
      <c r="P115" s="24">
        <v>40017.710905886495</v>
      </c>
      <c r="Q115" s="24">
        <v>40017.710905886495</v>
      </c>
      <c r="R115" s="24">
        <v>40017.710905886495</v>
      </c>
      <c r="S115" s="24">
        <v>40017.710905886495</v>
      </c>
      <c r="T115" s="24">
        <v>40017.710905886495</v>
      </c>
      <c r="U115" s="24">
        <v>40017.710905886495</v>
      </c>
      <c r="V115" s="24">
        <v>40017.710905886495</v>
      </c>
      <c r="W115" s="24">
        <v>40017.710905886495</v>
      </c>
      <c r="X115" s="24">
        <v>40017.710905886495</v>
      </c>
      <c r="Y115" s="24">
        <v>40017.710905886495</v>
      </c>
      <c r="Z115" s="24">
        <v>40017.710905886495</v>
      </c>
      <c r="AA115" s="24">
        <v>40017.710905886495</v>
      </c>
      <c r="AB115" s="24">
        <v>40017.710905886495</v>
      </c>
      <c r="AC115" s="24">
        <v>40017.710905886495</v>
      </c>
      <c r="AD115" s="24">
        <v>40017.710905886495</v>
      </c>
      <c r="AE115" s="24">
        <v>40017.710905886495</v>
      </c>
      <c r="AF115" s="24">
        <v>40017.710905886495</v>
      </c>
      <c r="AG115" s="24">
        <v>40017.710905886495</v>
      </c>
      <c r="AH115" s="24">
        <v>40017.710905886495</v>
      </c>
      <c r="AI115" s="24">
        <v>40017.710905886495</v>
      </c>
    </row>
    <row r="116" spans="3:35" ht="14.4">
      <c r="C116" s="23" t="s">
        <v>521</v>
      </c>
      <c r="D116" s="24">
        <v>0</v>
      </c>
      <c r="E116" s="24">
        <v>0</v>
      </c>
      <c r="F116" s="24">
        <v>0</v>
      </c>
      <c r="G116" s="24">
        <v>0</v>
      </c>
      <c r="H116" s="24">
        <v>0</v>
      </c>
      <c r="I116" s="24">
        <v>0</v>
      </c>
      <c r="J116" s="24">
        <v>0</v>
      </c>
      <c r="K116" s="24">
        <v>0</v>
      </c>
      <c r="L116" s="24">
        <v>0</v>
      </c>
      <c r="M116" s="24">
        <v>0</v>
      </c>
      <c r="N116" s="24">
        <v>0</v>
      </c>
      <c r="O116" s="24">
        <v>0</v>
      </c>
      <c r="P116" s="24">
        <v>0</v>
      </c>
      <c r="Q116" s="24">
        <v>0</v>
      </c>
      <c r="R116" s="24">
        <v>0</v>
      </c>
      <c r="S116" s="24">
        <v>0</v>
      </c>
      <c r="T116" s="24">
        <v>0</v>
      </c>
      <c r="U116" s="24">
        <v>0</v>
      </c>
      <c r="V116" s="24">
        <v>0</v>
      </c>
      <c r="W116" s="24">
        <v>0</v>
      </c>
      <c r="X116" s="24">
        <v>0</v>
      </c>
      <c r="Y116" s="24">
        <v>0</v>
      </c>
      <c r="Z116" s="24">
        <v>0</v>
      </c>
      <c r="AA116" s="24">
        <v>0</v>
      </c>
      <c r="AB116" s="24">
        <v>0</v>
      </c>
      <c r="AC116" s="24">
        <v>0</v>
      </c>
      <c r="AD116" s="24">
        <v>0</v>
      </c>
      <c r="AE116" s="24">
        <v>0</v>
      </c>
      <c r="AF116" s="24">
        <v>0</v>
      </c>
      <c r="AG116" s="24">
        <v>0</v>
      </c>
      <c r="AH116" s="24">
        <v>0</v>
      </c>
      <c r="AI116" s="24">
        <v>0</v>
      </c>
    </row>
    <row r="117" spans="3:35">
      <c r="C117" s="10" t="s">
        <v>246</v>
      </c>
      <c r="D117" s="11">
        <v>37400000</v>
      </c>
      <c r="E117" s="11">
        <v>4966472.303026963</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37400000</v>
      </c>
    </row>
    <row r="118" spans="3:35">
      <c r="C118" s="20" t="s">
        <v>288</v>
      </c>
      <c r="D118" s="13">
        <v>71710513.616270512</v>
      </c>
      <c r="E118" s="13">
        <v>103464853.96509275</v>
      </c>
      <c r="F118" s="133">
        <v>107950000</v>
      </c>
      <c r="G118" s="133">
        <v>40017.710905886495</v>
      </c>
      <c r="H118" s="133">
        <v>40017.710905886495</v>
      </c>
      <c r="I118" s="133">
        <v>40017.710905886495</v>
      </c>
      <c r="J118" s="133">
        <v>40017.710905886495</v>
      </c>
      <c r="K118" s="133">
        <v>40017.710905886495</v>
      </c>
      <c r="L118" s="133">
        <v>40017.710905886495</v>
      </c>
      <c r="M118" s="133">
        <v>40017.710905886495</v>
      </c>
      <c r="N118" s="133">
        <v>40017.710905886495</v>
      </c>
      <c r="O118" s="133">
        <v>40017.710905886495</v>
      </c>
      <c r="P118" s="133">
        <v>40017.710905886495</v>
      </c>
      <c r="Q118" s="133">
        <v>40017.710905886495</v>
      </c>
      <c r="R118" s="133">
        <v>40017.710905886495</v>
      </c>
      <c r="S118" s="133">
        <v>40017.710905886495</v>
      </c>
      <c r="T118" s="133">
        <v>40017.710905886495</v>
      </c>
      <c r="U118" s="133">
        <v>40017.710905886495</v>
      </c>
      <c r="V118" s="133">
        <v>40017.710905886495</v>
      </c>
      <c r="W118" s="133">
        <v>40017.710905886495</v>
      </c>
      <c r="X118" s="133">
        <v>40017.710905886495</v>
      </c>
      <c r="Y118" s="133">
        <v>40017.710905886495</v>
      </c>
      <c r="Z118" s="133">
        <v>40017.710905886495</v>
      </c>
      <c r="AA118" s="133">
        <v>40017.710905886495</v>
      </c>
      <c r="AB118" s="133">
        <v>40017.710905886495</v>
      </c>
      <c r="AC118" s="133">
        <v>40017.710905886495</v>
      </c>
      <c r="AD118" s="133">
        <v>40017.710905886495</v>
      </c>
      <c r="AE118" s="133">
        <v>40017.710905886495</v>
      </c>
      <c r="AF118" s="133">
        <v>40017.710905886495</v>
      </c>
      <c r="AG118" s="133">
        <v>40017.710905886495</v>
      </c>
      <c r="AH118" s="133">
        <v>40017.710905886495</v>
      </c>
      <c r="AI118" s="133">
        <v>-37359982.289094113</v>
      </c>
    </row>
    <row r="121" spans="3:35">
      <c r="C121" s="39" t="s">
        <v>522</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3" spans="3:35">
      <c r="C123" s="14" t="s">
        <v>344</v>
      </c>
      <c r="D123" s="14" t="s">
        <v>325</v>
      </c>
      <c r="E123" s="14" t="s">
        <v>465</v>
      </c>
      <c r="F123" s="136">
        <v>2025</v>
      </c>
      <c r="G123" s="136">
        <v>2026</v>
      </c>
      <c r="H123" s="136">
        <v>2027</v>
      </c>
      <c r="I123" s="136">
        <v>2028</v>
      </c>
      <c r="J123" s="136">
        <v>2029</v>
      </c>
      <c r="K123" s="136">
        <v>2030</v>
      </c>
      <c r="L123" s="136">
        <v>2031</v>
      </c>
      <c r="M123" s="136">
        <v>2032</v>
      </c>
      <c r="N123" s="136">
        <v>2033</v>
      </c>
      <c r="O123" s="136">
        <v>2034</v>
      </c>
      <c r="P123" s="136">
        <v>2035</v>
      </c>
      <c r="Q123" s="136">
        <v>2036</v>
      </c>
      <c r="R123" s="136">
        <v>2037</v>
      </c>
      <c r="S123" s="136">
        <v>2038</v>
      </c>
      <c r="T123" s="136">
        <v>2039</v>
      </c>
      <c r="U123" s="136">
        <v>2040</v>
      </c>
      <c r="V123" s="136">
        <v>2041</v>
      </c>
      <c r="W123" s="136">
        <v>2042</v>
      </c>
      <c r="X123" s="136">
        <v>2043</v>
      </c>
      <c r="Y123" s="136">
        <v>2044</v>
      </c>
      <c r="Z123" s="136">
        <v>2045</v>
      </c>
      <c r="AA123" s="136">
        <v>2046</v>
      </c>
      <c r="AB123" s="136">
        <v>2047</v>
      </c>
      <c r="AC123" s="136">
        <v>2048</v>
      </c>
      <c r="AD123" s="136">
        <v>2049</v>
      </c>
      <c r="AE123" s="136">
        <v>2050</v>
      </c>
      <c r="AF123" s="136">
        <v>2051</v>
      </c>
      <c r="AG123" s="136">
        <v>2052</v>
      </c>
      <c r="AH123" s="136">
        <v>2053</v>
      </c>
      <c r="AI123" s="136">
        <v>2054</v>
      </c>
    </row>
    <row r="124" spans="3:35">
      <c r="C124" s="26" t="s">
        <v>345</v>
      </c>
      <c r="D124" s="132">
        <v>107950000</v>
      </c>
      <c r="E124" s="132">
        <v>107950000</v>
      </c>
      <c r="F124" s="135">
        <v>107950000</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0</v>
      </c>
      <c r="V124" s="135">
        <v>0</v>
      </c>
      <c r="W124" s="135">
        <v>0</v>
      </c>
      <c r="X124" s="135">
        <v>0</v>
      </c>
      <c r="Y124" s="135">
        <v>0</v>
      </c>
      <c r="Z124" s="135">
        <v>0</v>
      </c>
      <c r="AA124" s="135">
        <v>0</v>
      </c>
      <c r="AB124" s="135">
        <v>0</v>
      </c>
      <c r="AC124" s="135">
        <v>0</v>
      </c>
      <c r="AD124" s="135">
        <v>0</v>
      </c>
      <c r="AE124" s="135">
        <v>0</v>
      </c>
      <c r="AF124" s="135">
        <v>0</v>
      </c>
      <c r="AG124" s="135">
        <v>0</v>
      </c>
      <c r="AH124" s="135">
        <v>0</v>
      </c>
      <c r="AI124" s="135">
        <v>0</v>
      </c>
    </row>
    <row r="125" spans="3:35">
      <c r="C125" s="26" t="s">
        <v>346</v>
      </c>
      <c r="D125" s="11">
        <v>1160513.6162707084</v>
      </c>
      <c r="E125" s="11">
        <v>481326.26811971219</v>
      </c>
      <c r="F125" s="16">
        <v>0</v>
      </c>
      <c r="G125" s="16">
        <v>40017.710905886495</v>
      </c>
      <c r="H125" s="16">
        <v>40017.710905886495</v>
      </c>
      <c r="I125" s="16">
        <v>40017.710905886495</v>
      </c>
      <c r="J125" s="16">
        <v>40017.710905886495</v>
      </c>
      <c r="K125" s="16">
        <v>40017.710905886495</v>
      </c>
      <c r="L125" s="16">
        <v>40017.710905886495</v>
      </c>
      <c r="M125" s="16">
        <v>40017.710905886495</v>
      </c>
      <c r="N125" s="16">
        <v>40017.710905886495</v>
      </c>
      <c r="O125" s="16">
        <v>40017.710905886495</v>
      </c>
      <c r="P125" s="16">
        <v>40017.710905886495</v>
      </c>
      <c r="Q125" s="16">
        <v>40017.710905886495</v>
      </c>
      <c r="R125" s="16">
        <v>40017.710905886495</v>
      </c>
      <c r="S125" s="16">
        <v>40017.710905886495</v>
      </c>
      <c r="T125" s="16">
        <v>40017.710905886495</v>
      </c>
      <c r="U125" s="16">
        <v>40017.710905886495</v>
      </c>
      <c r="V125" s="16">
        <v>40017.710905886495</v>
      </c>
      <c r="W125" s="16">
        <v>40017.710905886495</v>
      </c>
      <c r="X125" s="16">
        <v>40017.710905886495</v>
      </c>
      <c r="Y125" s="16">
        <v>40017.710905886495</v>
      </c>
      <c r="Z125" s="16">
        <v>40017.710905886495</v>
      </c>
      <c r="AA125" s="16">
        <v>40017.710905886495</v>
      </c>
      <c r="AB125" s="16">
        <v>40017.710905886495</v>
      </c>
      <c r="AC125" s="16">
        <v>40017.710905886495</v>
      </c>
      <c r="AD125" s="16">
        <v>40017.710905886495</v>
      </c>
      <c r="AE125" s="16">
        <v>40017.710905886495</v>
      </c>
      <c r="AF125" s="16">
        <v>40017.710905886495</v>
      </c>
      <c r="AG125" s="16">
        <v>40017.710905886495</v>
      </c>
      <c r="AH125" s="16">
        <v>40017.710905886495</v>
      </c>
      <c r="AI125" s="16">
        <v>40017.710905886495</v>
      </c>
    </row>
    <row r="126" spans="3:35">
      <c r="C126" s="26" t="s">
        <v>349</v>
      </c>
      <c r="D126" s="11">
        <v>109110513.61627051</v>
      </c>
      <c r="E126" s="11">
        <v>108431326.26811971</v>
      </c>
      <c r="F126" s="16">
        <v>107950000</v>
      </c>
      <c r="G126" s="16">
        <v>40017.710905886495</v>
      </c>
      <c r="H126" s="16">
        <v>40017.710905886495</v>
      </c>
      <c r="I126" s="16">
        <v>40017.710905886495</v>
      </c>
      <c r="J126" s="16">
        <v>40017.710905886495</v>
      </c>
      <c r="K126" s="16">
        <v>40017.710905886495</v>
      </c>
      <c r="L126" s="16">
        <v>40017.710905886495</v>
      </c>
      <c r="M126" s="16">
        <v>40017.710905886495</v>
      </c>
      <c r="N126" s="16">
        <v>40017.710905886495</v>
      </c>
      <c r="O126" s="16">
        <v>40017.710905886495</v>
      </c>
      <c r="P126" s="16">
        <v>40017.710905886495</v>
      </c>
      <c r="Q126" s="16">
        <v>40017.710905886495</v>
      </c>
      <c r="R126" s="16">
        <v>40017.710905886495</v>
      </c>
      <c r="S126" s="16">
        <v>40017.710905886495</v>
      </c>
      <c r="T126" s="16">
        <v>40017.710905886495</v>
      </c>
      <c r="U126" s="16">
        <v>40017.710905886495</v>
      </c>
      <c r="V126" s="16">
        <v>40017.710905886495</v>
      </c>
      <c r="W126" s="16">
        <v>40017.710905886495</v>
      </c>
      <c r="X126" s="16">
        <v>40017.710905886495</v>
      </c>
      <c r="Y126" s="16">
        <v>40017.710905886495</v>
      </c>
      <c r="Z126" s="16">
        <v>40017.710905886495</v>
      </c>
      <c r="AA126" s="16">
        <v>40017.710905886495</v>
      </c>
      <c r="AB126" s="16">
        <v>40017.710905886495</v>
      </c>
      <c r="AC126" s="16">
        <v>40017.710905886495</v>
      </c>
      <c r="AD126" s="16">
        <v>40017.710905886495</v>
      </c>
      <c r="AE126" s="16">
        <v>40017.710905886495</v>
      </c>
      <c r="AF126" s="16">
        <v>40017.710905886495</v>
      </c>
      <c r="AG126" s="16">
        <v>40017.710905886495</v>
      </c>
      <c r="AH126" s="16">
        <v>40017.710905886495</v>
      </c>
      <c r="AI126" s="16">
        <v>40017.710905886495</v>
      </c>
    </row>
    <row r="127" spans="3:35">
      <c r="C127" s="26" t="s">
        <v>350</v>
      </c>
      <c r="D127" s="11">
        <v>7736060.9559148923</v>
      </c>
      <c r="E127" s="11">
        <v>3208552.9179939828</v>
      </c>
      <c r="F127" s="16">
        <v>0</v>
      </c>
      <c r="G127" s="16">
        <v>266760.722617755</v>
      </c>
      <c r="H127" s="16">
        <v>266760.722617755</v>
      </c>
      <c r="I127" s="16">
        <v>266760.722617755</v>
      </c>
      <c r="J127" s="16">
        <v>266760.722617755</v>
      </c>
      <c r="K127" s="16">
        <v>266760.722617755</v>
      </c>
      <c r="L127" s="16">
        <v>266760.722617755</v>
      </c>
      <c r="M127" s="16">
        <v>266760.722617755</v>
      </c>
      <c r="N127" s="16">
        <v>266760.722617755</v>
      </c>
      <c r="O127" s="16">
        <v>266760.722617755</v>
      </c>
      <c r="P127" s="16">
        <v>266760.722617755</v>
      </c>
      <c r="Q127" s="16">
        <v>266760.722617755</v>
      </c>
      <c r="R127" s="16">
        <v>266760.722617755</v>
      </c>
      <c r="S127" s="16">
        <v>266760.722617755</v>
      </c>
      <c r="T127" s="16">
        <v>266760.722617755</v>
      </c>
      <c r="U127" s="16">
        <v>266760.722617755</v>
      </c>
      <c r="V127" s="16">
        <v>266760.722617755</v>
      </c>
      <c r="W127" s="16">
        <v>266760.722617755</v>
      </c>
      <c r="X127" s="16">
        <v>266760.722617755</v>
      </c>
      <c r="Y127" s="16">
        <v>266760.722617755</v>
      </c>
      <c r="Z127" s="16">
        <v>266760.722617755</v>
      </c>
      <c r="AA127" s="16">
        <v>266760.722617755</v>
      </c>
      <c r="AB127" s="16">
        <v>266760.722617755</v>
      </c>
      <c r="AC127" s="16">
        <v>266760.722617755</v>
      </c>
      <c r="AD127" s="16">
        <v>266760.722617755</v>
      </c>
      <c r="AE127" s="16">
        <v>266760.722617755</v>
      </c>
      <c r="AF127" s="16">
        <v>266760.722617755</v>
      </c>
      <c r="AG127" s="16">
        <v>266760.722617755</v>
      </c>
      <c r="AH127" s="16">
        <v>266760.722617755</v>
      </c>
      <c r="AI127" s="16">
        <v>266760.722617755</v>
      </c>
    </row>
    <row r="128" spans="3:35">
      <c r="C128" s="26" t="s">
        <v>351</v>
      </c>
      <c r="D128" s="11">
        <v>7736060.9559148923</v>
      </c>
      <c r="E128" s="11">
        <v>3208552.9179939828</v>
      </c>
      <c r="F128" s="16">
        <v>0</v>
      </c>
      <c r="G128" s="16">
        <v>266760.722617755</v>
      </c>
      <c r="H128" s="16">
        <v>266760.722617755</v>
      </c>
      <c r="I128" s="16">
        <v>266760.722617755</v>
      </c>
      <c r="J128" s="16">
        <v>266760.722617755</v>
      </c>
      <c r="K128" s="16">
        <v>266760.722617755</v>
      </c>
      <c r="L128" s="16">
        <v>266760.722617755</v>
      </c>
      <c r="M128" s="16">
        <v>266760.722617755</v>
      </c>
      <c r="N128" s="16">
        <v>266760.722617755</v>
      </c>
      <c r="O128" s="16">
        <v>266760.722617755</v>
      </c>
      <c r="P128" s="16">
        <v>266760.722617755</v>
      </c>
      <c r="Q128" s="16">
        <v>266760.722617755</v>
      </c>
      <c r="R128" s="16">
        <v>266760.722617755</v>
      </c>
      <c r="S128" s="16">
        <v>266760.722617755</v>
      </c>
      <c r="T128" s="16">
        <v>266760.722617755</v>
      </c>
      <c r="U128" s="16">
        <v>266760.722617755</v>
      </c>
      <c r="V128" s="16">
        <v>266760.722617755</v>
      </c>
      <c r="W128" s="16">
        <v>266760.722617755</v>
      </c>
      <c r="X128" s="16">
        <v>266760.722617755</v>
      </c>
      <c r="Y128" s="16">
        <v>266760.722617755</v>
      </c>
      <c r="Z128" s="16">
        <v>266760.722617755</v>
      </c>
      <c r="AA128" s="16">
        <v>266760.722617755</v>
      </c>
      <c r="AB128" s="16">
        <v>266760.722617755</v>
      </c>
      <c r="AC128" s="16">
        <v>266760.722617755</v>
      </c>
      <c r="AD128" s="16">
        <v>266760.722617755</v>
      </c>
      <c r="AE128" s="16">
        <v>266760.722617755</v>
      </c>
      <c r="AF128" s="16">
        <v>266760.722617755</v>
      </c>
      <c r="AG128" s="16">
        <v>266760.722617755</v>
      </c>
      <c r="AH128" s="16">
        <v>266760.722617755</v>
      </c>
      <c r="AI128" s="16">
        <v>266760.722617755</v>
      </c>
    </row>
    <row r="129" spans="3:35">
      <c r="C129" s="26" t="s">
        <v>352</v>
      </c>
      <c r="D129" s="11">
        <v>37400000</v>
      </c>
      <c r="E129" s="11">
        <v>4966472.303026963</v>
      </c>
      <c r="F129" s="135">
        <v>0</v>
      </c>
      <c r="G129" s="135">
        <v>0</v>
      </c>
      <c r="H129" s="135">
        <v>0</v>
      </c>
      <c r="I129" s="135">
        <v>0</v>
      </c>
      <c r="J129" s="135">
        <v>0</v>
      </c>
      <c r="K129" s="135">
        <v>0</v>
      </c>
      <c r="L129" s="135">
        <v>0</v>
      </c>
      <c r="M129" s="135">
        <v>0</v>
      </c>
      <c r="N129" s="135">
        <v>0</v>
      </c>
      <c r="O129" s="135">
        <v>0</v>
      </c>
      <c r="P129" s="135">
        <v>0</v>
      </c>
      <c r="Q129" s="135">
        <v>0</v>
      </c>
      <c r="R129" s="135">
        <v>0</v>
      </c>
      <c r="S129" s="135">
        <v>0</v>
      </c>
      <c r="T129" s="135">
        <v>0</v>
      </c>
      <c r="U129" s="135">
        <v>0</v>
      </c>
      <c r="V129" s="135">
        <v>0</v>
      </c>
      <c r="W129" s="135">
        <v>0</v>
      </c>
      <c r="X129" s="135">
        <v>0</v>
      </c>
      <c r="Y129" s="135">
        <v>0</v>
      </c>
      <c r="Z129" s="135">
        <v>0</v>
      </c>
      <c r="AA129" s="135">
        <v>0</v>
      </c>
      <c r="AB129" s="135">
        <v>0</v>
      </c>
      <c r="AC129" s="135">
        <v>0</v>
      </c>
      <c r="AD129" s="135">
        <v>0</v>
      </c>
      <c r="AE129" s="135">
        <v>0</v>
      </c>
      <c r="AF129" s="135">
        <v>0</v>
      </c>
      <c r="AG129" s="135">
        <v>0</v>
      </c>
      <c r="AH129" s="135">
        <v>0</v>
      </c>
      <c r="AI129" s="135">
        <v>37400000</v>
      </c>
    </row>
    <row r="130" spans="3:35">
      <c r="C130" s="27" t="s">
        <v>353</v>
      </c>
      <c r="D130" s="132">
        <v>-63974452.660355896</v>
      </c>
      <c r="E130" s="133">
        <v>-100256301.04709877</v>
      </c>
      <c r="F130" s="135">
        <v>-107950000</v>
      </c>
      <c r="G130" s="135">
        <v>226743.01171186852</v>
      </c>
      <c r="H130" s="135">
        <v>226743.01171186852</v>
      </c>
      <c r="I130" s="135">
        <v>226743.01171186852</v>
      </c>
      <c r="J130" s="135">
        <v>226743.01171186852</v>
      </c>
      <c r="K130" s="135">
        <v>226743.01171186852</v>
      </c>
      <c r="L130" s="135">
        <v>226743.01171186852</v>
      </c>
      <c r="M130" s="135">
        <v>226743.01171186852</v>
      </c>
      <c r="N130" s="135">
        <v>226743.01171186852</v>
      </c>
      <c r="O130" s="135">
        <v>226743.01171186852</v>
      </c>
      <c r="P130" s="135">
        <v>226743.01171186852</v>
      </c>
      <c r="Q130" s="135">
        <v>226743.01171186852</v>
      </c>
      <c r="R130" s="135">
        <v>226743.01171186852</v>
      </c>
      <c r="S130" s="135">
        <v>226743.01171186852</v>
      </c>
      <c r="T130" s="135">
        <v>226743.01171186852</v>
      </c>
      <c r="U130" s="135">
        <v>226743.01171186852</v>
      </c>
      <c r="V130" s="135">
        <v>226743.01171186852</v>
      </c>
      <c r="W130" s="135">
        <v>226743.01171186852</v>
      </c>
      <c r="X130" s="135">
        <v>226743.01171186852</v>
      </c>
      <c r="Y130" s="135">
        <v>226743.01171186852</v>
      </c>
      <c r="Z130" s="135">
        <v>226743.01171186852</v>
      </c>
      <c r="AA130" s="135">
        <v>226743.01171186852</v>
      </c>
      <c r="AB130" s="135">
        <v>226743.01171186852</v>
      </c>
      <c r="AC130" s="135">
        <v>226743.01171186852</v>
      </c>
      <c r="AD130" s="135">
        <v>226743.01171186852</v>
      </c>
      <c r="AE130" s="135">
        <v>226743.01171186852</v>
      </c>
      <c r="AF130" s="135">
        <v>226743.01171186852</v>
      </c>
      <c r="AG130" s="135">
        <v>226743.01171186852</v>
      </c>
      <c r="AH130" s="135">
        <v>226743.01171186852</v>
      </c>
      <c r="AI130" s="135">
        <v>37626743.011711866</v>
      </c>
    </row>
    <row r="131" spans="3:35">
      <c r="C131" s="26" t="s">
        <v>354</v>
      </c>
      <c r="D131" s="142">
        <v>-100256301.04709877</v>
      </c>
      <c r="E131" s="147"/>
    </row>
    <row r="132" spans="3:35">
      <c r="C132" s="26" t="s">
        <v>355</v>
      </c>
      <c r="D132" s="29">
        <v>-3.2256275418031888E-2</v>
      </c>
    </row>
    <row r="135" spans="3:35">
      <c r="C135" s="39" t="s">
        <v>523</v>
      </c>
    </row>
    <row r="137" spans="3:35">
      <c r="C137" s="14" t="s">
        <v>335</v>
      </c>
      <c r="D137" s="14" t="s">
        <v>524</v>
      </c>
      <c r="E137" s="14" t="s">
        <v>514</v>
      </c>
      <c r="F137" s="14" t="s">
        <v>525</v>
      </c>
    </row>
    <row r="138" spans="3:35">
      <c r="C138" s="30" t="s">
        <v>530</v>
      </c>
      <c r="D138" s="29" t="s">
        <v>563</v>
      </c>
      <c r="E138" s="11">
        <v>107950000</v>
      </c>
      <c r="F138" s="132">
        <v>269875</v>
      </c>
    </row>
    <row r="139" spans="3:35">
      <c r="C139" s="30" t="s">
        <v>541</v>
      </c>
      <c r="D139" s="31"/>
      <c r="E139" s="11">
        <v>0</v>
      </c>
      <c r="F139" s="132">
        <v>0</v>
      </c>
    </row>
    <row r="140" spans="3:35">
      <c r="C140" s="30" t="s">
        <v>542</v>
      </c>
      <c r="D140" s="138">
        <v>0.7</v>
      </c>
      <c r="E140" s="31"/>
      <c r="F140" s="31"/>
    </row>
    <row r="141" spans="3:35">
      <c r="C141" s="30" t="s">
        <v>543</v>
      </c>
      <c r="D141" s="32">
        <v>0.7</v>
      </c>
      <c r="E141" s="11">
        <v>75565000</v>
      </c>
      <c r="F141" s="132">
        <v>188912.5</v>
      </c>
    </row>
    <row r="142" spans="3:35">
      <c r="C142" s="30" t="s">
        <v>118</v>
      </c>
      <c r="D142" s="138">
        <v>0.83</v>
      </c>
      <c r="E142" s="31"/>
      <c r="F142" s="31"/>
    </row>
    <row r="143" spans="3:35">
      <c r="C143" s="30" t="s">
        <v>119</v>
      </c>
      <c r="D143" s="138">
        <v>0.17000000000000004</v>
      </c>
      <c r="E143" s="31"/>
      <c r="F143" s="31"/>
    </row>
    <row r="144" spans="3:35">
      <c r="C144" s="30" t="s">
        <v>533</v>
      </c>
      <c r="D144" s="141"/>
      <c r="E144" s="132">
        <v>62718950</v>
      </c>
      <c r="F144" s="132">
        <v>156797.375</v>
      </c>
    </row>
    <row r="145" spans="3:35">
      <c r="C145" s="30" t="s">
        <v>534</v>
      </c>
      <c r="D145" s="141"/>
      <c r="E145" s="132">
        <v>12846050.000000004</v>
      </c>
      <c r="F145" s="132">
        <v>32115.125000000011</v>
      </c>
    </row>
    <row r="146" spans="3:35">
      <c r="C146" s="30" t="s">
        <v>544</v>
      </c>
      <c r="D146" s="141"/>
      <c r="E146" s="11">
        <v>32385000</v>
      </c>
      <c r="F146" s="132">
        <v>80962.5</v>
      </c>
    </row>
    <row r="147" spans="3:35">
      <c r="C147" s="30" t="s">
        <v>536</v>
      </c>
      <c r="D147" s="141"/>
      <c r="E147" s="11">
        <v>45231050</v>
      </c>
      <c r="F147" s="132">
        <v>113077.625</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36">
        <v>2025</v>
      </c>
      <c r="E153" s="136">
        <v>2026</v>
      </c>
      <c r="F153" s="136">
        <v>2027</v>
      </c>
      <c r="G153" s="136">
        <v>2028</v>
      </c>
      <c r="H153" s="136">
        <v>2029</v>
      </c>
      <c r="I153" s="136">
        <v>2030</v>
      </c>
      <c r="J153" s="136">
        <v>2031</v>
      </c>
      <c r="K153" s="136">
        <v>2032</v>
      </c>
      <c r="L153" s="136">
        <v>2033</v>
      </c>
      <c r="M153" s="136">
        <v>2034</v>
      </c>
      <c r="N153" s="136">
        <v>2035</v>
      </c>
      <c r="O153" s="136">
        <v>2036</v>
      </c>
      <c r="P153" s="136">
        <v>2037</v>
      </c>
      <c r="Q153" s="136">
        <v>2038</v>
      </c>
      <c r="R153" s="136">
        <v>2039</v>
      </c>
      <c r="S153" s="136">
        <v>2040</v>
      </c>
      <c r="T153" s="136">
        <v>2041</v>
      </c>
      <c r="U153" s="136">
        <v>2042</v>
      </c>
      <c r="V153" s="136">
        <v>2043</v>
      </c>
      <c r="W153" s="136">
        <v>2044</v>
      </c>
      <c r="X153" s="136">
        <v>2045</v>
      </c>
      <c r="Y153" s="136">
        <v>2046</v>
      </c>
      <c r="Z153" s="136">
        <v>2047</v>
      </c>
      <c r="AA153" s="136">
        <v>2048</v>
      </c>
      <c r="AB153" s="136">
        <v>2049</v>
      </c>
      <c r="AC153" s="136">
        <v>2050</v>
      </c>
      <c r="AD153" s="136">
        <v>2051</v>
      </c>
      <c r="AE153" s="136">
        <v>2052</v>
      </c>
      <c r="AF153" s="136">
        <v>2053</v>
      </c>
      <c r="AG153" s="136">
        <v>2054</v>
      </c>
    </row>
    <row r="154" spans="3:35">
      <c r="C154" s="163" t="s">
        <v>379</v>
      </c>
      <c r="D154" s="164">
        <v>107950000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40017.710905886495</v>
      </c>
      <c r="F155" s="164">
        <v>40017.710905886495</v>
      </c>
      <c r="G155" s="164">
        <v>40017.710905886495</v>
      </c>
      <c r="H155" s="164">
        <v>40017.710905886495</v>
      </c>
      <c r="I155" s="164">
        <v>40017.710905886495</v>
      </c>
      <c r="J155" s="164">
        <v>40017.710905886495</v>
      </c>
      <c r="K155" s="164">
        <v>40017.710905886495</v>
      </c>
      <c r="L155" s="164">
        <v>40017.710905886495</v>
      </c>
      <c r="M155" s="164">
        <v>40017.710905886495</v>
      </c>
      <c r="N155" s="164">
        <v>40017.710905886495</v>
      </c>
      <c r="O155" s="164">
        <v>40017.710905886495</v>
      </c>
      <c r="P155" s="164">
        <v>40017.710905886495</v>
      </c>
      <c r="Q155" s="164">
        <v>40017.710905886495</v>
      </c>
      <c r="R155" s="164">
        <v>40017.710905886495</v>
      </c>
      <c r="S155" s="164">
        <v>40017.710905886495</v>
      </c>
      <c r="T155" s="164">
        <v>40017.710905886495</v>
      </c>
      <c r="U155" s="164">
        <v>40017.710905886495</v>
      </c>
      <c r="V155" s="164">
        <v>40017.710905886495</v>
      </c>
      <c r="W155" s="164">
        <v>40017.710905886495</v>
      </c>
      <c r="X155" s="164">
        <v>40017.710905886495</v>
      </c>
      <c r="Y155" s="164">
        <v>40017.710905886495</v>
      </c>
      <c r="Z155" s="164">
        <v>40017.710905886495</v>
      </c>
      <c r="AA155" s="164">
        <v>40017.710905886495</v>
      </c>
      <c r="AB155" s="164">
        <v>40017.710905886495</v>
      </c>
      <c r="AC155" s="164">
        <v>40017.710905886495</v>
      </c>
      <c r="AD155" s="164">
        <v>40017.710905886495</v>
      </c>
      <c r="AE155" s="164">
        <v>40017.710905886495</v>
      </c>
      <c r="AF155" s="164">
        <v>40017.710905886495</v>
      </c>
      <c r="AG155" s="164">
        <v>40017.710905886495</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107950000</v>
      </c>
      <c r="E159" s="162">
        <v>40017.710905886495</v>
      </c>
      <c r="F159" s="162">
        <v>40017.710905886495</v>
      </c>
      <c r="G159" s="162">
        <v>40017.710905886495</v>
      </c>
      <c r="H159" s="162">
        <v>40017.710905886495</v>
      </c>
      <c r="I159" s="162">
        <v>40017.710905886495</v>
      </c>
      <c r="J159" s="162">
        <v>40017.710905886495</v>
      </c>
      <c r="K159" s="162">
        <v>40017.710905886495</v>
      </c>
      <c r="L159" s="162">
        <v>40017.710905886495</v>
      </c>
      <c r="M159" s="162">
        <v>40017.710905886495</v>
      </c>
      <c r="N159" s="162">
        <v>40017.710905886495</v>
      </c>
      <c r="O159" s="162">
        <v>40017.710905886495</v>
      </c>
      <c r="P159" s="162">
        <v>40017.710905886495</v>
      </c>
      <c r="Q159" s="162">
        <v>40017.710905886495</v>
      </c>
      <c r="R159" s="162">
        <v>40017.710905886495</v>
      </c>
      <c r="S159" s="162">
        <v>40017.710905886495</v>
      </c>
      <c r="T159" s="162">
        <v>40017.710905886495</v>
      </c>
      <c r="U159" s="162">
        <v>40017.710905886495</v>
      </c>
      <c r="V159" s="162">
        <v>40017.710905886495</v>
      </c>
      <c r="W159" s="162">
        <v>40017.710905886495</v>
      </c>
      <c r="X159" s="162">
        <v>40017.710905886495</v>
      </c>
      <c r="Y159" s="162">
        <v>40017.710905886495</v>
      </c>
      <c r="Z159" s="162">
        <v>40017.710905886495</v>
      </c>
      <c r="AA159" s="162">
        <v>40017.710905886495</v>
      </c>
      <c r="AB159" s="162">
        <v>40017.710905886495</v>
      </c>
      <c r="AC159" s="162">
        <v>40017.710905886495</v>
      </c>
      <c r="AD159" s="162">
        <v>40017.710905886495</v>
      </c>
      <c r="AE159" s="162">
        <v>40017.710905886495</v>
      </c>
      <c r="AF159" s="162">
        <v>40017.710905886495</v>
      </c>
      <c r="AG159" s="162">
        <v>40017.710905886495</v>
      </c>
      <c r="AH159" s="3"/>
      <c r="AI159" s="3"/>
    </row>
    <row r="160" spans="3:35">
      <c r="C160" s="163" t="s">
        <v>385</v>
      </c>
      <c r="D160" s="164">
        <v>0</v>
      </c>
      <c r="E160" s="164">
        <v>266760.722617755</v>
      </c>
      <c r="F160" s="164">
        <v>266760.722617755</v>
      </c>
      <c r="G160" s="164">
        <v>266760.722617755</v>
      </c>
      <c r="H160" s="164">
        <v>266760.722617755</v>
      </c>
      <c r="I160" s="164">
        <v>266760.722617755</v>
      </c>
      <c r="J160" s="164">
        <v>266760.722617755</v>
      </c>
      <c r="K160" s="164">
        <v>266760.722617755</v>
      </c>
      <c r="L160" s="164">
        <v>266760.722617755</v>
      </c>
      <c r="M160" s="164">
        <v>266760.722617755</v>
      </c>
      <c r="N160" s="164">
        <v>266760.722617755</v>
      </c>
      <c r="O160" s="164">
        <v>266760.722617755</v>
      </c>
      <c r="P160" s="164">
        <v>266760.722617755</v>
      </c>
      <c r="Q160" s="164">
        <v>266760.722617755</v>
      </c>
      <c r="R160" s="164">
        <v>266760.722617755</v>
      </c>
      <c r="S160" s="164">
        <v>266760.722617755</v>
      </c>
      <c r="T160" s="164">
        <v>266760.722617755</v>
      </c>
      <c r="U160" s="164">
        <v>266760.722617755</v>
      </c>
      <c r="V160" s="164">
        <v>266760.722617755</v>
      </c>
      <c r="W160" s="164">
        <v>266760.722617755</v>
      </c>
      <c r="X160" s="164">
        <v>266760.722617755</v>
      </c>
      <c r="Y160" s="164">
        <v>266760.722617755</v>
      </c>
      <c r="Z160" s="164">
        <v>266760.722617755</v>
      </c>
      <c r="AA160" s="164">
        <v>266760.722617755</v>
      </c>
      <c r="AB160" s="164">
        <v>266760.722617755</v>
      </c>
      <c r="AC160" s="164">
        <v>266760.722617755</v>
      </c>
      <c r="AD160" s="164">
        <v>266760.722617755</v>
      </c>
      <c r="AE160" s="164">
        <v>266760.722617755</v>
      </c>
      <c r="AF160" s="164">
        <v>266760.722617755</v>
      </c>
      <c r="AG160" s="164">
        <v>266760.722617755</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62718950</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45231050</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37400000</v>
      </c>
      <c r="AH163" s="3"/>
      <c r="AI163" s="3"/>
    </row>
    <row r="164" spans="3:35">
      <c r="C164" s="163" t="s">
        <v>389</v>
      </c>
      <c r="D164" s="164">
        <v>45231050</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37400000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37400000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37400000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107950000</v>
      </c>
      <c r="E171" s="162">
        <v>266760.722617755</v>
      </c>
      <c r="F171" s="162">
        <v>266760.722617755</v>
      </c>
      <c r="G171" s="162">
        <v>266760.722617755</v>
      </c>
      <c r="H171" s="162">
        <v>266760.722617755</v>
      </c>
      <c r="I171" s="162">
        <v>266760.722617755</v>
      </c>
      <c r="J171" s="162">
        <v>266760.722617755</v>
      </c>
      <c r="K171" s="162">
        <v>266760.722617755</v>
      </c>
      <c r="L171" s="162">
        <v>266760.722617755</v>
      </c>
      <c r="M171" s="162">
        <v>266760.722617755</v>
      </c>
      <c r="N171" s="162">
        <v>266760.722617755</v>
      </c>
      <c r="O171" s="162">
        <v>266760.722617755</v>
      </c>
      <c r="P171" s="162">
        <v>266760.722617755</v>
      </c>
      <c r="Q171" s="162">
        <v>266760.722617755</v>
      </c>
      <c r="R171" s="162">
        <v>266760.722617755</v>
      </c>
      <c r="S171" s="162">
        <v>266760.722617755</v>
      </c>
      <c r="T171" s="162">
        <v>266760.722617755</v>
      </c>
      <c r="U171" s="162">
        <v>266760.722617755</v>
      </c>
      <c r="V171" s="162">
        <v>266760.722617755</v>
      </c>
      <c r="W171" s="162">
        <v>266760.722617755</v>
      </c>
      <c r="X171" s="162">
        <v>266760.722617755</v>
      </c>
      <c r="Y171" s="162">
        <v>266760.722617755</v>
      </c>
      <c r="Z171" s="162">
        <v>266760.722617755</v>
      </c>
      <c r="AA171" s="162">
        <v>266760.722617755</v>
      </c>
      <c r="AB171" s="162">
        <v>266760.722617755</v>
      </c>
      <c r="AC171" s="162">
        <v>266760.722617755</v>
      </c>
      <c r="AD171" s="162">
        <v>266760.722617755</v>
      </c>
      <c r="AE171" s="162">
        <v>266760.722617755</v>
      </c>
      <c r="AF171" s="162">
        <v>266760.722617755</v>
      </c>
      <c r="AG171" s="162">
        <v>37666760.722617753</v>
      </c>
      <c r="AH171" s="3"/>
      <c r="AI171" s="3"/>
    </row>
    <row r="172" spans="3:35">
      <c r="C172" s="165" t="s">
        <v>397</v>
      </c>
      <c r="D172" s="162">
        <v>0</v>
      </c>
      <c r="E172" s="162">
        <v>226743.01171186852</v>
      </c>
      <c r="F172" s="162">
        <v>226743.01171186852</v>
      </c>
      <c r="G172" s="162">
        <v>226743.01171186852</v>
      </c>
      <c r="H172" s="162">
        <v>226743.01171186852</v>
      </c>
      <c r="I172" s="162">
        <v>226743.01171186852</v>
      </c>
      <c r="J172" s="162">
        <v>226743.01171186852</v>
      </c>
      <c r="K172" s="162">
        <v>226743.01171186852</v>
      </c>
      <c r="L172" s="162">
        <v>226743.01171186852</v>
      </c>
      <c r="M172" s="162">
        <v>226743.01171186852</v>
      </c>
      <c r="N172" s="162">
        <v>226743.01171186852</v>
      </c>
      <c r="O172" s="162">
        <v>226743.01171186852</v>
      </c>
      <c r="P172" s="162">
        <v>226743.01171186852</v>
      </c>
      <c r="Q172" s="162">
        <v>226743.01171186852</v>
      </c>
      <c r="R172" s="162">
        <v>226743.01171186852</v>
      </c>
      <c r="S172" s="162">
        <v>226743.01171186852</v>
      </c>
      <c r="T172" s="162">
        <v>226743.01171186852</v>
      </c>
      <c r="U172" s="162">
        <v>226743.01171186852</v>
      </c>
      <c r="V172" s="162">
        <v>226743.01171186852</v>
      </c>
      <c r="W172" s="162">
        <v>226743.01171186852</v>
      </c>
      <c r="X172" s="162">
        <v>226743.01171186852</v>
      </c>
      <c r="Y172" s="162">
        <v>226743.01171186852</v>
      </c>
      <c r="Z172" s="162">
        <v>226743.01171186852</v>
      </c>
      <c r="AA172" s="162">
        <v>226743.01171186852</v>
      </c>
      <c r="AB172" s="162">
        <v>226743.01171186852</v>
      </c>
      <c r="AC172" s="162">
        <v>226743.01171186852</v>
      </c>
      <c r="AD172" s="162">
        <v>226743.01171186852</v>
      </c>
      <c r="AE172" s="162">
        <v>226743.01171186852</v>
      </c>
      <c r="AF172" s="162">
        <v>226743.01171186852</v>
      </c>
      <c r="AG172" s="162">
        <v>37626743.011711866</v>
      </c>
      <c r="AH172" s="3"/>
      <c r="AI172" s="3"/>
    </row>
    <row r="173" spans="3:35">
      <c r="C173" s="165" t="s">
        <v>398</v>
      </c>
      <c r="D173" s="162">
        <v>0</v>
      </c>
      <c r="E173" s="162">
        <v>226743.01171186852</v>
      </c>
      <c r="F173" s="162">
        <v>453486.02342373703</v>
      </c>
      <c r="G173" s="162">
        <v>680229.03513560561</v>
      </c>
      <c r="H173" s="162">
        <v>906972.04684747406</v>
      </c>
      <c r="I173" s="162">
        <v>1133715.0585593425</v>
      </c>
      <c r="J173" s="162">
        <v>1360458.070271211</v>
      </c>
      <c r="K173" s="162">
        <v>1587201.0819830794</v>
      </c>
      <c r="L173" s="162">
        <v>1813944.0936949479</v>
      </c>
      <c r="M173" s="162">
        <v>2040687.1054068164</v>
      </c>
      <c r="N173" s="162">
        <v>2267430.117118685</v>
      </c>
      <c r="O173" s="162">
        <v>2494173.1288305535</v>
      </c>
      <c r="P173" s="162">
        <v>2720916.140542422</v>
      </c>
      <c r="Q173" s="162">
        <v>2947659.1522542904</v>
      </c>
      <c r="R173" s="162">
        <v>3174402.1639661589</v>
      </c>
      <c r="S173" s="162">
        <v>3401145.1756780273</v>
      </c>
      <c r="T173" s="162">
        <v>3627888.1873898958</v>
      </c>
      <c r="U173" s="162">
        <v>3854631.1991017642</v>
      </c>
      <c r="V173" s="162">
        <v>4081374.2108136327</v>
      </c>
      <c r="W173" s="162">
        <v>4308117.2225255016</v>
      </c>
      <c r="X173" s="162">
        <v>4534860.2342373701</v>
      </c>
      <c r="Y173" s="162">
        <v>4761603.2459492385</v>
      </c>
      <c r="Z173" s="162">
        <v>4988346.257661107</v>
      </c>
      <c r="AA173" s="162">
        <v>5215089.2693729755</v>
      </c>
      <c r="AB173" s="162">
        <v>5441832.2810848439</v>
      </c>
      <c r="AC173" s="162">
        <v>5668575.2927967124</v>
      </c>
      <c r="AD173" s="162">
        <v>5895318.3045085808</v>
      </c>
      <c r="AE173" s="162">
        <v>6122061.3162204493</v>
      </c>
      <c r="AF173" s="162">
        <v>6348804.3279323177</v>
      </c>
      <c r="AG173" s="162">
        <v>43975547.339644186</v>
      </c>
      <c r="AH173" s="3"/>
      <c r="AI173" s="3"/>
    </row>
    <row r="175" spans="3:35">
      <c r="C175" s="165" t="s">
        <v>373</v>
      </c>
      <c r="D175" s="132">
        <v>0</v>
      </c>
      <c r="E175" s="132">
        <v>226743.01171186852</v>
      </c>
      <c r="F175" s="132">
        <v>226743.01171186852</v>
      </c>
      <c r="G175" s="132">
        <v>226743.01171186852</v>
      </c>
      <c r="H175" s="132">
        <v>226743.01171186852</v>
      </c>
      <c r="I175" s="132">
        <v>226743.01171186852</v>
      </c>
      <c r="J175" s="132">
        <v>226743.01171186852</v>
      </c>
      <c r="K175" s="132">
        <v>226743.01171186852</v>
      </c>
      <c r="L175" s="132">
        <v>226743.01171186852</v>
      </c>
      <c r="M175" s="132">
        <v>226743.01171186852</v>
      </c>
      <c r="N175" s="132">
        <v>226743.01171186852</v>
      </c>
      <c r="O175" s="132">
        <v>226743.01171186852</v>
      </c>
      <c r="P175" s="132">
        <v>226743.01171186852</v>
      </c>
      <c r="Q175" s="132">
        <v>226743.01171186852</v>
      </c>
      <c r="R175" s="132">
        <v>226743.01171186852</v>
      </c>
      <c r="S175" s="132">
        <v>226743.01171186852</v>
      </c>
      <c r="T175" s="132">
        <v>226743.01171186852</v>
      </c>
      <c r="U175" s="132">
        <v>226743.01171186852</v>
      </c>
      <c r="V175" s="132">
        <v>226743.01171186852</v>
      </c>
      <c r="W175" s="132">
        <v>226743.01171186852</v>
      </c>
      <c r="X175" s="132">
        <v>226743.01171186852</v>
      </c>
      <c r="Y175" s="132">
        <v>226743.01171186852</v>
      </c>
      <c r="Z175" s="132">
        <v>226743.01171186852</v>
      </c>
      <c r="AA175" s="132">
        <v>226743.01171186852</v>
      </c>
      <c r="AB175" s="132">
        <v>226743.01171186852</v>
      </c>
      <c r="AC175" s="132">
        <v>226743.01171186852</v>
      </c>
      <c r="AD175" s="132">
        <v>226743.01171186852</v>
      </c>
      <c r="AE175" s="132">
        <v>226743.01171186852</v>
      </c>
      <c r="AF175" s="132">
        <v>226743.01171186852</v>
      </c>
      <c r="AG175" s="132">
        <v>226743.01171186852</v>
      </c>
      <c r="AH175" s="3"/>
      <c r="AI175" s="3"/>
    </row>
    <row r="176" spans="3:35">
      <c r="C176" s="165" t="s">
        <v>374</v>
      </c>
      <c r="D176" s="132">
        <v>0</v>
      </c>
      <c r="E176" s="132">
        <v>226743.01171186852</v>
      </c>
      <c r="F176" s="132">
        <v>453486.02342373703</v>
      </c>
      <c r="G176" s="132">
        <v>680229.03513560561</v>
      </c>
      <c r="H176" s="132">
        <v>906972.04684747406</v>
      </c>
      <c r="I176" s="132">
        <v>1133715.0585593425</v>
      </c>
      <c r="J176" s="132">
        <v>1360458.070271211</v>
      </c>
      <c r="K176" s="132">
        <v>1587201.0819830794</v>
      </c>
      <c r="L176" s="132">
        <v>1813944.0936949479</v>
      </c>
      <c r="M176" s="132">
        <v>2040687.1054068164</v>
      </c>
      <c r="N176" s="132">
        <v>2267430.117118685</v>
      </c>
      <c r="O176" s="132">
        <v>2494173.1288305535</v>
      </c>
      <c r="P176" s="132">
        <v>2720916.140542422</v>
      </c>
      <c r="Q176" s="132">
        <v>2947659.1522542904</v>
      </c>
      <c r="R176" s="132">
        <v>3174402.1639661589</v>
      </c>
      <c r="S176" s="132">
        <v>3401145.1756780273</v>
      </c>
      <c r="T176" s="132">
        <v>3627888.1873898958</v>
      </c>
      <c r="U176" s="132">
        <v>3854631.1991017642</v>
      </c>
      <c r="V176" s="132">
        <v>4081374.2108136327</v>
      </c>
      <c r="W176" s="132">
        <v>4308117.2225255016</v>
      </c>
      <c r="X176" s="132">
        <v>4534860.2342373701</v>
      </c>
      <c r="Y176" s="132">
        <v>4761603.2459492385</v>
      </c>
      <c r="Z176" s="132">
        <v>4988346.257661107</v>
      </c>
      <c r="AA176" s="132">
        <v>5215089.2693729755</v>
      </c>
      <c r="AB176" s="132">
        <v>5441832.2810848439</v>
      </c>
      <c r="AC176" s="132">
        <v>5668575.2927967124</v>
      </c>
      <c r="AD176" s="132">
        <v>5895318.3045085808</v>
      </c>
      <c r="AE176" s="132">
        <v>6122061.3162204493</v>
      </c>
      <c r="AF176" s="132">
        <v>6348804.3279323177</v>
      </c>
      <c r="AG176" s="132">
        <v>6575547.3396441862</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83" priority="2">
      <formula>NOT(ISBLANK(D$153))</formula>
    </cfRule>
  </conditionalFormatting>
  <conditionalFormatting sqref="D175:AG177">
    <cfRule type="expression" dxfId="82" priority="1">
      <formula>NOT(ISBLANK(D$268))</formula>
    </cfRule>
  </conditionalFormatting>
  <conditionalFormatting sqref="F74:AI74">
    <cfRule type="expression" dxfId="81" priority="46">
      <formula>NOT(ISBLANK(F$74))</formula>
    </cfRule>
  </conditionalFormatting>
  <conditionalFormatting sqref="F75:AI75">
    <cfRule type="expression" dxfId="80" priority="45">
      <formula>NOT(ISBLANK(F$74))</formula>
    </cfRule>
  </conditionalFormatting>
  <conditionalFormatting sqref="F80:AI80">
    <cfRule type="expression" dxfId="79" priority="13">
      <formula>NOT(ISBLANK(F$74))</formula>
    </cfRule>
  </conditionalFormatting>
  <conditionalFormatting sqref="F81:AI81">
    <cfRule type="expression" dxfId="78" priority="11">
      <formula>NOT(ISBLANK(F$74))</formula>
    </cfRule>
  </conditionalFormatting>
  <conditionalFormatting sqref="F86:AI86">
    <cfRule type="expression" dxfId="77" priority="42">
      <formula>NOT(ISBLANK(F$86))</formula>
    </cfRule>
  </conditionalFormatting>
  <conditionalFormatting sqref="F87:AI88">
    <cfRule type="expression" dxfId="76" priority="8">
      <formula>NOT(ISBLANK(F$74))</formula>
    </cfRule>
  </conditionalFormatting>
  <conditionalFormatting sqref="F89:AI89">
    <cfRule type="expression" dxfId="75" priority="41">
      <formula>NOT(ISBLANK(F$86))</formula>
    </cfRule>
  </conditionalFormatting>
  <conditionalFormatting sqref="F94:AI94">
    <cfRule type="expression" dxfId="74" priority="40">
      <formula>NOT(ISBLANK(F$94))</formula>
    </cfRule>
  </conditionalFormatting>
  <conditionalFormatting sqref="F95:AI99">
    <cfRule type="expression" dxfId="73" priority="3">
      <formula>NOT(ISBLANK(F$74))</formula>
    </cfRule>
  </conditionalFormatting>
  <conditionalFormatting sqref="F112:AI112">
    <cfRule type="expression" dxfId="72" priority="18">
      <formula>NOT(ISBLANK(F$123))</formula>
    </cfRule>
  </conditionalFormatting>
  <conditionalFormatting sqref="F113:AI118">
    <cfRule type="expression" dxfId="71" priority="16">
      <formula>NOT(ISBLANK(F$110))</formula>
    </cfRule>
  </conditionalFormatting>
  <conditionalFormatting sqref="F123:AI123">
    <cfRule type="expression" dxfId="70" priority="21">
      <formula>NOT(ISBLANK(F$123))</formula>
    </cfRule>
  </conditionalFormatting>
  <conditionalFormatting sqref="F124:AI129">
    <cfRule type="expression" dxfId="69" priority="20">
      <formula>NOT(ISBLANK(F$123))</formula>
    </cfRule>
  </conditionalFormatting>
  <conditionalFormatting sqref="F130:AI130">
    <cfRule type="expression" dxfId="68" priority="19">
      <formula>NOT(ISBLANK(F$123))</formula>
    </cfRule>
  </conditionalFormatting>
  <conditionalFormatting sqref="G118:AI118">
    <cfRule type="expression" dxfId="67" priority="17">
      <formula>NOT(ISBLANK(G$110))</formula>
    </cfRule>
  </conditionalFormatting>
  <dataValidations count="1">
    <dataValidation type="list" allowBlank="1" showInputMessage="1" showErrorMessage="1" sqref="D185" xr:uid="{823DA1B6-2307-4AFF-B8AD-5E387BD9407F}">
      <formula1>i_n_list</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E0F2F-03BD-4E85-8658-B5AAF0C2383A}">
  <sheetPr codeName="Munka9">
    <tabColor theme="8" tint="0.59999389629810485"/>
  </sheetPr>
  <dimension ref="A1:AI185"/>
  <sheetViews>
    <sheetView topLeftCell="A114" zoomScale="64" zoomScaleNormal="61" workbookViewId="0">
      <selection activeCell="J160" sqref="J160"/>
    </sheetView>
  </sheetViews>
  <sheetFormatPr defaultColWidth="9.19921875" defaultRowHeight="13.8"/>
  <cols>
    <col min="1" max="1" width="9.19921875" style="1"/>
    <col min="2" max="2" width="47" style="1" customWidth="1"/>
    <col min="3" max="3" width="62.19921875" style="1" customWidth="1"/>
    <col min="4" max="4" width="28.69921875" style="1" bestFit="1" customWidth="1"/>
    <col min="5" max="5" width="24.19921875" style="1" customWidth="1"/>
    <col min="6" max="6" width="13.69921875" style="1" customWidth="1"/>
    <col min="7" max="30" width="9.19921875" style="1" bestFit="1" customWidth="1"/>
    <col min="31" max="33" width="9.8984375" style="1" bestFit="1" customWidth="1"/>
    <col min="34" max="16384" width="9.19921875" style="1"/>
  </cols>
  <sheetData>
    <row r="1" spans="1:6" ht="14.4" thickBot="1"/>
    <row r="2" spans="1:6" ht="28.2" thickBot="1">
      <c r="C2" s="41" t="s">
        <v>130</v>
      </c>
    </row>
    <row r="3" spans="1:6" ht="14.4" thickBot="1"/>
    <row r="4" spans="1:6" ht="163.19999999999999" customHeight="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180975000</v>
      </c>
      <c r="E12" s="130">
        <v>0</v>
      </c>
      <c r="F12" s="11">
        <v>180975000</v>
      </c>
    </row>
    <row r="13" spans="1:6">
      <c r="C13" s="10" t="s">
        <v>276</v>
      </c>
      <c r="D13" s="130">
        <v>0</v>
      </c>
      <c r="E13" s="130">
        <v>0</v>
      </c>
      <c r="F13" s="11">
        <v>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180975000</v>
      </c>
      <c r="E21" s="131">
        <v>0</v>
      </c>
      <c r="F21" s="13">
        <v>180975000</v>
      </c>
    </row>
    <row r="22" spans="3:10">
      <c r="C22" s="12" t="s">
        <v>329</v>
      </c>
      <c r="D22" s="13">
        <v>180975000</v>
      </c>
      <c r="E22" s="13">
        <v>0</v>
      </c>
      <c r="F22" s="133">
        <v>180975000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180975000</v>
      </c>
      <c r="E27" s="11">
        <v>180975000</v>
      </c>
      <c r="F27" s="134">
        <v>180975000</v>
      </c>
      <c r="G27" s="134">
        <v>0</v>
      </c>
      <c r="H27" s="134">
        <v>0</v>
      </c>
      <c r="I27" s="134">
        <v>0</v>
      </c>
      <c r="J27" s="134">
        <v>0</v>
      </c>
    </row>
    <row r="28" spans="3:10">
      <c r="C28" s="10" t="s">
        <v>276</v>
      </c>
      <c r="D28" s="11">
        <v>0</v>
      </c>
      <c r="E28" s="11">
        <v>0</v>
      </c>
      <c r="F28" s="134">
        <v>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180975000</v>
      </c>
      <c r="E36" s="13">
        <v>180975000</v>
      </c>
      <c r="F36" s="131">
        <v>180975000</v>
      </c>
      <c r="G36" s="131">
        <v>0</v>
      </c>
      <c r="H36" s="131">
        <v>0</v>
      </c>
      <c r="I36" s="131">
        <v>0</v>
      </c>
      <c r="J36" s="131">
        <v>0</v>
      </c>
    </row>
    <row r="37" spans="3:10">
      <c r="C37" s="12" t="s">
        <v>329</v>
      </c>
      <c r="D37" s="13">
        <v>180975000</v>
      </c>
      <c r="E37" s="13">
        <v>180975000</v>
      </c>
      <c r="F37" s="13">
        <v>180975000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1">
        <v>0</v>
      </c>
      <c r="G52" s="131">
        <v>0</v>
      </c>
      <c r="H52" s="131">
        <v>0</v>
      </c>
      <c r="I52" s="131">
        <v>0</v>
      </c>
      <c r="J52" s="131">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180975000</v>
      </c>
      <c r="E57" s="11">
        <v>180975000</v>
      </c>
      <c r="F57" s="11">
        <v>180975000</v>
      </c>
      <c r="G57" s="11">
        <v>0</v>
      </c>
      <c r="H57" s="11">
        <v>0</v>
      </c>
      <c r="I57" s="11">
        <v>0</v>
      </c>
      <c r="J57" s="11">
        <v>0</v>
      </c>
    </row>
    <row r="58" spans="3:10">
      <c r="C58" s="10" t="s">
        <v>276</v>
      </c>
      <c r="D58" s="11">
        <v>0</v>
      </c>
      <c r="E58" s="11">
        <v>0</v>
      </c>
      <c r="F58" s="11">
        <v>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180975000</v>
      </c>
      <c r="E66" s="13">
        <v>180975000</v>
      </c>
      <c r="F66" s="13">
        <v>180975000</v>
      </c>
      <c r="G66" s="13">
        <v>0</v>
      </c>
      <c r="H66" s="13">
        <v>0</v>
      </c>
      <c r="I66" s="13">
        <v>0</v>
      </c>
      <c r="J66" s="13">
        <v>0</v>
      </c>
    </row>
    <row r="67" spans="1:35">
      <c r="C67" s="12" t="s">
        <v>329</v>
      </c>
      <c r="D67" s="13">
        <v>180975000</v>
      </c>
      <c r="E67" s="13">
        <v>180975000</v>
      </c>
      <c r="F67" s="13">
        <v>180975000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4">
        <v>2025</v>
      </c>
      <c r="G74" s="14">
        <v>2026</v>
      </c>
      <c r="H74" s="14">
        <v>2027</v>
      </c>
      <c r="I74" s="14">
        <v>2028</v>
      </c>
      <c r="J74" s="14">
        <v>2029</v>
      </c>
      <c r="K74" s="14">
        <v>2030</v>
      </c>
      <c r="L74" s="14">
        <v>2031</v>
      </c>
      <c r="M74" s="14">
        <v>2032</v>
      </c>
      <c r="N74" s="14">
        <v>2033</v>
      </c>
      <c r="O74" s="14">
        <v>2034</v>
      </c>
      <c r="P74" s="14">
        <v>2035</v>
      </c>
      <c r="Q74" s="14">
        <v>2036</v>
      </c>
      <c r="R74" s="14">
        <v>2037</v>
      </c>
      <c r="S74" s="14">
        <v>2038</v>
      </c>
      <c r="T74" s="14">
        <v>2039</v>
      </c>
      <c r="U74" s="14">
        <v>2040</v>
      </c>
      <c r="V74" s="14">
        <v>2041</v>
      </c>
      <c r="W74" s="14">
        <v>2042</v>
      </c>
      <c r="X74" s="14">
        <v>2043</v>
      </c>
      <c r="Y74" s="14">
        <v>2044</v>
      </c>
      <c r="Z74" s="14">
        <v>2045</v>
      </c>
      <c r="AA74" s="14">
        <v>2046</v>
      </c>
      <c r="AB74" s="14">
        <v>2047</v>
      </c>
      <c r="AC74" s="14">
        <v>2048</v>
      </c>
      <c r="AD74" s="14">
        <v>2049</v>
      </c>
      <c r="AE74" s="14">
        <v>2050</v>
      </c>
      <c r="AF74" s="14">
        <v>2051</v>
      </c>
      <c r="AG74" s="14">
        <v>2052</v>
      </c>
      <c r="AH74" s="14">
        <v>2053</v>
      </c>
      <c r="AI74" s="14">
        <v>2054</v>
      </c>
    </row>
    <row r="75" spans="1:35">
      <c r="C75" s="10" t="s">
        <v>337</v>
      </c>
      <c r="D75" s="132">
        <v>1945566.9449244244</v>
      </c>
      <c r="E75" s="132">
        <v>806929.33184775256</v>
      </c>
      <c r="F75" s="135">
        <v>0</v>
      </c>
      <c r="G75" s="135">
        <v>67088.515342221479</v>
      </c>
      <c r="H75" s="135">
        <v>67088.515342221479</v>
      </c>
      <c r="I75" s="135">
        <v>67088.515342221479</v>
      </c>
      <c r="J75" s="135">
        <v>67088.515342221479</v>
      </c>
      <c r="K75" s="135">
        <v>67088.515342221479</v>
      </c>
      <c r="L75" s="135">
        <v>67088.515342221479</v>
      </c>
      <c r="M75" s="135">
        <v>67088.515342221479</v>
      </c>
      <c r="N75" s="135">
        <v>67088.515342221479</v>
      </c>
      <c r="O75" s="135">
        <v>67088.515342221479</v>
      </c>
      <c r="P75" s="135">
        <v>67088.515342221479</v>
      </c>
      <c r="Q75" s="135">
        <v>67088.515342221479</v>
      </c>
      <c r="R75" s="135">
        <v>67088.515342221479</v>
      </c>
      <c r="S75" s="135">
        <v>67088.515342221479</v>
      </c>
      <c r="T75" s="135">
        <v>67088.515342221479</v>
      </c>
      <c r="U75" s="135">
        <v>67088.515342221479</v>
      </c>
      <c r="V75" s="135">
        <v>67088.515342221479</v>
      </c>
      <c r="W75" s="135">
        <v>67088.515342221479</v>
      </c>
      <c r="X75" s="135">
        <v>67088.515342221479</v>
      </c>
      <c r="Y75" s="135">
        <v>67088.515342221479</v>
      </c>
      <c r="Z75" s="135">
        <v>67088.515342221479</v>
      </c>
      <c r="AA75" s="135">
        <v>67088.515342221479</v>
      </c>
      <c r="AB75" s="135">
        <v>67088.515342221479</v>
      </c>
      <c r="AC75" s="135">
        <v>67088.515342221479</v>
      </c>
      <c r="AD75" s="135">
        <v>67088.515342221479</v>
      </c>
      <c r="AE75" s="135">
        <v>67088.515342221479</v>
      </c>
      <c r="AF75" s="135">
        <v>67088.515342221479</v>
      </c>
      <c r="AG75" s="135">
        <v>67088.515342221479</v>
      </c>
      <c r="AH75" s="135">
        <v>67088.515342221479</v>
      </c>
      <c r="AI75" s="135">
        <v>67088.515342221479</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4">
        <v>2025</v>
      </c>
      <c r="G80" s="14">
        <v>2026</v>
      </c>
      <c r="H80" s="14">
        <v>2027</v>
      </c>
      <c r="I80" s="14">
        <v>2028</v>
      </c>
      <c r="J80" s="14">
        <v>2029</v>
      </c>
      <c r="K80" s="14">
        <v>2030</v>
      </c>
      <c r="L80" s="14">
        <v>2031</v>
      </c>
      <c r="M80" s="14">
        <v>2032</v>
      </c>
      <c r="N80" s="14">
        <v>2033</v>
      </c>
      <c r="O80" s="14">
        <v>2034</v>
      </c>
      <c r="P80" s="14">
        <v>2035</v>
      </c>
      <c r="Q80" s="14">
        <v>2036</v>
      </c>
      <c r="R80" s="14">
        <v>2037</v>
      </c>
      <c r="S80" s="14">
        <v>2038</v>
      </c>
      <c r="T80" s="14">
        <v>2039</v>
      </c>
      <c r="U80" s="14">
        <v>2040</v>
      </c>
      <c r="V80" s="14">
        <v>2041</v>
      </c>
      <c r="W80" s="14">
        <v>2042</v>
      </c>
      <c r="X80" s="14">
        <v>2043</v>
      </c>
      <c r="Y80" s="14">
        <v>2044</v>
      </c>
      <c r="Z80" s="14">
        <v>2045</v>
      </c>
      <c r="AA80" s="14">
        <v>2046</v>
      </c>
      <c r="AB80" s="14">
        <v>2047</v>
      </c>
      <c r="AC80" s="14">
        <v>2048</v>
      </c>
      <c r="AD80" s="14">
        <v>2049</v>
      </c>
      <c r="AE80" s="14">
        <v>2050</v>
      </c>
      <c r="AF80" s="14">
        <v>2051</v>
      </c>
      <c r="AG80" s="14">
        <v>2052</v>
      </c>
      <c r="AH80" s="14">
        <v>2053</v>
      </c>
      <c r="AI80" s="14">
        <v>2054</v>
      </c>
    </row>
    <row r="81" spans="1:35">
      <c r="C81" s="10" t="s">
        <v>338</v>
      </c>
      <c r="D81" s="132">
        <v>0</v>
      </c>
      <c r="E81" s="132">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4">
        <v>2025</v>
      </c>
      <c r="G86" s="14">
        <v>2026</v>
      </c>
      <c r="H86" s="14">
        <v>2027</v>
      </c>
      <c r="I86" s="14">
        <v>2028</v>
      </c>
      <c r="J86" s="14">
        <v>2029</v>
      </c>
      <c r="K86" s="14">
        <v>2030</v>
      </c>
      <c r="L86" s="14">
        <v>2031</v>
      </c>
      <c r="M86" s="14">
        <v>2032</v>
      </c>
      <c r="N86" s="14">
        <v>2033</v>
      </c>
      <c r="O86" s="14">
        <v>2034</v>
      </c>
      <c r="P86" s="14">
        <v>2035</v>
      </c>
      <c r="Q86" s="14">
        <v>2036</v>
      </c>
      <c r="R86" s="14">
        <v>2037</v>
      </c>
      <c r="S86" s="14">
        <v>2038</v>
      </c>
      <c r="T86" s="14">
        <v>2039</v>
      </c>
      <c r="U86" s="14">
        <v>2040</v>
      </c>
      <c r="V86" s="14">
        <v>2041</v>
      </c>
      <c r="W86" s="14">
        <v>2042</v>
      </c>
      <c r="X86" s="14">
        <v>2043</v>
      </c>
      <c r="Y86" s="14">
        <v>2044</v>
      </c>
      <c r="Z86" s="14">
        <v>2045</v>
      </c>
      <c r="AA86" s="14">
        <v>2046</v>
      </c>
      <c r="AB86" s="14">
        <v>2047</v>
      </c>
      <c r="AC86" s="14">
        <v>2048</v>
      </c>
      <c r="AD86" s="14">
        <v>2049</v>
      </c>
      <c r="AE86" s="14">
        <v>2050</v>
      </c>
      <c r="AF86" s="14">
        <v>2051</v>
      </c>
      <c r="AG86" s="14">
        <v>2052</v>
      </c>
      <c r="AH86" s="14">
        <v>2053</v>
      </c>
      <c r="AI86" s="14">
        <v>2054</v>
      </c>
    </row>
    <row r="87" spans="1:35">
      <c r="C87" s="8" t="s">
        <v>341</v>
      </c>
      <c r="D87" s="133">
        <v>12969278.661386745</v>
      </c>
      <c r="E87" s="133">
        <v>5379044.5978134405</v>
      </c>
      <c r="F87" s="137">
        <v>0</v>
      </c>
      <c r="G87" s="137">
        <v>447216.5055650599</v>
      </c>
      <c r="H87" s="137">
        <v>447216.5055650599</v>
      </c>
      <c r="I87" s="137">
        <v>447216.5055650599</v>
      </c>
      <c r="J87" s="137">
        <v>447216.5055650599</v>
      </c>
      <c r="K87" s="137">
        <v>447216.5055650599</v>
      </c>
      <c r="L87" s="137">
        <v>447216.5055650599</v>
      </c>
      <c r="M87" s="137">
        <v>447216.5055650599</v>
      </c>
      <c r="N87" s="137">
        <v>447216.5055650599</v>
      </c>
      <c r="O87" s="137">
        <v>447216.5055650599</v>
      </c>
      <c r="P87" s="137">
        <v>447216.5055650599</v>
      </c>
      <c r="Q87" s="137">
        <v>447216.5055650599</v>
      </c>
      <c r="R87" s="137">
        <v>447216.5055650599</v>
      </c>
      <c r="S87" s="137">
        <v>447216.5055650599</v>
      </c>
      <c r="T87" s="137">
        <v>447216.5055650599</v>
      </c>
      <c r="U87" s="137">
        <v>447216.5055650599</v>
      </c>
      <c r="V87" s="137">
        <v>447216.5055650599</v>
      </c>
      <c r="W87" s="137">
        <v>447216.5055650599</v>
      </c>
      <c r="X87" s="137">
        <v>447216.5055650599</v>
      </c>
      <c r="Y87" s="137">
        <v>447216.5055650599</v>
      </c>
      <c r="Z87" s="137">
        <v>447216.5055650599</v>
      </c>
      <c r="AA87" s="137">
        <v>447216.5055650599</v>
      </c>
      <c r="AB87" s="137">
        <v>447216.5055650599</v>
      </c>
      <c r="AC87" s="137">
        <v>447216.5055650599</v>
      </c>
      <c r="AD87" s="137">
        <v>447216.5055650599</v>
      </c>
      <c r="AE87" s="137">
        <v>447216.5055650599</v>
      </c>
      <c r="AF87" s="137">
        <v>447216.5055650599</v>
      </c>
      <c r="AG87" s="137">
        <v>447216.5055650599</v>
      </c>
      <c r="AH87" s="137">
        <v>447216.5055650599</v>
      </c>
      <c r="AI87" s="137">
        <v>447216.5055650599</v>
      </c>
    </row>
    <row r="88" spans="1:35">
      <c r="C88" s="10" t="s">
        <v>342</v>
      </c>
      <c r="D88" s="132">
        <v>0</v>
      </c>
      <c r="E88" s="132">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v>0</v>
      </c>
      <c r="AF88" s="135">
        <v>0</v>
      </c>
      <c r="AG88" s="135">
        <v>0</v>
      </c>
      <c r="AH88" s="135">
        <v>0</v>
      </c>
      <c r="AI88" s="135">
        <v>0</v>
      </c>
    </row>
    <row r="89" spans="1:35">
      <c r="C89" s="8" t="s">
        <v>343</v>
      </c>
      <c r="D89" s="133">
        <v>12969278.661386745</v>
      </c>
      <c r="E89" s="133">
        <v>5379044.5978134405</v>
      </c>
      <c r="F89" s="148">
        <v>0</v>
      </c>
      <c r="G89" s="148">
        <v>447216.5055650599</v>
      </c>
      <c r="H89" s="148">
        <v>447216.5055650599</v>
      </c>
      <c r="I89" s="148">
        <v>447216.5055650599</v>
      </c>
      <c r="J89" s="148">
        <v>447216.5055650599</v>
      </c>
      <c r="K89" s="148">
        <v>447216.5055650599</v>
      </c>
      <c r="L89" s="148">
        <v>447216.5055650599</v>
      </c>
      <c r="M89" s="148">
        <v>447216.5055650599</v>
      </c>
      <c r="N89" s="148">
        <v>447216.5055650599</v>
      </c>
      <c r="O89" s="148">
        <v>447216.5055650599</v>
      </c>
      <c r="P89" s="148">
        <v>447216.5055650599</v>
      </c>
      <c r="Q89" s="148">
        <v>447216.5055650599</v>
      </c>
      <c r="R89" s="148">
        <v>447216.5055650599</v>
      </c>
      <c r="S89" s="148">
        <v>447216.5055650599</v>
      </c>
      <c r="T89" s="148">
        <v>447216.5055650599</v>
      </c>
      <c r="U89" s="148">
        <v>447216.5055650599</v>
      </c>
      <c r="V89" s="148">
        <v>447216.5055650599</v>
      </c>
      <c r="W89" s="148">
        <v>447216.5055650599</v>
      </c>
      <c r="X89" s="148">
        <v>447216.5055650599</v>
      </c>
      <c r="Y89" s="148">
        <v>447216.5055650599</v>
      </c>
      <c r="Z89" s="148">
        <v>447216.5055650599</v>
      </c>
      <c r="AA89" s="148">
        <v>447216.5055650599</v>
      </c>
      <c r="AB89" s="148">
        <v>447216.5055650599</v>
      </c>
      <c r="AC89" s="148">
        <v>447216.5055650599</v>
      </c>
      <c r="AD89" s="148">
        <v>447216.5055650599</v>
      </c>
      <c r="AE89" s="148">
        <v>447216.5055650599</v>
      </c>
      <c r="AF89" s="148">
        <v>447216.5055650599</v>
      </c>
      <c r="AG89" s="148">
        <v>447216.5055650599</v>
      </c>
      <c r="AH89" s="148">
        <v>447216.5055650599</v>
      </c>
      <c r="AI89" s="148">
        <v>447216.5055650599</v>
      </c>
    </row>
    <row r="92" spans="1:35" s="7" customFormat="1">
      <c r="A92" s="6"/>
      <c r="C92" s="6" t="s">
        <v>312</v>
      </c>
    </row>
    <row r="94" spans="1:35">
      <c r="C94" s="14" t="s">
        <v>312</v>
      </c>
      <c r="D94" s="14" t="s">
        <v>325</v>
      </c>
      <c r="E94" s="14" t="s">
        <v>465</v>
      </c>
      <c r="F94" s="14">
        <v>2025</v>
      </c>
      <c r="G94" s="14">
        <v>2026</v>
      </c>
      <c r="H94" s="14">
        <v>2027</v>
      </c>
      <c r="I94" s="14">
        <v>2028</v>
      </c>
      <c r="J94" s="14">
        <v>2029</v>
      </c>
      <c r="K94" s="14">
        <v>2030</v>
      </c>
      <c r="L94" s="14">
        <v>2031</v>
      </c>
      <c r="M94" s="14">
        <v>2032</v>
      </c>
      <c r="N94" s="14">
        <v>2033</v>
      </c>
      <c r="O94" s="14">
        <v>2034</v>
      </c>
      <c r="P94" s="14">
        <v>2035</v>
      </c>
      <c r="Q94" s="14">
        <v>2036</v>
      </c>
      <c r="R94" s="14">
        <v>2037</v>
      </c>
      <c r="S94" s="14">
        <v>2038</v>
      </c>
      <c r="T94" s="14">
        <v>2039</v>
      </c>
      <c r="U94" s="14">
        <v>2040</v>
      </c>
      <c r="V94" s="14">
        <v>2041</v>
      </c>
      <c r="W94" s="14">
        <v>2042</v>
      </c>
      <c r="X94" s="14">
        <v>2043</v>
      </c>
      <c r="Y94" s="14">
        <v>2044</v>
      </c>
      <c r="Z94" s="14">
        <v>2045</v>
      </c>
      <c r="AA94" s="14">
        <v>2046</v>
      </c>
      <c r="AB94" s="14">
        <v>2047</v>
      </c>
      <c r="AC94" s="14">
        <v>2048</v>
      </c>
      <c r="AD94" s="14">
        <v>2049</v>
      </c>
      <c r="AE94" s="14">
        <v>2050</v>
      </c>
      <c r="AF94" s="14">
        <v>2051</v>
      </c>
      <c r="AG94" s="14">
        <v>2052</v>
      </c>
      <c r="AH94" s="14">
        <v>2053</v>
      </c>
      <c r="AI94" s="14">
        <v>2054</v>
      </c>
    </row>
    <row r="95" spans="1:35">
      <c r="C95" s="10" t="s">
        <v>314</v>
      </c>
      <c r="D95" s="132">
        <v>0</v>
      </c>
      <c r="E95" s="132">
        <v>0</v>
      </c>
      <c r="F95" s="135">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315</v>
      </c>
      <c r="D96" s="132">
        <v>0</v>
      </c>
      <c r="E96" s="132">
        <v>0</v>
      </c>
      <c r="F96" s="135">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316</v>
      </c>
      <c r="D97" s="132">
        <v>0</v>
      </c>
      <c r="E97" s="132">
        <v>0</v>
      </c>
      <c r="F97" s="135">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98" spans="1:35">
      <c r="C98" s="10" t="s">
        <v>317</v>
      </c>
      <c r="D98" s="132">
        <v>0</v>
      </c>
      <c r="E98" s="132">
        <v>0</v>
      </c>
      <c r="F98" s="135">
        <v>0</v>
      </c>
      <c r="G98" s="135">
        <v>0</v>
      </c>
      <c r="H98" s="135">
        <v>0</v>
      </c>
      <c r="I98" s="135">
        <v>0</v>
      </c>
      <c r="J98" s="135">
        <v>0</v>
      </c>
      <c r="K98" s="135">
        <v>0</v>
      </c>
      <c r="L98" s="135">
        <v>0</v>
      </c>
      <c r="M98" s="135">
        <v>0</v>
      </c>
      <c r="N98" s="135">
        <v>0</v>
      </c>
      <c r="O98" s="135">
        <v>0</v>
      </c>
      <c r="P98" s="135">
        <v>0</v>
      </c>
      <c r="Q98" s="135">
        <v>0</v>
      </c>
      <c r="R98" s="135">
        <v>0</v>
      </c>
      <c r="S98" s="135">
        <v>0</v>
      </c>
      <c r="T98" s="135">
        <v>0</v>
      </c>
      <c r="U98" s="135">
        <v>0</v>
      </c>
      <c r="V98" s="135">
        <v>0</v>
      </c>
      <c r="W98" s="135">
        <v>0</v>
      </c>
      <c r="X98" s="135">
        <v>0</v>
      </c>
      <c r="Y98" s="135">
        <v>0</v>
      </c>
      <c r="Z98" s="135">
        <v>0</v>
      </c>
      <c r="AA98" s="135">
        <v>0</v>
      </c>
      <c r="AB98" s="135">
        <v>0</v>
      </c>
      <c r="AC98" s="135">
        <v>0</v>
      </c>
      <c r="AD98" s="135">
        <v>0</v>
      </c>
      <c r="AE98" s="135">
        <v>0</v>
      </c>
      <c r="AF98" s="135">
        <v>0</v>
      </c>
      <c r="AG98" s="135">
        <v>0</v>
      </c>
      <c r="AH98" s="135">
        <v>0</v>
      </c>
      <c r="AI98" s="135">
        <v>0</v>
      </c>
    </row>
    <row r="99" spans="1:35">
      <c r="C99" s="10" t="s">
        <v>318</v>
      </c>
      <c r="D99" s="132">
        <v>0</v>
      </c>
      <c r="E99" s="132">
        <v>0</v>
      </c>
      <c r="F99" s="135">
        <v>0</v>
      </c>
      <c r="G99" s="135">
        <v>0</v>
      </c>
      <c r="H99" s="135">
        <v>0</v>
      </c>
      <c r="I99" s="135">
        <v>0</v>
      </c>
      <c r="J99" s="135">
        <v>0</v>
      </c>
      <c r="K99" s="135">
        <v>0</v>
      </c>
      <c r="L99" s="135">
        <v>0</v>
      </c>
      <c r="M99" s="135">
        <v>0</v>
      </c>
      <c r="N99" s="135">
        <v>0</v>
      </c>
      <c r="O99" s="135">
        <v>0</v>
      </c>
      <c r="P99" s="135">
        <v>0</v>
      </c>
      <c r="Q99" s="135">
        <v>0</v>
      </c>
      <c r="R99" s="135">
        <v>0</v>
      </c>
      <c r="S99" s="135">
        <v>0</v>
      </c>
      <c r="T99" s="135">
        <v>0</v>
      </c>
      <c r="U99" s="135">
        <v>0</v>
      </c>
      <c r="V99" s="135">
        <v>0</v>
      </c>
      <c r="W99" s="135">
        <v>0</v>
      </c>
      <c r="X99" s="135">
        <v>0</v>
      </c>
      <c r="Y99" s="135">
        <v>0</v>
      </c>
      <c r="Z99" s="135">
        <v>0</v>
      </c>
      <c r="AA99" s="135">
        <v>0</v>
      </c>
      <c r="AB99" s="135">
        <v>0</v>
      </c>
      <c r="AC99" s="135">
        <v>0</v>
      </c>
      <c r="AD99" s="135">
        <v>0</v>
      </c>
      <c r="AE99" s="135">
        <v>0</v>
      </c>
      <c r="AF99" s="135">
        <v>0</v>
      </c>
      <c r="AG99" s="135">
        <v>0</v>
      </c>
      <c r="AH99" s="135">
        <v>0</v>
      </c>
      <c r="AI99" s="135">
        <v>0</v>
      </c>
    </row>
    <row r="102" spans="1:35" s="7" customFormat="1">
      <c r="A102" s="6"/>
      <c r="C102" s="6" t="s">
        <v>246</v>
      </c>
    </row>
    <row r="103" spans="1:35">
      <c r="C103" s="36"/>
    </row>
    <row r="104" spans="1:35">
      <c r="C104" s="14" t="s">
        <v>246</v>
      </c>
      <c r="D104" s="14">
        <v>2054</v>
      </c>
    </row>
    <row r="105" spans="1:35">
      <c r="C105" s="4" t="s">
        <v>332</v>
      </c>
      <c r="D105" s="134">
        <v>62700000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5">
        <v>2025</v>
      </c>
      <c r="G112" s="15">
        <v>2026</v>
      </c>
      <c r="H112" s="15">
        <v>2027</v>
      </c>
      <c r="I112" s="15">
        <v>2028</v>
      </c>
      <c r="J112" s="15">
        <v>2029</v>
      </c>
      <c r="K112" s="15">
        <v>2030</v>
      </c>
      <c r="L112" s="15">
        <v>2031</v>
      </c>
      <c r="M112" s="15">
        <v>2032</v>
      </c>
      <c r="N112" s="15">
        <v>2033</v>
      </c>
      <c r="O112" s="15">
        <v>2034</v>
      </c>
      <c r="P112" s="15">
        <v>2035</v>
      </c>
      <c r="Q112" s="15">
        <v>2036</v>
      </c>
      <c r="R112" s="15">
        <v>2037</v>
      </c>
      <c r="S112" s="15">
        <v>2038</v>
      </c>
      <c r="T112" s="15">
        <v>2039</v>
      </c>
      <c r="U112" s="15">
        <v>2040</v>
      </c>
      <c r="V112" s="15">
        <v>2041</v>
      </c>
      <c r="W112" s="15">
        <v>2042</v>
      </c>
      <c r="X112" s="15">
        <v>2043</v>
      </c>
      <c r="Y112" s="15">
        <v>2044</v>
      </c>
      <c r="Z112" s="15">
        <v>2045</v>
      </c>
      <c r="AA112" s="15">
        <v>2046</v>
      </c>
      <c r="AB112" s="15">
        <v>2047</v>
      </c>
      <c r="AC112" s="15">
        <v>2048</v>
      </c>
      <c r="AD112" s="15">
        <v>2049</v>
      </c>
      <c r="AE112" s="15">
        <v>2050</v>
      </c>
      <c r="AF112" s="15">
        <v>2051</v>
      </c>
      <c r="AG112" s="15">
        <v>2052</v>
      </c>
      <c r="AH112" s="15">
        <v>2053</v>
      </c>
      <c r="AI112" s="15">
        <v>2054</v>
      </c>
    </row>
    <row r="113" spans="3:35">
      <c r="C113" s="10" t="s">
        <v>336</v>
      </c>
      <c r="D113" s="132">
        <v>180975000</v>
      </c>
      <c r="E113" s="132">
        <v>180975000</v>
      </c>
      <c r="F113" s="11">
        <v>180975000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row>
    <row r="114" spans="3:35">
      <c r="C114" s="10" t="s">
        <v>301</v>
      </c>
      <c r="D114" s="11">
        <v>1945566.9449244244</v>
      </c>
      <c r="E114" s="11">
        <v>806929.33184775256</v>
      </c>
      <c r="F114" s="11">
        <v>0</v>
      </c>
      <c r="G114" s="11">
        <v>67088.515342221479</v>
      </c>
      <c r="H114" s="11">
        <v>67088.515342221479</v>
      </c>
      <c r="I114" s="11">
        <v>67088.515342221479</v>
      </c>
      <c r="J114" s="11">
        <v>67088.515342221479</v>
      </c>
      <c r="K114" s="11">
        <v>67088.515342221479</v>
      </c>
      <c r="L114" s="11">
        <v>67088.515342221479</v>
      </c>
      <c r="M114" s="11">
        <v>67088.515342221479</v>
      </c>
      <c r="N114" s="11">
        <v>67088.515342221479</v>
      </c>
      <c r="O114" s="11">
        <v>67088.515342221479</v>
      </c>
      <c r="P114" s="11">
        <v>67088.515342221479</v>
      </c>
      <c r="Q114" s="11">
        <v>67088.515342221479</v>
      </c>
      <c r="R114" s="11">
        <v>67088.515342221479</v>
      </c>
      <c r="S114" s="11">
        <v>67088.515342221479</v>
      </c>
      <c r="T114" s="11">
        <v>67088.515342221479</v>
      </c>
      <c r="U114" s="11">
        <v>67088.515342221479</v>
      </c>
      <c r="V114" s="11">
        <v>67088.515342221479</v>
      </c>
      <c r="W114" s="11">
        <v>67088.515342221479</v>
      </c>
      <c r="X114" s="11">
        <v>67088.515342221479</v>
      </c>
      <c r="Y114" s="11">
        <v>67088.515342221479</v>
      </c>
      <c r="Z114" s="11">
        <v>67088.515342221479</v>
      </c>
      <c r="AA114" s="11">
        <v>67088.515342221479</v>
      </c>
      <c r="AB114" s="11">
        <v>67088.515342221479</v>
      </c>
      <c r="AC114" s="11">
        <v>67088.515342221479</v>
      </c>
      <c r="AD114" s="11">
        <v>67088.515342221479</v>
      </c>
      <c r="AE114" s="11">
        <v>67088.515342221479</v>
      </c>
      <c r="AF114" s="11">
        <v>67088.515342221479</v>
      </c>
      <c r="AG114" s="11">
        <v>67088.515342221479</v>
      </c>
      <c r="AH114" s="11">
        <v>67088.515342221479</v>
      </c>
      <c r="AI114" s="11">
        <v>67088.515342221479</v>
      </c>
    </row>
    <row r="115" spans="3:35" ht="14.4">
      <c r="C115" s="23" t="s">
        <v>337</v>
      </c>
      <c r="D115" s="24">
        <v>1945566.9449244244</v>
      </c>
      <c r="E115" s="24">
        <v>806929.33184775256</v>
      </c>
      <c r="F115" s="24">
        <v>0</v>
      </c>
      <c r="G115" s="24">
        <v>67088.515342221479</v>
      </c>
      <c r="H115" s="24">
        <v>67088.515342221479</v>
      </c>
      <c r="I115" s="24">
        <v>67088.515342221479</v>
      </c>
      <c r="J115" s="24">
        <v>67088.515342221479</v>
      </c>
      <c r="K115" s="24">
        <v>67088.515342221479</v>
      </c>
      <c r="L115" s="24">
        <v>67088.515342221479</v>
      </c>
      <c r="M115" s="24">
        <v>67088.515342221479</v>
      </c>
      <c r="N115" s="24">
        <v>67088.515342221479</v>
      </c>
      <c r="O115" s="24">
        <v>67088.515342221479</v>
      </c>
      <c r="P115" s="24">
        <v>67088.515342221479</v>
      </c>
      <c r="Q115" s="24">
        <v>67088.515342221479</v>
      </c>
      <c r="R115" s="24">
        <v>67088.515342221479</v>
      </c>
      <c r="S115" s="24">
        <v>67088.515342221479</v>
      </c>
      <c r="T115" s="24">
        <v>67088.515342221479</v>
      </c>
      <c r="U115" s="24">
        <v>67088.515342221479</v>
      </c>
      <c r="V115" s="24">
        <v>67088.515342221479</v>
      </c>
      <c r="W115" s="24">
        <v>67088.515342221479</v>
      </c>
      <c r="X115" s="24">
        <v>67088.515342221479</v>
      </c>
      <c r="Y115" s="24">
        <v>67088.515342221479</v>
      </c>
      <c r="Z115" s="24">
        <v>67088.515342221479</v>
      </c>
      <c r="AA115" s="24">
        <v>67088.515342221479</v>
      </c>
      <c r="AB115" s="24">
        <v>67088.515342221479</v>
      </c>
      <c r="AC115" s="24">
        <v>67088.515342221479</v>
      </c>
      <c r="AD115" s="24">
        <v>67088.515342221479</v>
      </c>
      <c r="AE115" s="24">
        <v>67088.515342221479</v>
      </c>
      <c r="AF115" s="24">
        <v>67088.515342221479</v>
      </c>
      <c r="AG115" s="24">
        <v>67088.515342221479</v>
      </c>
      <c r="AH115" s="24">
        <v>67088.515342221479</v>
      </c>
      <c r="AI115" s="24">
        <v>67088.515342221479</v>
      </c>
    </row>
    <row r="116" spans="3:35" ht="14.4">
      <c r="C116" s="23" t="s">
        <v>521</v>
      </c>
      <c r="D116" s="24">
        <v>0</v>
      </c>
      <c r="E116" s="24">
        <v>0</v>
      </c>
      <c r="F116" s="24">
        <v>0</v>
      </c>
      <c r="G116" s="24">
        <v>0</v>
      </c>
      <c r="H116" s="24">
        <v>0</v>
      </c>
      <c r="I116" s="24">
        <v>0</v>
      </c>
      <c r="J116" s="24">
        <v>0</v>
      </c>
      <c r="K116" s="24">
        <v>0</v>
      </c>
      <c r="L116" s="24">
        <v>0</v>
      </c>
      <c r="M116" s="24">
        <v>0</v>
      </c>
      <c r="N116" s="24">
        <v>0</v>
      </c>
      <c r="O116" s="24">
        <v>0</v>
      </c>
      <c r="P116" s="24">
        <v>0</v>
      </c>
      <c r="Q116" s="24">
        <v>0</v>
      </c>
      <c r="R116" s="24">
        <v>0</v>
      </c>
      <c r="S116" s="24">
        <v>0</v>
      </c>
      <c r="T116" s="24">
        <v>0</v>
      </c>
      <c r="U116" s="24">
        <v>0</v>
      </c>
      <c r="V116" s="24">
        <v>0</v>
      </c>
      <c r="W116" s="24">
        <v>0</v>
      </c>
      <c r="X116" s="24">
        <v>0</v>
      </c>
      <c r="Y116" s="24">
        <v>0</v>
      </c>
      <c r="Z116" s="24">
        <v>0</v>
      </c>
      <c r="AA116" s="24">
        <v>0</v>
      </c>
      <c r="AB116" s="24">
        <v>0</v>
      </c>
      <c r="AC116" s="24">
        <v>0</v>
      </c>
      <c r="AD116" s="24">
        <v>0</v>
      </c>
      <c r="AE116" s="24">
        <v>0</v>
      </c>
      <c r="AF116" s="24">
        <v>0</v>
      </c>
      <c r="AG116" s="24">
        <v>0</v>
      </c>
      <c r="AH116" s="24">
        <v>0</v>
      </c>
      <c r="AI116" s="24">
        <v>0</v>
      </c>
    </row>
    <row r="117" spans="3:35">
      <c r="C117" s="10" t="s">
        <v>246</v>
      </c>
      <c r="D117" s="11">
        <v>62700000</v>
      </c>
      <c r="E117" s="11">
        <v>8326144.7433099095</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62700000</v>
      </c>
    </row>
    <row r="118" spans="3:35">
      <c r="C118" s="20" t="s">
        <v>288</v>
      </c>
      <c r="D118" s="13">
        <v>120220566.94492482</v>
      </c>
      <c r="E118" s="13">
        <v>173455784.58853784</v>
      </c>
      <c r="F118" s="13">
        <v>180975000</v>
      </c>
      <c r="G118" s="13">
        <v>67088.515342221479</v>
      </c>
      <c r="H118" s="13">
        <v>67088.515342221479</v>
      </c>
      <c r="I118" s="13">
        <v>67088.515342221479</v>
      </c>
      <c r="J118" s="13">
        <v>67088.515342221479</v>
      </c>
      <c r="K118" s="13">
        <v>67088.515342221479</v>
      </c>
      <c r="L118" s="13">
        <v>67088.515342221479</v>
      </c>
      <c r="M118" s="13">
        <v>67088.515342221479</v>
      </c>
      <c r="N118" s="13">
        <v>67088.515342221479</v>
      </c>
      <c r="O118" s="13">
        <v>67088.515342221479</v>
      </c>
      <c r="P118" s="13">
        <v>67088.515342221479</v>
      </c>
      <c r="Q118" s="13">
        <v>67088.515342221479</v>
      </c>
      <c r="R118" s="13">
        <v>67088.515342221479</v>
      </c>
      <c r="S118" s="13">
        <v>67088.515342221479</v>
      </c>
      <c r="T118" s="13">
        <v>67088.515342221479</v>
      </c>
      <c r="U118" s="13">
        <v>67088.515342221479</v>
      </c>
      <c r="V118" s="13">
        <v>67088.515342221479</v>
      </c>
      <c r="W118" s="13">
        <v>67088.515342221479</v>
      </c>
      <c r="X118" s="13">
        <v>67088.515342221479</v>
      </c>
      <c r="Y118" s="13">
        <v>67088.515342221479</v>
      </c>
      <c r="Z118" s="13">
        <v>67088.515342221479</v>
      </c>
      <c r="AA118" s="13">
        <v>67088.515342221479</v>
      </c>
      <c r="AB118" s="13">
        <v>67088.515342221479</v>
      </c>
      <c r="AC118" s="13">
        <v>67088.515342221479</v>
      </c>
      <c r="AD118" s="13">
        <v>67088.515342221479</v>
      </c>
      <c r="AE118" s="13">
        <v>67088.515342221479</v>
      </c>
      <c r="AF118" s="13">
        <v>67088.515342221479</v>
      </c>
      <c r="AG118" s="13">
        <v>67088.515342221479</v>
      </c>
      <c r="AH118" s="13">
        <v>67088.515342221479</v>
      </c>
      <c r="AI118" s="13">
        <v>-62632911.484657779</v>
      </c>
    </row>
    <row r="121" spans="3:35">
      <c r="C121" s="39" t="s">
        <v>522</v>
      </c>
    </row>
    <row r="123" spans="3:35">
      <c r="C123" s="14" t="s">
        <v>344</v>
      </c>
      <c r="D123" s="14" t="s">
        <v>325</v>
      </c>
      <c r="E123" s="136" t="s">
        <v>465</v>
      </c>
      <c r="F123" s="136">
        <v>2025</v>
      </c>
      <c r="G123" s="136">
        <v>2026</v>
      </c>
      <c r="H123" s="136">
        <v>2027</v>
      </c>
      <c r="I123" s="136">
        <v>2028</v>
      </c>
      <c r="J123" s="136">
        <v>2029</v>
      </c>
      <c r="K123" s="136">
        <v>2030</v>
      </c>
      <c r="L123" s="136">
        <v>2031</v>
      </c>
      <c r="M123" s="136">
        <v>2032</v>
      </c>
      <c r="N123" s="136">
        <v>2033</v>
      </c>
      <c r="O123" s="136">
        <v>2034</v>
      </c>
      <c r="P123" s="136">
        <v>2035</v>
      </c>
      <c r="Q123" s="136">
        <v>2036</v>
      </c>
      <c r="R123" s="136">
        <v>2037</v>
      </c>
      <c r="S123" s="136">
        <v>2038</v>
      </c>
      <c r="T123" s="136">
        <v>2039</v>
      </c>
      <c r="U123" s="136">
        <v>2040</v>
      </c>
      <c r="V123" s="136">
        <v>2041</v>
      </c>
      <c r="W123" s="136">
        <v>2042</v>
      </c>
      <c r="X123" s="136">
        <v>2043</v>
      </c>
      <c r="Y123" s="136">
        <v>2044</v>
      </c>
      <c r="Z123" s="136">
        <v>2045</v>
      </c>
      <c r="AA123" s="136">
        <v>2046</v>
      </c>
      <c r="AB123" s="136">
        <v>2047</v>
      </c>
      <c r="AC123" s="136">
        <v>2048</v>
      </c>
      <c r="AD123" s="136">
        <v>2049</v>
      </c>
      <c r="AE123" s="136">
        <v>2050</v>
      </c>
      <c r="AF123" s="136">
        <v>2051</v>
      </c>
      <c r="AG123" s="136">
        <v>2052</v>
      </c>
      <c r="AH123" s="136">
        <v>2053</v>
      </c>
      <c r="AI123" s="136">
        <v>2054</v>
      </c>
    </row>
    <row r="124" spans="3:35">
      <c r="C124" s="26" t="s">
        <v>345</v>
      </c>
      <c r="D124" s="11">
        <v>180975000</v>
      </c>
      <c r="E124" s="11">
        <v>180975000</v>
      </c>
      <c r="F124" s="135">
        <v>180975000</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0</v>
      </c>
      <c r="V124" s="135">
        <v>0</v>
      </c>
      <c r="W124" s="135">
        <v>0</v>
      </c>
      <c r="X124" s="135">
        <v>0</v>
      </c>
      <c r="Y124" s="135">
        <v>0</v>
      </c>
      <c r="Z124" s="135">
        <v>0</v>
      </c>
      <c r="AA124" s="135">
        <v>0</v>
      </c>
      <c r="AB124" s="135">
        <v>0</v>
      </c>
      <c r="AC124" s="135">
        <v>0</v>
      </c>
      <c r="AD124" s="135">
        <v>0</v>
      </c>
      <c r="AE124" s="135">
        <v>0</v>
      </c>
      <c r="AF124" s="135">
        <v>0</v>
      </c>
      <c r="AG124" s="135">
        <v>0</v>
      </c>
      <c r="AH124" s="135">
        <v>0</v>
      </c>
      <c r="AI124" s="135">
        <v>0</v>
      </c>
    </row>
    <row r="125" spans="3:35">
      <c r="C125" s="26" t="s">
        <v>346</v>
      </c>
      <c r="D125" s="11">
        <v>1945566.9449244244</v>
      </c>
      <c r="E125" s="11">
        <v>806929.33184775256</v>
      </c>
      <c r="F125" s="16">
        <v>0</v>
      </c>
      <c r="G125" s="16">
        <v>67088.515342221479</v>
      </c>
      <c r="H125" s="16">
        <v>67088.515342221479</v>
      </c>
      <c r="I125" s="16">
        <v>67088.515342221479</v>
      </c>
      <c r="J125" s="16">
        <v>67088.515342221479</v>
      </c>
      <c r="K125" s="16">
        <v>67088.515342221479</v>
      </c>
      <c r="L125" s="16">
        <v>67088.515342221479</v>
      </c>
      <c r="M125" s="16">
        <v>67088.515342221479</v>
      </c>
      <c r="N125" s="16">
        <v>67088.515342221479</v>
      </c>
      <c r="O125" s="16">
        <v>67088.515342221479</v>
      </c>
      <c r="P125" s="16">
        <v>67088.515342221479</v>
      </c>
      <c r="Q125" s="16">
        <v>67088.515342221479</v>
      </c>
      <c r="R125" s="16">
        <v>67088.515342221479</v>
      </c>
      <c r="S125" s="16">
        <v>67088.515342221479</v>
      </c>
      <c r="T125" s="16">
        <v>67088.515342221479</v>
      </c>
      <c r="U125" s="16">
        <v>67088.515342221479</v>
      </c>
      <c r="V125" s="16">
        <v>67088.515342221479</v>
      </c>
      <c r="W125" s="16">
        <v>67088.515342221479</v>
      </c>
      <c r="X125" s="16">
        <v>67088.515342221479</v>
      </c>
      <c r="Y125" s="16">
        <v>67088.515342221479</v>
      </c>
      <c r="Z125" s="16">
        <v>67088.515342221479</v>
      </c>
      <c r="AA125" s="16">
        <v>67088.515342221479</v>
      </c>
      <c r="AB125" s="16">
        <v>67088.515342221479</v>
      </c>
      <c r="AC125" s="16">
        <v>67088.515342221479</v>
      </c>
      <c r="AD125" s="16">
        <v>67088.515342221479</v>
      </c>
      <c r="AE125" s="16">
        <v>67088.515342221479</v>
      </c>
      <c r="AF125" s="16">
        <v>67088.515342221479</v>
      </c>
      <c r="AG125" s="16">
        <v>67088.515342221479</v>
      </c>
      <c r="AH125" s="16">
        <v>67088.515342221479</v>
      </c>
      <c r="AI125" s="16">
        <v>67088.515342221479</v>
      </c>
    </row>
    <row r="126" spans="3:35">
      <c r="C126" s="26" t="s">
        <v>349</v>
      </c>
      <c r="D126" s="11">
        <v>182920566.94492483</v>
      </c>
      <c r="E126" s="11">
        <v>181781929.33184776</v>
      </c>
      <c r="F126" s="16">
        <v>180975000</v>
      </c>
      <c r="G126" s="16">
        <v>67088.515342221479</v>
      </c>
      <c r="H126" s="16">
        <v>67088.515342221479</v>
      </c>
      <c r="I126" s="16">
        <v>67088.515342221479</v>
      </c>
      <c r="J126" s="16">
        <v>67088.515342221479</v>
      </c>
      <c r="K126" s="16">
        <v>67088.515342221479</v>
      </c>
      <c r="L126" s="16">
        <v>67088.515342221479</v>
      </c>
      <c r="M126" s="16">
        <v>67088.515342221479</v>
      </c>
      <c r="N126" s="16">
        <v>67088.515342221479</v>
      </c>
      <c r="O126" s="16">
        <v>67088.515342221479</v>
      </c>
      <c r="P126" s="16">
        <v>67088.515342221479</v>
      </c>
      <c r="Q126" s="16">
        <v>67088.515342221479</v>
      </c>
      <c r="R126" s="16">
        <v>67088.515342221479</v>
      </c>
      <c r="S126" s="16">
        <v>67088.515342221479</v>
      </c>
      <c r="T126" s="16">
        <v>67088.515342221479</v>
      </c>
      <c r="U126" s="16">
        <v>67088.515342221479</v>
      </c>
      <c r="V126" s="16">
        <v>67088.515342221479</v>
      </c>
      <c r="W126" s="16">
        <v>67088.515342221479</v>
      </c>
      <c r="X126" s="16">
        <v>67088.515342221479</v>
      </c>
      <c r="Y126" s="16">
        <v>67088.515342221479</v>
      </c>
      <c r="Z126" s="16">
        <v>67088.515342221479</v>
      </c>
      <c r="AA126" s="16">
        <v>67088.515342221479</v>
      </c>
      <c r="AB126" s="16">
        <v>67088.515342221479</v>
      </c>
      <c r="AC126" s="16">
        <v>67088.515342221479</v>
      </c>
      <c r="AD126" s="16">
        <v>67088.515342221479</v>
      </c>
      <c r="AE126" s="16">
        <v>67088.515342221479</v>
      </c>
      <c r="AF126" s="16">
        <v>67088.515342221479</v>
      </c>
      <c r="AG126" s="16">
        <v>67088.515342221479</v>
      </c>
      <c r="AH126" s="16">
        <v>67088.515342221479</v>
      </c>
      <c r="AI126" s="16">
        <v>67088.515342221479</v>
      </c>
    </row>
    <row r="127" spans="3:35">
      <c r="C127" s="26" t="s">
        <v>350</v>
      </c>
      <c r="D127" s="11">
        <v>12969278.661386745</v>
      </c>
      <c r="E127" s="11">
        <v>5379044.5978134405</v>
      </c>
      <c r="F127" s="16">
        <v>0</v>
      </c>
      <c r="G127" s="16">
        <v>447216.5055650599</v>
      </c>
      <c r="H127" s="16">
        <v>447216.5055650599</v>
      </c>
      <c r="I127" s="16">
        <v>447216.5055650599</v>
      </c>
      <c r="J127" s="16">
        <v>447216.5055650599</v>
      </c>
      <c r="K127" s="16">
        <v>447216.5055650599</v>
      </c>
      <c r="L127" s="16">
        <v>447216.5055650599</v>
      </c>
      <c r="M127" s="16">
        <v>447216.5055650599</v>
      </c>
      <c r="N127" s="16">
        <v>447216.5055650599</v>
      </c>
      <c r="O127" s="16">
        <v>447216.5055650599</v>
      </c>
      <c r="P127" s="16">
        <v>447216.5055650599</v>
      </c>
      <c r="Q127" s="16">
        <v>447216.5055650599</v>
      </c>
      <c r="R127" s="16">
        <v>447216.5055650599</v>
      </c>
      <c r="S127" s="16">
        <v>447216.5055650599</v>
      </c>
      <c r="T127" s="16">
        <v>447216.5055650599</v>
      </c>
      <c r="U127" s="16">
        <v>447216.5055650599</v>
      </c>
      <c r="V127" s="16">
        <v>447216.5055650599</v>
      </c>
      <c r="W127" s="16">
        <v>447216.5055650599</v>
      </c>
      <c r="X127" s="16">
        <v>447216.5055650599</v>
      </c>
      <c r="Y127" s="16">
        <v>447216.5055650599</v>
      </c>
      <c r="Z127" s="16">
        <v>447216.5055650599</v>
      </c>
      <c r="AA127" s="16">
        <v>447216.5055650599</v>
      </c>
      <c r="AB127" s="16">
        <v>447216.5055650599</v>
      </c>
      <c r="AC127" s="16">
        <v>447216.5055650599</v>
      </c>
      <c r="AD127" s="16">
        <v>447216.5055650599</v>
      </c>
      <c r="AE127" s="16">
        <v>447216.5055650599</v>
      </c>
      <c r="AF127" s="16">
        <v>447216.5055650599</v>
      </c>
      <c r="AG127" s="16">
        <v>447216.5055650599</v>
      </c>
      <c r="AH127" s="16">
        <v>447216.5055650599</v>
      </c>
      <c r="AI127" s="16">
        <v>447216.5055650599</v>
      </c>
    </row>
    <row r="128" spans="3:35">
      <c r="C128" s="26" t="s">
        <v>351</v>
      </c>
      <c r="D128" s="11">
        <v>12969278.661386745</v>
      </c>
      <c r="E128" s="11">
        <v>5379044.5978134405</v>
      </c>
      <c r="F128" s="16">
        <v>0</v>
      </c>
      <c r="G128" s="16">
        <v>447216.5055650599</v>
      </c>
      <c r="H128" s="16">
        <v>447216.5055650599</v>
      </c>
      <c r="I128" s="16">
        <v>447216.5055650599</v>
      </c>
      <c r="J128" s="16">
        <v>447216.5055650599</v>
      </c>
      <c r="K128" s="16">
        <v>447216.5055650599</v>
      </c>
      <c r="L128" s="16">
        <v>447216.5055650599</v>
      </c>
      <c r="M128" s="16">
        <v>447216.5055650599</v>
      </c>
      <c r="N128" s="16">
        <v>447216.5055650599</v>
      </c>
      <c r="O128" s="16">
        <v>447216.5055650599</v>
      </c>
      <c r="P128" s="16">
        <v>447216.5055650599</v>
      </c>
      <c r="Q128" s="16">
        <v>447216.5055650599</v>
      </c>
      <c r="R128" s="16">
        <v>447216.5055650599</v>
      </c>
      <c r="S128" s="16">
        <v>447216.5055650599</v>
      </c>
      <c r="T128" s="16">
        <v>447216.5055650599</v>
      </c>
      <c r="U128" s="16">
        <v>447216.5055650599</v>
      </c>
      <c r="V128" s="16">
        <v>447216.5055650599</v>
      </c>
      <c r="W128" s="16">
        <v>447216.5055650599</v>
      </c>
      <c r="X128" s="16">
        <v>447216.5055650599</v>
      </c>
      <c r="Y128" s="16">
        <v>447216.5055650599</v>
      </c>
      <c r="Z128" s="16">
        <v>447216.5055650599</v>
      </c>
      <c r="AA128" s="16">
        <v>447216.5055650599</v>
      </c>
      <c r="AB128" s="16">
        <v>447216.5055650599</v>
      </c>
      <c r="AC128" s="16">
        <v>447216.5055650599</v>
      </c>
      <c r="AD128" s="16">
        <v>447216.5055650599</v>
      </c>
      <c r="AE128" s="16">
        <v>447216.5055650599</v>
      </c>
      <c r="AF128" s="16">
        <v>447216.5055650599</v>
      </c>
      <c r="AG128" s="16">
        <v>447216.5055650599</v>
      </c>
      <c r="AH128" s="16">
        <v>447216.5055650599</v>
      </c>
      <c r="AI128" s="16">
        <v>447216.5055650599</v>
      </c>
    </row>
    <row r="129" spans="3:35">
      <c r="C129" s="26" t="s">
        <v>352</v>
      </c>
      <c r="D129" s="11">
        <v>62700000</v>
      </c>
      <c r="E129" s="11">
        <v>8326144.7433099095</v>
      </c>
      <c r="F129" s="135">
        <v>0</v>
      </c>
      <c r="G129" s="135">
        <v>0</v>
      </c>
      <c r="H129" s="135">
        <v>0</v>
      </c>
      <c r="I129" s="135">
        <v>0</v>
      </c>
      <c r="J129" s="135">
        <v>0</v>
      </c>
      <c r="K129" s="135">
        <v>0</v>
      </c>
      <c r="L129" s="135">
        <v>0</v>
      </c>
      <c r="M129" s="135">
        <v>0</v>
      </c>
      <c r="N129" s="135">
        <v>0</v>
      </c>
      <c r="O129" s="135">
        <v>0</v>
      </c>
      <c r="P129" s="135">
        <v>0</v>
      </c>
      <c r="Q129" s="135">
        <v>0</v>
      </c>
      <c r="R129" s="135">
        <v>0</v>
      </c>
      <c r="S129" s="135">
        <v>0</v>
      </c>
      <c r="T129" s="135">
        <v>0</v>
      </c>
      <c r="U129" s="135">
        <v>0</v>
      </c>
      <c r="V129" s="135">
        <v>0</v>
      </c>
      <c r="W129" s="135">
        <v>0</v>
      </c>
      <c r="X129" s="135">
        <v>0</v>
      </c>
      <c r="Y129" s="135">
        <v>0</v>
      </c>
      <c r="Z129" s="135">
        <v>0</v>
      </c>
      <c r="AA129" s="135">
        <v>0</v>
      </c>
      <c r="AB129" s="135">
        <v>0</v>
      </c>
      <c r="AC129" s="135">
        <v>0</v>
      </c>
      <c r="AD129" s="135">
        <v>0</v>
      </c>
      <c r="AE129" s="135">
        <v>0</v>
      </c>
      <c r="AF129" s="135">
        <v>0</v>
      </c>
      <c r="AG129" s="135">
        <v>0</v>
      </c>
      <c r="AH129" s="135">
        <v>0</v>
      </c>
      <c r="AI129" s="135">
        <v>62700000</v>
      </c>
    </row>
    <row r="130" spans="3:35">
      <c r="C130" s="27" t="s">
        <v>353</v>
      </c>
      <c r="D130" s="132">
        <v>-107251288.2835376</v>
      </c>
      <c r="E130" s="133">
        <v>-168076739.99072441</v>
      </c>
      <c r="F130" s="135">
        <v>-180975000</v>
      </c>
      <c r="G130" s="135">
        <v>380127.99022283842</v>
      </c>
      <c r="H130" s="135">
        <v>380127.99022283842</v>
      </c>
      <c r="I130" s="135">
        <v>380127.99022283842</v>
      </c>
      <c r="J130" s="135">
        <v>380127.99022283842</v>
      </c>
      <c r="K130" s="135">
        <v>380127.99022283842</v>
      </c>
      <c r="L130" s="135">
        <v>380127.99022283842</v>
      </c>
      <c r="M130" s="135">
        <v>380127.99022283842</v>
      </c>
      <c r="N130" s="135">
        <v>380127.99022283842</v>
      </c>
      <c r="O130" s="135">
        <v>380127.99022283842</v>
      </c>
      <c r="P130" s="135">
        <v>380127.99022283842</v>
      </c>
      <c r="Q130" s="135">
        <v>380127.99022283842</v>
      </c>
      <c r="R130" s="135">
        <v>380127.99022283842</v>
      </c>
      <c r="S130" s="135">
        <v>380127.99022283842</v>
      </c>
      <c r="T130" s="135">
        <v>380127.99022283842</v>
      </c>
      <c r="U130" s="135">
        <v>380127.99022283842</v>
      </c>
      <c r="V130" s="135">
        <v>380127.99022283842</v>
      </c>
      <c r="W130" s="135">
        <v>380127.99022283842</v>
      </c>
      <c r="X130" s="135">
        <v>380127.99022283842</v>
      </c>
      <c r="Y130" s="135">
        <v>380127.99022283842</v>
      </c>
      <c r="Z130" s="135">
        <v>380127.99022283842</v>
      </c>
      <c r="AA130" s="135">
        <v>380127.99022283842</v>
      </c>
      <c r="AB130" s="135">
        <v>380127.99022283842</v>
      </c>
      <c r="AC130" s="135">
        <v>380127.99022283842</v>
      </c>
      <c r="AD130" s="135">
        <v>380127.99022283842</v>
      </c>
      <c r="AE130" s="135">
        <v>380127.99022283842</v>
      </c>
      <c r="AF130" s="135">
        <v>380127.99022283842</v>
      </c>
      <c r="AG130" s="135">
        <v>380127.99022283842</v>
      </c>
      <c r="AH130" s="135">
        <v>380127.99022283842</v>
      </c>
      <c r="AI130" s="135">
        <v>63080127.990222842</v>
      </c>
    </row>
    <row r="131" spans="3:35">
      <c r="C131" s="26" t="s">
        <v>354</v>
      </c>
      <c r="D131" s="142">
        <v>-168076739.99072441</v>
      </c>
      <c r="E131" s="147"/>
    </row>
    <row r="132" spans="3:35">
      <c r="C132" s="26" t="s">
        <v>355</v>
      </c>
      <c r="D132" s="29">
        <v>-3.2256275418031888E-2</v>
      </c>
    </row>
    <row r="135" spans="3:35">
      <c r="C135" s="39" t="s">
        <v>523</v>
      </c>
    </row>
    <row r="137" spans="3:35">
      <c r="C137" s="14" t="s">
        <v>335</v>
      </c>
      <c r="D137" s="14" t="s">
        <v>524</v>
      </c>
      <c r="E137" s="14" t="s">
        <v>514</v>
      </c>
      <c r="F137" s="14" t="s">
        <v>525</v>
      </c>
    </row>
    <row r="138" spans="3:35">
      <c r="C138" s="30" t="s">
        <v>530</v>
      </c>
      <c r="D138" s="29" t="s">
        <v>563</v>
      </c>
      <c r="E138" s="11">
        <v>180975000</v>
      </c>
      <c r="F138" s="132">
        <v>452437.5</v>
      </c>
    </row>
    <row r="139" spans="3:35">
      <c r="C139" s="30" t="s">
        <v>541</v>
      </c>
      <c r="D139" s="31"/>
      <c r="E139" s="11">
        <v>0</v>
      </c>
      <c r="F139" s="132">
        <v>0</v>
      </c>
    </row>
    <row r="140" spans="3:35">
      <c r="C140" s="30" t="s">
        <v>542</v>
      </c>
      <c r="D140" s="138">
        <v>1</v>
      </c>
      <c r="E140" s="31"/>
      <c r="F140" s="31"/>
    </row>
    <row r="141" spans="3:35">
      <c r="C141" s="30" t="s">
        <v>543</v>
      </c>
      <c r="D141" s="32">
        <v>1</v>
      </c>
      <c r="E141" s="11">
        <v>180975000</v>
      </c>
      <c r="F141" s="132">
        <v>452437.5</v>
      </c>
    </row>
    <row r="142" spans="3:35">
      <c r="C142" s="30" t="s">
        <v>118</v>
      </c>
      <c r="D142" s="138">
        <v>0.83</v>
      </c>
      <c r="E142" s="31"/>
      <c r="F142" s="31"/>
    </row>
    <row r="143" spans="3:35">
      <c r="C143" s="30" t="s">
        <v>119</v>
      </c>
      <c r="D143" s="138">
        <v>0.17000000000000004</v>
      </c>
      <c r="E143" s="31"/>
      <c r="F143" s="31"/>
    </row>
    <row r="144" spans="3:35">
      <c r="C144" s="30" t="s">
        <v>533</v>
      </c>
      <c r="D144" s="141"/>
      <c r="E144" s="132">
        <v>150209250</v>
      </c>
      <c r="F144" s="132">
        <v>375523.125</v>
      </c>
    </row>
    <row r="145" spans="3:35">
      <c r="C145" s="30" t="s">
        <v>534</v>
      </c>
      <c r="D145" s="141"/>
      <c r="E145" s="132">
        <v>30765750.000000007</v>
      </c>
      <c r="F145" s="132">
        <v>76914.375000000015</v>
      </c>
    </row>
    <row r="146" spans="3:35">
      <c r="C146" s="30" t="s">
        <v>544</v>
      </c>
      <c r="D146" s="141"/>
      <c r="E146" s="11">
        <v>0</v>
      </c>
      <c r="F146" s="132">
        <v>0</v>
      </c>
    </row>
    <row r="147" spans="3:35">
      <c r="C147" s="30" t="s">
        <v>536</v>
      </c>
      <c r="D147" s="141"/>
      <c r="E147" s="11">
        <v>30765750.000000007</v>
      </c>
      <c r="F147" s="132">
        <v>76914.375000000015</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36">
        <v>2025</v>
      </c>
      <c r="E153" s="136">
        <v>2026</v>
      </c>
      <c r="F153" s="136">
        <v>2027</v>
      </c>
      <c r="G153" s="136">
        <v>2028</v>
      </c>
      <c r="H153" s="136">
        <v>2029</v>
      </c>
      <c r="I153" s="136">
        <v>2030</v>
      </c>
      <c r="J153" s="136">
        <v>2031</v>
      </c>
      <c r="K153" s="136">
        <v>2032</v>
      </c>
      <c r="L153" s="136">
        <v>2033</v>
      </c>
      <c r="M153" s="136">
        <v>2034</v>
      </c>
      <c r="N153" s="136">
        <v>2035</v>
      </c>
      <c r="O153" s="136">
        <v>2036</v>
      </c>
      <c r="P153" s="136">
        <v>2037</v>
      </c>
      <c r="Q153" s="136">
        <v>2038</v>
      </c>
      <c r="R153" s="136">
        <v>2039</v>
      </c>
      <c r="S153" s="136">
        <v>2040</v>
      </c>
      <c r="T153" s="136">
        <v>2041</v>
      </c>
      <c r="U153" s="136">
        <v>2042</v>
      </c>
      <c r="V153" s="136">
        <v>2043</v>
      </c>
      <c r="W153" s="136">
        <v>2044</v>
      </c>
      <c r="X153" s="136">
        <v>2045</v>
      </c>
      <c r="Y153" s="136">
        <v>2046</v>
      </c>
      <c r="Z153" s="136">
        <v>2047</v>
      </c>
      <c r="AA153" s="136">
        <v>2048</v>
      </c>
      <c r="AB153" s="136">
        <v>2049</v>
      </c>
      <c r="AC153" s="136">
        <v>2050</v>
      </c>
      <c r="AD153" s="136">
        <v>2051</v>
      </c>
      <c r="AE153" s="136">
        <v>2052</v>
      </c>
      <c r="AF153" s="136">
        <v>2053</v>
      </c>
      <c r="AG153" s="136">
        <v>2054</v>
      </c>
    </row>
    <row r="154" spans="3:35">
      <c r="C154" s="163" t="s">
        <v>379</v>
      </c>
      <c r="D154" s="164">
        <v>180975000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67088.515342221479</v>
      </c>
      <c r="F155" s="164">
        <v>67088.515342221479</v>
      </c>
      <c r="G155" s="164">
        <v>67088.515342221479</v>
      </c>
      <c r="H155" s="164">
        <v>67088.515342221479</v>
      </c>
      <c r="I155" s="164">
        <v>67088.515342221479</v>
      </c>
      <c r="J155" s="164">
        <v>67088.515342221479</v>
      </c>
      <c r="K155" s="164">
        <v>67088.515342221479</v>
      </c>
      <c r="L155" s="164">
        <v>67088.515342221479</v>
      </c>
      <c r="M155" s="164">
        <v>67088.515342221479</v>
      </c>
      <c r="N155" s="164">
        <v>67088.515342221479</v>
      </c>
      <c r="O155" s="164">
        <v>67088.515342221479</v>
      </c>
      <c r="P155" s="164">
        <v>67088.515342221479</v>
      </c>
      <c r="Q155" s="164">
        <v>67088.515342221479</v>
      </c>
      <c r="R155" s="164">
        <v>67088.515342221479</v>
      </c>
      <c r="S155" s="164">
        <v>67088.515342221479</v>
      </c>
      <c r="T155" s="164">
        <v>67088.515342221479</v>
      </c>
      <c r="U155" s="164">
        <v>67088.515342221479</v>
      </c>
      <c r="V155" s="164">
        <v>67088.515342221479</v>
      </c>
      <c r="W155" s="164">
        <v>67088.515342221479</v>
      </c>
      <c r="X155" s="164">
        <v>67088.515342221479</v>
      </c>
      <c r="Y155" s="164">
        <v>67088.515342221479</v>
      </c>
      <c r="Z155" s="164">
        <v>67088.515342221479</v>
      </c>
      <c r="AA155" s="164">
        <v>67088.515342221479</v>
      </c>
      <c r="AB155" s="164">
        <v>67088.515342221479</v>
      </c>
      <c r="AC155" s="164">
        <v>67088.515342221479</v>
      </c>
      <c r="AD155" s="164">
        <v>67088.515342221479</v>
      </c>
      <c r="AE155" s="164">
        <v>67088.515342221479</v>
      </c>
      <c r="AF155" s="164">
        <v>67088.515342221479</v>
      </c>
      <c r="AG155" s="164">
        <v>67088.515342221479</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180975000</v>
      </c>
      <c r="E159" s="162">
        <v>67088.515342221479</v>
      </c>
      <c r="F159" s="162">
        <v>67088.515342221479</v>
      </c>
      <c r="G159" s="162">
        <v>67088.515342221479</v>
      </c>
      <c r="H159" s="162">
        <v>67088.515342221479</v>
      </c>
      <c r="I159" s="162">
        <v>67088.515342221479</v>
      </c>
      <c r="J159" s="162">
        <v>67088.515342221479</v>
      </c>
      <c r="K159" s="162">
        <v>67088.515342221479</v>
      </c>
      <c r="L159" s="162">
        <v>67088.515342221479</v>
      </c>
      <c r="M159" s="162">
        <v>67088.515342221479</v>
      </c>
      <c r="N159" s="162">
        <v>67088.515342221479</v>
      </c>
      <c r="O159" s="162">
        <v>67088.515342221479</v>
      </c>
      <c r="P159" s="162">
        <v>67088.515342221479</v>
      </c>
      <c r="Q159" s="162">
        <v>67088.515342221479</v>
      </c>
      <c r="R159" s="162">
        <v>67088.515342221479</v>
      </c>
      <c r="S159" s="162">
        <v>67088.515342221479</v>
      </c>
      <c r="T159" s="162">
        <v>67088.515342221479</v>
      </c>
      <c r="U159" s="162">
        <v>67088.515342221479</v>
      </c>
      <c r="V159" s="162">
        <v>67088.515342221479</v>
      </c>
      <c r="W159" s="162">
        <v>67088.515342221479</v>
      </c>
      <c r="X159" s="162">
        <v>67088.515342221479</v>
      </c>
      <c r="Y159" s="162">
        <v>67088.515342221479</v>
      </c>
      <c r="Z159" s="162">
        <v>67088.515342221479</v>
      </c>
      <c r="AA159" s="162">
        <v>67088.515342221479</v>
      </c>
      <c r="AB159" s="162">
        <v>67088.515342221479</v>
      </c>
      <c r="AC159" s="162">
        <v>67088.515342221479</v>
      </c>
      <c r="AD159" s="162">
        <v>67088.515342221479</v>
      </c>
      <c r="AE159" s="162">
        <v>67088.515342221479</v>
      </c>
      <c r="AF159" s="162">
        <v>67088.515342221479</v>
      </c>
      <c r="AG159" s="162">
        <v>67088.515342221479</v>
      </c>
      <c r="AH159" s="3"/>
      <c r="AI159" s="3"/>
    </row>
    <row r="160" spans="3:35">
      <c r="C160" s="163" t="s">
        <v>385</v>
      </c>
      <c r="D160" s="164">
        <v>0</v>
      </c>
      <c r="E160" s="164">
        <v>447216.5055650599</v>
      </c>
      <c r="F160" s="164">
        <v>447216.5055650599</v>
      </c>
      <c r="G160" s="164">
        <v>447216.5055650599</v>
      </c>
      <c r="H160" s="164">
        <v>447216.5055650599</v>
      </c>
      <c r="I160" s="164">
        <v>447216.5055650599</v>
      </c>
      <c r="J160" s="164">
        <v>447216.5055650599</v>
      </c>
      <c r="K160" s="164">
        <v>447216.5055650599</v>
      </c>
      <c r="L160" s="164">
        <v>447216.5055650599</v>
      </c>
      <c r="M160" s="164">
        <v>447216.5055650599</v>
      </c>
      <c r="N160" s="164">
        <v>447216.5055650599</v>
      </c>
      <c r="O160" s="164">
        <v>447216.5055650599</v>
      </c>
      <c r="P160" s="164">
        <v>447216.5055650599</v>
      </c>
      <c r="Q160" s="164">
        <v>447216.5055650599</v>
      </c>
      <c r="R160" s="164">
        <v>447216.5055650599</v>
      </c>
      <c r="S160" s="164">
        <v>447216.5055650599</v>
      </c>
      <c r="T160" s="164">
        <v>447216.5055650599</v>
      </c>
      <c r="U160" s="164">
        <v>447216.5055650599</v>
      </c>
      <c r="V160" s="164">
        <v>447216.5055650599</v>
      </c>
      <c r="W160" s="164">
        <v>447216.5055650599</v>
      </c>
      <c r="X160" s="164">
        <v>447216.5055650599</v>
      </c>
      <c r="Y160" s="164">
        <v>447216.5055650599</v>
      </c>
      <c r="Z160" s="164">
        <v>447216.5055650599</v>
      </c>
      <c r="AA160" s="164">
        <v>447216.5055650599</v>
      </c>
      <c r="AB160" s="164">
        <v>447216.5055650599</v>
      </c>
      <c r="AC160" s="164">
        <v>447216.5055650599</v>
      </c>
      <c r="AD160" s="164">
        <v>447216.5055650599</v>
      </c>
      <c r="AE160" s="164">
        <v>447216.5055650599</v>
      </c>
      <c r="AF160" s="164">
        <v>447216.5055650599</v>
      </c>
      <c r="AG160" s="164">
        <v>447216.5055650599</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150209250</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30765750</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62700000</v>
      </c>
      <c r="AH163" s="3"/>
      <c r="AI163" s="3"/>
    </row>
    <row r="164" spans="3:35">
      <c r="C164" s="163" t="s">
        <v>389</v>
      </c>
      <c r="D164" s="164">
        <v>30765750</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62700000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62700000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62700000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180975000</v>
      </c>
      <c r="E171" s="162">
        <v>447216.5055650599</v>
      </c>
      <c r="F171" s="162">
        <v>447216.5055650599</v>
      </c>
      <c r="G171" s="162">
        <v>447216.5055650599</v>
      </c>
      <c r="H171" s="162">
        <v>447216.5055650599</v>
      </c>
      <c r="I171" s="162">
        <v>447216.5055650599</v>
      </c>
      <c r="J171" s="162">
        <v>447216.5055650599</v>
      </c>
      <c r="K171" s="162">
        <v>447216.5055650599</v>
      </c>
      <c r="L171" s="162">
        <v>447216.5055650599</v>
      </c>
      <c r="M171" s="162">
        <v>447216.5055650599</v>
      </c>
      <c r="N171" s="162">
        <v>447216.5055650599</v>
      </c>
      <c r="O171" s="162">
        <v>447216.5055650599</v>
      </c>
      <c r="P171" s="162">
        <v>447216.5055650599</v>
      </c>
      <c r="Q171" s="162">
        <v>447216.5055650599</v>
      </c>
      <c r="R171" s="162">
        <v>447216.5055650599</v>
      </c>
      <c r="S171" s="162">
        <v>447216.5055650599</v>
      </c>
      <c r="T171" s="162">
        <v>447216.5055650599</v>
      </c>
      <c r="U171" s="162">
        <v>447216.5055650599</v>
      </c>
      <c r="V171" s="162">
        <v>447216.5055650599</v>
      </c>
      <c r="W171" s="162">
        <v>447216.5055650599</v>
      </c>
      <c r="X171" s="162">
        <v>447216.5055650599</v>
      </c>
      <c r="Y171" s="162">
        <v>447216.5055650599</v>
      </c>
      <c r="Z171" s="162">
        <v>447216.5055650599</v>
      </c>
      <c r="AA171" s="162">
        <v>447216.5055650599</v>
      </c>
      <c r="AB171" s="162">
        <v>447216.5055650599</v>
      </c>
      <c r="AC171" s="162">
        <v>447216.5055650599</v>
      </c>
      <c r="AD171" s="162">
        <v>447216.5055650599</v>
      </c>
      <c r="AE171" s="162">
        <v>447216.5055650599</v>
      </c>
      <c r="AF171" s="162">
        <v>447216.5055650599</v>
      </c>
      <c r="AG171" s="162">
        <v>63147216.505565062</v>
      </c>
      <c r="AH171" s="3"/>
      <c r="AI171" s="3"/>
    </row>
    <row r="172" spans="3:35">
      <c r="C172" s="165" t="s">
        <v>397</v>
      </c>
      <c r="D172" s="162">
        <v>0</v>
      </c>
      <c r="E172" s="162">
        <v>380127.99022283842</v>
      </c>
      <c r="F172" s="162">
        <v>380127.99022283842</v>
      </c>
      <c r="G172" s="162">
        <v>380127.99022283842</v>
      </c>
      <c r="H172" s="162">
        <v>380127.99022283842</v>
      </c>
      <c r="I172" s="162">
        <v>380127.99022283842</v>
      </c>
      <c r="J172" s="162">
        <v>380127.99022283842</v>
      </c>
      <c r="K172" s="162">
        <v>380127.99022283842</v>
      </c>
      <c r="L172" s="162">
        <v>380127.99022283842</v>
      </c>
      <c r="M172" s="162">
        <v>380127.99022283842</v>
      </c>
      <c r="N172" s="162">
        <v>380127.99022283842</v>
      </c>
      <c r="O172" s="162">
        <v>380127.99022283842</v>
      </c>
      <c r="P172" s="162">
        <v>380127.99022283842</v>
      </c>
      <c r="Q172" s="162">
        <v>380127.99022283842</v>
      </c>
      <c r="R172" s="162">
        <v>380127.99022283842</v>
      </c>
      <c r="S172" s="162">
        <v>380127.99022283842</v>
      </c>
      <c r="T172" s="162">
        <v>380127.99022283842</v>
      </c>
      <c r="U172" s="162">
        <v>380127.99022283842</v>
      </c>
      <c r="V172" s="162">
        <v>380127.99022283842</v>
      </c>
      <c r="W172" s="162">
        <v>380127.99022283842</v>
      </c>
      <c r="X172" s="162">
        <v>380127.99022283842</v>
      </c>
      <c r="Y172" s="162">
        <v>380127.99022283842</v>
      </c>
      <c r="Z172" s="162">
        <v>380127.99022283842</v>
      </c>
      <c r="AA172" s="162">
        <v>380127.99022283842</v>
      </c>
      <c r="AB172" s="162">
        <v>380127.99022283842</v>
      </c>
      <c r="AC172" s="162">
        <v>380127.99022283842</v>
      </c>
      <c r="AD172" s="162">
        <v>380127.99022283842</v>
      </c>
      <c r="AE172" s="162">
        <v>380127.99022283842</v>
      </c>
      <c r="AF172" s="162">
        <v>380127.99022283842</v>
      </c>
      <c r="AG172" s="162">
        <v>63080127.990222842</v>
      </c>
      <c r="AH172" s="3"/>
      <c r="AI172" s="3"/>
    </row>
    <row r="173" spans="3:35">
      <c r="C173" s="165" t="s">
        <v>398</v>
      </c>
      <c r="D173" s="162">
        <v>0</v>
      </c>
      <c r="E173" s="162">
        <v>380127.99022283842</v>
      </c>
      <c r="F173" s="162">
        <v>760255.98044567683</v>
      </c>
      <c r="G173" s="162">
        <v>1140383.9706685152</v>
      </c>
      <c r="H173" s="162">
        <v>1520511.9608913537</v>
      </c>
      <c r="I173" s="162">
        <v>1900639.9511141921</v>
      </c>
      <c r="J173" s="162">
        <v>2280767.9413370304</v>
      </c>
      <c r="K173" s="162">
        <v>2660895.9315598686</v>
      </c>
      <c r="L173" s="162">
        <v>3041023.9217827069</v>
      </c>
      <c r="M173" s="162">
        <v>3421151.9120055451</v>
      </c>
      <c r="N173" s="162">
        <v>3801279.9022283833</v>
      </c>
      <c r="O173" s="162">
        <v>4181407.8924512216</v>
      </c>
      <c r="P173" s="162">
        <v>4561535.8826740598</v>
      </c>
      <c r="Q173" s="162">
        <v>4941663.8728968985</v>
      </c>
      <c r="R173" s="162">
        <v>5321791.8631197372</v>
      </c>
      <c r="S173" s="162">
        <v>5701919.853342576</v>
      </c>
      <c r="T173" s="162">
        <v>6082047.8435654147</v>
      </c>
      <c r="U173" s="162">
        <v>6462175.8337882534</v>
      </c>
      <c r="V173" s="162">
        <v>6842303.8240110921</v>
      </c>
      <c r="W173" s="162">
        <v>7222431.8142339308</v>
      </c>
      <c r="X173" s="162">
        <v>7602559.8044567695</v>
      </c>
      <c r="Y173" s="162">
        <v>7982687.7946796082</v>
      </c>
      <c r="Z173" s="162">
        <v>8362815.7849024469</v>
      </c>
      <c r="AA173" s="162">
        <v>8742943.7751252856</v>
      </c>
      <c r="AB173" s="162">
        <v>9123071.7653481234</v>
      </c>
      <c r="AC173" s="162">
        <v>9503199.7555709612</v>
      </c>
      <c r="AD173" s="162">
        <v>9883327.7457937989</v>
      </c>
      <c r="AE173" s="162">
        <v>10263455.736016637</v>
      </c>
      <c r="AF173" s="162">
        <v>10643583.726239474</v>
      </c>
      <c r="AG173" s="162">
        <v>73723711.716462314</v>
      </c>
      <c r="AH173" s="3"/>
      <c r="AI173" s="3"/>
    </row>
    <row r="175" spans="3:35">
      <c r="C175" s="165" t="s">
        <v>373</v>
      </c>
      <c r="D175" s="132">
        <v>0</v>
      </c>
      <c r="E175" s="132">
        <v>380127.99022283842</v>
      </c>
      <c r="F175" s="132">
        <v>380127.99022283842</v>
      </c>
      <c r="G175" s="132">
        <v>380127.99022283842</v>
      </c>
      <c r="H175" s="132">
        <v>380127.99022283842</v>
      </c>
      <c r="I175" s="132">
        <v>380127.99022283842</v>
      </c>
      <c r="J175" s="132">
        <v>380127.99022283842</v>
      </c>
      <c r="K175" s="132">
        <v>380127.99022283842</v>
      </c>
      <c r="L175" s="132">
        <v>380127.99022283842</v>
      </c>
      <c r="M175" s="132">
        <v>380127.99022283842</v>
      </c>
      <c r="N175" s="132">
        <v>380127.99022283842</v>
      </c>
      <c r="O175" s="132">
        <v>380127.99022283842</v>
      </c>
      <c r="P175" s="132">
        <v>380127.99022283842</v>
      </c>
      <c r="Q175" s="132">
        <v>380127.99022283842</v>
      </c>
      <c r="R175" s="132">
        <v>380127.99022283842</v>
      </c>
      <c r="S175" s="132">
        <v>380127.99022283842</v>
      </c>
      <c r="T175" s="132">
        <v>380127.99022283842</v>
      </c>
      <c r="U175" s="132">
        <v>380127.99022283842</v>
      </c>
      <c r="V175" s="132">
        <v>380127.99022283842</v>
      </c>
      <c r="W175" s="132">
        <v>380127.99022283842</v>
      </c>
      <c r="X175" s="132">
        <v>380127.99022283842</v>
      </c>
      <c r="Y175" s="132">
        <v>380127.99022283842</v>
      </c>
      <c r="Z175" s="132">
        <v>380127.99022283842</v>
      </c>
      <c r="AA175" s="132">
        <v>380127.99022283842</v>
      </c>
      <c r="AB175" s="132">
        <v>380127.99022283842</v>
      </c>
      <c r="AC175" s="132">
        <v>380127.99022283842</v>
      </c>
      <c r="AD175" s="132">
        <v>380127.99022283842</v>
      </c>
      <c r="AE175" s="132">
        <v>380127.99022283842</v>
      </c>
      <c r="AF175" s="132">
        <v>380127.99022283842</v>
      </c>
      <c r="AG175" s="132">
        <v>380127.99022283842</v>
      </c>
      <c r="AH175" s="3"/>
      <c r="AI175" s="3"/>
    </row>
    <row r="176" spans="3:35">
      <c r="C176" s="165" t="s">
        <v>374</v>
      </c>
      <c r="D176" s="132">
        <v>0</v>
      </c>
      <c r="E176" s="132">
        <v>380127.99022283842</v>
      </c>
      <c r="F176" s="132">
        <v>760255.98044567683</v>
      </c>
      <c r="G176" s="132">
        <v>1140383.9706685152</v>
      </c>
      <c r="H176" s="132">
        <v>1520511.9608913537</v>
      </c>
      <c r="I176" s="132">
        <v>1900639.9511141921</v>
      </c>
      <c r="J176" s="132">
        <v>2280767.9413370304</v>
      </c>
      <c r="K176" s="132">
        <v>2660895.9315598686</v>
      </c>
      <c r="L176" s="132">
        <v>3041023.9217827069</v>
      </c>
      <c r="M176" s="132">
        <v>3421151.9120055451</v>
      </c>
      <c r="N176" s="132">
        <v>3801279.9022283833</v>
      </c>
      <c r="O176" s="132">
        <v>4181407.8924512216</v>
      </c>
      <c r="P176" s="132">
        <v>4561535.8826740598</v>
      </c>
      <c r="Q176" s="132">
        <v>4941663.8728968985</v>
      </c>
      <c r="R176" s="132">
        <v>5321791.8631197372</v>
      </c>
      <c r="S176" s="132">
        <v>5701919.853342576</v>
      </c>
      <c r="T176" s="132">
        <v>6082047.8435654147</v>
      </c>
      <c r="U176" s="132">
        <v>6462175.8337882534</v>
      </c>
      <c r="V176" s="132">
        <v>6842303.8240110921</v>
      </c>
      <c r="W176" s="132">
        <v>7222431.8142339308</v>
      </c>
      <c r="X176" s="132">
        <v>7602559.8044567695</v>
      </c>
      <c r="Y176" s="132">
        <v>7982687.7946796082</v>
      </c>
      <c r="Z176" s="132">
        <v>8362815.7849024469</v>
      </c>
      <c r="AA176" s="132">
        <v>8742943.7751252856</v>
      </c>
      <c r="AB176" s="132">
        <v>9123071.7653481234</v>
      </c>
      <c r="AC176" s="132">
        <v>9503199.7555709612</v>
      </c>
      <c r="AD176" s="132">
        <v>9883327.7457937989</v>
      </c>
      <c r="AE176" s="132">
        <v>10263455.736016637</v>
      </c>
      <c r="AF176" s="132">
        <v>10643583.726239474</v>
      </c>
      <c r="AG176" s="132">
        <v>11023711.716462312</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66" priority="2">
      <formula>NOT(ISBLANK(D$153))</formula>
    </cfRule>
  </conditionalFormatting>
  <conditionalFormatting sqref="D175:AG177">
    <cfRule type="expression" dxfId="65" priority="1">
      <formula>NOT(ISBLANK(D$268))</formula>
    </cfRule>
  </conditionalFormatting>
  <conditionalFormatting sqref="E123:AI123">
    <cfRule type="expression" dxfId="64" priority="24">
      <formula>NOT(ISBLANK(E$123))</formula>
    </cfRule>
  </conditionalFormatting>
  <conditionalFormatting sqref="F74:AI74">
    <cfRule type="expression" dxfId="63" priority="49">
      <formula>NOT(ISBLANK(F$74))</formula>
    </cfRule>
  </conditionalFormatting>
  <conditionalFormatting sqref="F75:AI75">
    <cfRule type="expression" dxfId="62" priority="48">
      <formula>NOT(ISBLANK(F$74))</formula>
    </cfRule>
  </conditionalFormatting>
  <conditionalFormatting sqref="F80:AI80">
    <cfRule type="expression" dxfId="61" priority="13">
      <formula>NOT(ISBLANK(F$74))</formula>
    </cfRule>
  </conditionalFormatting>
  <conditionalFormatting sqref="F81:AI81">
    <cfRule type="expression" dxfId="60" priority="11">
      <formula>NOT(ISBLANK(F$74))</formula>
    </cfRule>
  </conditionalFormatting>
  <conditionalFormatting sqref="F86:AI86">
    <cfRule type="expression" dxfId="59" priority="12">
      <formula>NOT(ISBLANK(F$74))</formula>
    </cfRule>
  </conditionalFormatting>
  <conditionalFormatting sqref="F87:AI88">
    <cfRule type="expression" dxfId="58" priority="9">
      <formula>NOT(ISBLANK(F$74))</formula>
    </cfRule>
  </conditionalFormatting>
  <conditionalFormatting sqref="F89:AI89">
    <cfRule type="expression" dxfId="57" priority="44">
      <formula>NOT(ISBLANK(F$86))</formula>
    </cfRule>
  </conditionalFormatting>
  <conditionalFormatting sqref="F94:AI94">
    <cfRule type="expression" dxfId="56" priority="43">
      <formula>NOT(ISBLANK(F$94))</formula>
    </cfRule>
  </conditionalFormatting>
  <conditionalFormatting sqref="F95:AI99">
    <cfRule type="expression" dxfId="55" priority="3">
      <formula>NOT(ISBLANK(F$74))</formula>
    </cfRule>
  </conditionalFormatting>
  <conditionalFormatting sqref="F112:AI112">
    <cfRule type="expression" dxfId="54" priority="21">
      <formula>NOT(ISBLANK(F$123))</formula>
    </cfRule>
  </conditionalFormatting>
  <conditionalFormatting sqref="F113:AI118">
    <cfRule type="expression" dxfId="53" priority="19">
      <formula>NOT(ISBLANK(F$110))</formula>
    </cfRule>
  </conditionalFormatting>
  <conditionalFormatting sqref="F124:AI129">
    <cfRule type="expression" dxfId="52" priority="23">
      <formula>NOT(ISBLANK(F$123))</formula>
    </cfRule>
  </conditionalFormatting>
  <conditionalFormatting sqref="F130:AI130">
    <cfRule type="expression" dxfId="51" priority="22">
      <formula>NOT(ISBLANK(F$123))</formula>
    </cfRule>
  </conditionalFormatting>
  <conditionalFormatting sqref="G118:AI118">
    <cfRule type="expression" dxfId="50" priority="20">
      <formula>NOT(ISBLANK(G$110))</formula>
    </cfRule>
  </conditionalFormatting>
  <dataValidations count="1">
    <dataValidation type="list" allowBlank="1" showInputMessage="1" showErrorMessage="1" sqref="D185" xr:uid="{1E06256A-5E2D-4D31-BA29-0657DA8B1EC5}">
      <formula1>i_n_list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F4D9-60B6-472A-A3F5-74390E85D804}">
  <sheetPr codeName="Munka10">
    <tabColor theme="8" tint="0.59999389629810485"/>
  </sheetPr>
  <dimension ref="A1:AI185"/>
  <sheetViews>
    <sheetView topLeftCell="B147" zoomScale="64" zoomScaleNormal="87" workbookViewId="0">
      <selection activeCell="M166" sqref="M166"/>
    </sheetView>
  </sheetViews>
  <sheetFormatPr defaultColWidth="9.19921875" defaultRowHeight="13.8"/>
  <cols>
    <col min="1" max="1" width="9.19921875" style="1"/>
    <col min="2" max="2" width="47" style="1" customWidth="1"/>
    <col min="3" max="3" width="62.19921875" style="1" customWidth="1"/>
    <col min="4" max="4" width="28.69921875" style="1" bestFit="1" customWidth="1"/>
    <col min="5" max="5" width="24.19921875" style="1" customWidth="1"/>
    <col min="6" max="6" width="16.69921875" style="1" customWidth="1"/>
    <col min="7" max="7" width="10" style="1" customWidth="1"/>
    <col min="8" max="9" width="9.69921875" style="1" customWidth="1"/>
    <col min="10" max="33" width="10.69921875" style="1" customWidth="1"/>
    <col min="34" max="16384" width="9.19921875" style="1"/>
  </cols>
  <sheetData>
    <row r="1" spans="1:6" ht="14.4" thickBot="1"/>
    <row r="2" spans="1:6" ht="83.4" thickBot="1">
      <c r="C2" s="41" t="s">
        <v>279</v>
      </c>
      <c r="E2" s="2"/>
      <c r="F2" s="2"/>
    </row>
    <row r="3" spans="1:6" ht="14.4" thickBot="1"/>
    <row r="4" spans="1:6" ht="145.8000000000000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0</v>
      </c>
      <c r="E12" s="130">
        <v>0</v>
      </c>
      <c r="F12" s="11">
        <v>0</v>
      </c>
    </row>
    <row r="13" spans="1:6">
      <c r="C13" s="10" t="s">
        <v>276</v>
      </c>
      <c r="D13" s="130">
        <v>8890000</v>
      </c>
      <c r="E13" s="130">
        <v>0</v>
      </c>
      <c r="F13" s="11">
        <v>8890000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8890000</v>
      </c>
      <c r="E21" s="131">
        <v>0</v>
      </c>
      <c r="F21" s="13">
        <v>8890000</v>
      </c>
    </row>
    <row r="22" spans="3:10">
      <c r="C22" s="12" t="s">
        <v>329</v>
      </c>
      <c r="D22" s="13">
        <v>8890000</v>
      </c>
      <c r="E22" s="13">
        <v>0</v>
      </c>
      <c r="F22" s="133">
        <v>8890000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0</v>
      </c>
      <c r="E27" s="11">
        <v>0</v>
      </c>
      <c r="F27" s="134">
        <v>0</v>
      </c>
      <c r="G27" s="134">
        <v>0</v>
      </c>
      <c r="H27" s="134">
        <v>0</v>
      </c>
      <c r="I27" s="134">
        <v>0</v>
      </c>
      <c r="J27" s="134">
        <v>0</v>
      </c>
    </row>
    <row r="28" spans="3:10">
      <c r="C28" s="10" t="s">
        <v>276</v>
      </c>
      <c r="D28" s="11">
        <v>8890000</v>
      </c>
      <c r="E28" s="11">
        <v>8890000</v>
      </c>
      <c r="F28" s="134">
        <v>8890000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8890000</v>
      </c>
      <c r="E36" s="13">
        <v>8890000</v>
      </c>
      <c r="F36" s="131">
        <v>8890000</v>
      </c>
      <c r="G36" s="131">
        <v>0</v>
      </c>
      <c r="H36" s="131">
        <v>0</v>
      </c>
      <c r="I36" s="131">
        <v>0</v>
      </c>
      <c r="J36" s="131">
        <v>0</v>
      </c>
    </row>
    <row r="37" spans="3:10">
      <c r="C37" s="12" t="s">
        <v>329</v>
      </c>
      <c r="D37" s="13">
        <v>8890000</v>
      </c>
      <c r="E37" s="13">
        <v>8890000</v>
      </c>
      <c r="F37" s="13">
        <v>8890000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1">
        <v>0</v>
      </c>
      <c r="G52" s="131">
        <v>0</v>
      </c>
      <c r="H52" s="131">
        <v>0</v>
      </c>
      <c r="I52" s="131">
        <v>0</v>
      </c>
      <c r="J52" s="131">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0</v>
      </c>
      <c r="E57" s="11">
        <v>0</v>
      </c>
      <c r="F57" s="11">
        <v>0</v>
      </c>
      <c r="G57" s="11">
        <v>0</v>
      </c>
      <c r="H57" s="11">
        <v>0</v>
      </c>
      <c r="I57" s="11">
        <v>0</v>
      </c>
      <c r="J57" s="11">
        <v>0</v>
      </c>
    </row>
    <row r="58" spans="3:10">
      <c r="C58" s="10" t="s">
        <v>276</v>
      </c>
      <c r="D58" s="11">
        <v>8890000</v>
      </c>
      <c r="E58" s="11">
        <v>8890000</v>
      </c>
      <c r="F58" s="11">
        <v>8890000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8890000</v>
      </c>
      <c r="E66" s="13">
        <v>8890000</v>
      </c>
      <c r="F66" s="13">
        <v>8890000</v>
      </c>
      <c r="G66" s="13">
        <v>0</v>
      </c>
      <c r="H66" s="13">
        <v>0</v>
      </c>
      <c r="I66" s="13">
        <v>0</v>
      </c>
      <c r="J66" s="13">
        <v>0</v>
      </c>
    </row>
    <row r="67" spans="1:35">
      <c r="C67" s="12" t="s">
        <v>329</v>
      </c>
      <c r="D67" s="13">
        <v>8890000</v>
      </c>
      <c r="E67" s="13">
        <v>8890000</v>
      </c>
      <c r="F67" s="13">
        <v>8890000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4">
        <v>2025</v>
      </c>
      <c r="G74" s="14">
        <v>2026</v>
      </c>
      <c r="H74" s="14">
        <v>2027</v>
      </c>
      <c r="I74" s="14">
        <v>2028</v>
      </c>
      <c r="J74" s="14">
        <v>2029</v>
      </c>
      <c r="K74" s="14">
        <v>2030</v>
      </c>
      <c r="L74" s="14">
        <v>2031</v>
      </c>
      <c r="M74" s="14">
        <v>2032</v>
      </c>
      <c r="N74" s="14">
        <v>2033</v>
      </c>
      <c r="O74" s="14">
        <v>2034</v>
      </c>
      <c r="P74" s="14">
        <v>2035</v>
      </c>
      <c r="Q74" s="14">
        <v>2036</v>
      </c>
      <c r="R74" s="14">
        <v>2037</v>
      </c>
      <c r="S74" s="14">
        <v>2038</v>
      </c>
      <c r="T74" s="14">
        <v>2039</v>
      </c>
      <c r="U74" s="14">
        <v>2040</v>
      </c>
      <c r="V74" s="14">
        <v>2041</v>
      </c>
      <c r="W74" s="14">
        <v>2042</v>
      </c>
      <c r="X74" s="14">
        <v>2043</v>
      </c>
      <c r="Y74" s="14">
        <v>2044</v>
      </c>
      <c r="Z74" s="14">
        <v>2045</v>
      </c>
      <c r="AA74" s="14">
        <v>2046</v>
      </c>
      <c r="AB74" s="14">
        <v>2047</v>
      </c>
      <c r="AC74" s="14">
        <v>2048</v>
      </c>
      <c r="AD74" s="14">
        <v>2049</v>
      </c>
      <c r="AE74" s="14">
        <v>2050</v>
      </c>
      <c r="AF74" s="14">
        <v>2051</v>
      </c>
      <c r="AG74" s="14">
        <v>2052</v>
      </c>
      <c r="AH74" s="14">
        <v>2053</v>
      </c>
      <c r="AI74" s="14">
        <v>2054</v>
      </c>
    </row>
    <row r="75" spans="1:35">
      <c r="C75" s="10" t="s">
        <v>337</v>
      </c>
      <c r="D75" s="132">
        <v>95571.709575234781</v>
      </c>
      <c r="E75" s="132">
        <v>39638.633845152755</v>
      </c>
      <c r="F75" s="135">
        <v>0</v>
      </c>
      <c r="G75" s="135">
        <v>3295.5761922494758</v>
      </c>
      <c r="H75" s="135">
        <v>3295.5761922494758</v>
      </c>
      <c r="I75" s="135">
        <v>3295.5761922494758</v>
      </c>
      <c r="J75" s="135">
        <v>3295.5761922494758</v>
      </c>
      <c r="K75" s="135">
        <v>3295.5761922494758</v>
      </c>
      <c r="L75" s="135">
        <v>3295.5761922494758</v>
      </c>
      <c r="M75" s="135">
        <v>3295.5761922494758</v>
      </c>
      <c r="N75" s="135">
        <v>3295.5761922494758</v>
      </c>
      <c r="O75" s="135">
        <v>3295.5761922494758</v>
      </c>
      <c r="P75" s="135">
        <v>3295.5761922494758</v>
      </c>
      <c r="Q75" s="135">
        <v>3295.5761922494758</v>
      </c>
      <c r="R75" s="135">
        <v>3295.5761922494758</v>
      </c>
      <c r="S75" s="135">
        <v>3295.5761922494758</v>
      </c>
      <c r="T75" s="135">
        <v>3295.5761922494758</v>
      </c>
      <c r="U75" s="135">
        <v>3295.5761922494758</v>
      </c>
      <c r="V75" s="135">
        <v>3295.5761922494758</v>
      </c>
      <c r="W75" s="135">
        <v>3295.5761922494758</v>
      </c>
      <c r="X75" s="135">
        <v>3295.5761922494758</v>
      </c>
      <c r="Y75" s="135">
        <v>3295.5761922494758</v>
      </c>
      <c r="Z75" s="135">
        <v>3295.5761922494758</v>
      </c>
      <c r="AA75" s="135">
        <v>3295.5761922494758</v>
      </c>
      <c r="AB75" s="135">
        <v>3295.5761922494758</v>
      </c>
      <c r="AC75" s="135">
        <v>3295.5761922494758</v>
      </c>
      <c r="AD75" s="135">
        <v>3295.5761922494758</v>
      </c>
      <c r="AE75" s="135">
        <v>3295.5761922494758</v>
      </c>
      <c r="AF75" s="135">
        <v>3295.5761922494758</v>
      </c>
      <c r="AG75" s="135">
        <v>3295.5761922494758</v>
      </c>
      <c r="AH75" s="135">
        <v>3295.5761922494758</v>
      </c>
      <c r="AI75" s="135">
        <v>3295.5761922494758</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4">
        <v>2025</v>
      </c>
      <c r="G80" s="14">
        <v>2026</v>
      </c>
      <c r="H80" s="14">
        <v>2027</v>
      </c>
      <c r="I80" s="14">
        <v>2028</v>
      </c>
      <c r="J80" s="14">
        <v>2029</v>
      </c>
      <c r="K80" s="14">
        <v>2030</v>
      </c>
      <c r="L80" s="14">
        <v>2031</v>
      </c>
      <c r="M80" s="14">
        <v>2032</v>
      </c>
      <c r="N80" s="14">
        <v>2033</v>
      </c>
      <c r="O80" s="14">
        <v>2034</v>
      </c>
      <c r="P80" s="14">
        <v>2035</v>
      </c>
      <c r="Q80" s="14">
        <v>2036</v>
      </c>
      <c r="R80" s="14">
        <v>2037</v>
      </c>
      <c r="S80" s="14">
        <v>2038</v>
      </c>
      <c r="T80" s="14">
        <v>2039</v>
      </c>
      <c r="U80" s="14">
        <v>2040</v>
      </c>
      <c r="V80" s="14">
        <v>2041</v>
      </c>
      <c r="W80" s="14">
        <v>2042</v>
      </c>
      <c r="X80" s="14">
        <v>2043</v>
      </c>
      <c r="Y80" s="14">
        <v>2044</v>
      </c>
      <c r="Z80" s="14">
        <v>2045</v>
      </c>
      <c r="AA80" s="14">
        <v>2046</v>
      </c>
      <c r="AB80" s="14">
        <v>2047</v>
      </c>
      <c r="AC80" s="14">
        <v>2048</v>
      </c>
      <c r="AD80" s="14">
        <v>2049</v>
      </c>
      <c r="AE80" s="14">
        <v>2050</v>
      </c>
      <c r="AF80" s="14">
        <v>2051</v>
      </c>
      <c r="AG80" s="14">
        <v>2052</v>
      </c>
      <c r="AH80" s="14">
        <v>2053</v>
      </c>
      <c r="AI80" s="14">
        <v>2054</v>
      </c>
    </row>
    <row r="81" spans="1:35">
      <c r="C81" s="10" t="s">
        <v>338</v>
      </c>
      <c r="D81" s="132">
        <v>0</v>
      </c>
      <c r="E81" s="132">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4">
        <v>2025</v>
      </c>
      <c r="G86" s="14">
        <v>2026</v>
      </c>
      <c r="H86" s="14">
        <v>2027</v>
      </c>
      <c r="I86" s="14">
        <v>2028</v>
      </c>
      <c r="J86" s="14">
        <v>2029</v>
      </c>
      <c r="K86" s="14">
        <v>2030</v>
      </c>
      <c r="L86" s="14">
        <v>2031</v>
      </c>
      <c r="M86" s="14">
        <v>2032</v>
      </c>
      <c r="N86" s="14">
        <v>2033</v>
      </c>
      <c r="O86" s="14">
        <v>2034</v>
      </c>
      <c r="P86" s="14">
        <v>2035</v>
      </c>
      <c r="Q86" s="14">
        <v>2036</v>
      </c>
      <c r="R86" s="14">
        <v>2037</v>
      </c>
      <c r="S86" s="14">
        <v>2038</v>
      </c>
      <c r="T86" s="14">
        <v>2039</v>
      </c>
      <c r="U86" s="14">
        <v>2040</v>
      </c>
      <c r="V86" s="14">
        <v>2041</v>
      </c>
      <c r="W86" s="14">
        <v>2042</v>
      </c>
      <c r="X86" s="14">
        <v>2043</v>
      </c>
      <c r="Y86" s="14">
        <v>2044</v>
      </c>
      <c r="Z86" s="14">
        <v>2045</v>
      </c>
      <c r="AA86" s="14">
        <v>2046</v>
      </c>
      <c r="AB86" s="14">
        <v>2047</v>
      </c>
      <c r="AC86" s="14">
        <v>2048</v>
      </c>
      <c r="AD86" s="14">
        <v>2049</v>
      </c>
      <c r="AE86" s="14">
        <v>2050</v>
      </c>
      <c r="AF86" s="14">
        <v>2051</v>
      </c>
      <c r="AG86" s="14">
        <v>2052</v>
      </c>
      <c r="AH86" s="14">
        <v>2053</v>
      </c>
      <c r="AI86" s="14">
        <v>2054</v>
      </c>
    </row>
    <row r="87" spans="1:35">
      <c r="C87" s="8" t="s">
        <v>341</v>
      </c>
      <c r="D87" s="133">
        <v>637087.37284005049</v>
      </c>
      <c r="E87" s="133">
        <v>264233.76971715147</v>
      </c>
      <c r="F87" s="137">
        <v>0</v>
      </c>
      <c r="G87" s="137">
        <v>21968.530097932766</v>
      </c>
      <c r="H87" s="137">
        <v>21968.530097932766</v>
      </c>
      <c r="I87" s="137">
        <v>21968.530097932766</v>
      </c>
      <c r="J87" s="137">
        <v>21968.530097932766</v>
      </c>
      <c r="K87" s="137">
        <v>21968.530097932766</v>
      </c>
      <c r="L87" s="137">
        <v>21968.530097932766</v>
      </c>
      <c r="M87" s="137">
        <v>21968.530097932766</v>
      </c>
      <c r="N87" s="137">
        <v>21968.530097932766</v>
      </c>
      <c r="O87" s="137">
        <v>21968.530097932766</v>
      </c>
      <c r="P87" s="137">
        <v>21968.530097932766</v>
      </c>
      <c r="Q87" s="137">
        <v>21968.530097932766</v>
      </c>
      <c r="R87" s="137">
        <v>21968.530097932766</v>
      </c>
      <c r="S87" s="137">
        <v>21968.530097932766</v>
      </c>
      <c r="T87" s="137">
        <v>21968.530097932766</v>
      </c>
      <c r="U87" s="137">
        <v>21968.530097932766</v>
      </c>
      <c r="V87" s="137">
        <v>21968.530097932766</v>
      </c>
      <c r="W87" s="137">
        <v>21968.530097932766</v>
      </c>
      <c r="X87" s="137">
        <v>21968.530097932766</v>
      </c>
      <c r="Y87" s="137">
        <v>21968.530097932766</v>
      </c>
      <c r="Z87" s="137">
        <v>21968.530097932766</v>
      </c>
      <c r="AA87" s="137">
        <v>21968.530097932766</v>
      </c>
      <c r="AB87" s="137">
        <v>21968.530097932766</v>
      </c>
      <c r="AC87" s="137">
        <v>21968.530097932766</v>
      </c>
      <c r="AD87" s="137">
        <v>21968.530097932766</v>
      </c>
      <c r="AE87" s="137">
        <v>21968.530097932766</v>
      </c>
      <c r="AF87" s="137">
        <v>21968.530097932766</v>
      </c>
      <c r="AG87" s="137">
        <v>21968.530097932766</v>
      </c>
      <c r="AH87" s="137">
        <v>21968.530097932766</v>
      </c>
      <c r="AI87" s="137">
        <v>21968.530097932766</v>
      </c>
    </row>
    <row r="88" spans="1:35">
      <c r="C88" s="10" t="s">
        <v>342</v>
      </c>
      <c r="D88" s="132">
        <v>0</v>
      </c>
      <c r="E88" s="132">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v>0</v>
      </c>
      <c r="AF88" s="135">
        <v>0</v>
      </c>
      <c r="AG88" s="135">
        <v>0</v>
      </c>
      <c r="AH88" s="135">
        <v>0</v>
      </c>
      <c r="AI88" s="135">
        <v>0</v>
      </c>
    </row>
    <row r="89" spans="1:35">
      <c r="C89" s="8" t="s">
        <v>343</v>
      </c>
      <c r="D89" s="133">
        <v>637087.37284005049</v>
      </c>
      <c r="E89" s="133">
        <v>264233.76971715147</v>
      </c>
      <c r="F89" s="148">
        <v>0</v>
      </c>
      <c r="G89" s="148">
        <v>21968.530097932766</v>
      </c>
      <c r="H89" s="148">
        <v>21968.530097932766</v>
      </c>
      <c r="I89" s="148">
        <v>21968.530097932766</v>
      </c>
      <c r="J89" s="148">
        <v>21968.530097932766</v>
      </c>
      <c r="K89" s="148">
        <v>21968.530097932766</v>
      </c>
      <c r="L89" s="148">
        <v>21968.530097932766</v>
      </c>
      <c r="M89" s="148">
        <v>21968.530097932766</v>
      </c>
      <c r="N89" s="148">
        <v>21968.530097932766</v>
      </c>
      <c r="O89" s="148">
        <v>21968.530097932766</v>
      </c>
      <c r="P89" s="148">
        <v>21968.530097932766</v>
      </c>
      <c r="Q89" s="148">
        <v>21968.530097932766</v>
      </c>
      <c r="R89" s="148">
        <v>21968.530097932766</v>
      </c>
      <c r="S89" s="148">
        <v>21968.530097932766</v>
      </c>
      <c r="T89" s="148">
        <v>21968.530097932766</v>
      </c>
      <c r="U89" s="148">
        <v>21968.530097932766</v>
      </c>
      <c r="V89" s="148">
        <v>21968.530097932766</v>
      </c>
      <c r="W89" s="148">
        <v>21968.530097932766</v>
      </c>
      <c r="X89" s="148">
        <v>21968.530097932766</v>
      </c>
      <c r="Y89" s="148">
        <v>21968.530097932766</v>
      </c>
      <c r="Z89" s="148">
        <v>21968.530097932766</v>
      </c>
      <c r="AA89" s="148">
        <v>21968.530097932766</v>
      </c>
      <c r="AB89" s="148">
        <v>21968.530097932766</v>
      </c>
      <c r="AC89" s="148">
        <v>21968.530097932766</v>
      </c>
      <c r="AD89" s="148">
        <v>21968.530097932766</v>
      </c>
      <c r="AE89" s="148">
        <v>21968.530097932766</v>
      </c>
      <c r="AF89" s="148">
        <v>21968.530097932766</v>
      </c>
      <c r="AG89" s="148">
        <v>21968.530097932766</v>
      </c>
      <c r="AH89" s="148">
        <v>21968.530097932766</v>
      </c>
      <c r="AI89" s="148">
        <v>21968.530097932766</v>
      </c>
    </row>
    <row r="92" spans="1:35" s="7" customFormat="1">
      <c r="A92" s="6"/>
      <c r="C92" s="6" t="s">
        <v>312</v>
      </c>
    </row>
    <row r="94" spans="1:35">
      <c r="C94" s="14" t="s">
        <v>312</v>
      </c>
      <c r="D94" s="14" t="s">
        <v>325</v>
      </c>
      <c r="E94" s="14" t="s">
        <v>465</v>
      </c>
      <c r="F94" s="14">
        <v>2025</v>
      </c>
      <c r="G94" s="14">
        <v>2026</v>
      </c>
      <c r="H94" s="14">
        <v>2027</v>
      </c>
      <c r="I94" s="14">
        <v>2028</v>
      </c>
      <c r="J94" s="14">
        <v>2029</v>
      </c>
      <c r="K94" s="14">
        <v>2030</v>
      </c>
      <c r="L94" s="14">
        <v>2031</v>
      </c>
      <c r="M94" s="14">
        <v>2032</v>
      </c>
      <c r="N94" s="14">
        <v>2033</v>
      </c>
      <c r="O94" s="14">
        <v>2034</v>
      </c>
      <c r="P94" s="14">
        <v>2035</v>
      </c>
      <c r="Q94" s="14">
        <v>2036</v>
      </c>
      <c r="R94" s="14">
        <v>2037</v>
      </c>
      <c r="S94" s="14">
        <v>2038</v>
      </c>
      <c r="T94" s="14">
        <v>2039</v>
      </c>
      <c r="U94" s="14">
        <v>2040</v>
      </c>
      <c r="V94" s="14">
        <v>2041</v>
      </c>
      <c r="W94" s="14">
        <v>2042</v>
      </c>
      <c r="X94" s="14">
        <v>2043</v>
      </c>
      <c r="Y94" s="14">
        <v>2044</v>
      </c>
      <c r="Z94" s="14">
        <v>2045</v>
      </c>
      <c r="AA94" s="14">
        <v>2046</v>
      </c>
      <c r="AB94" s="14">
        <v>2047</v>
      </c>
      <c r="AC94" s="14">
        <v>2048</v>
      </c>
      <c r="AD94" s="14">
        <v>2049</v>
      </c>
      <c r="AE94" s="14">
        <v>2050</v>
      </c>
      <c r="AF94" s="14">
        <v>2051</v>
      </c>
      <c r="AG94" s="14">
        <v>2052</v>
      </c>
      <c r="AH94" s="14">
        <v>2053</v>
      </c>
      <c r="AI94" s="14">
        <v>2054</v>
      </c>
    </row>
    <row r="95" spans="1:35">
      <c r="C95" s="10" t="s">
        <v>314</v>
      </c>
      <c r="D95" s="132">
        <v>0</v>
      </c>
      <c r="E95" s="132">
        <v>0</v>
      </c>
      <c r="F95" s="135">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315</v>
      </c>
      <c r="D96" s="132">
        <v>0</v>
      </c>
      <c r="E96" s="132">
        <v>0</v>
      </c>
      <c r="F96" s="135">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316</v>
      </c>
      <c r="D97" s="132">
        <v>0</v>
      </c>
      <c r="E97" s="132">
        <v>0</v>
      </c>
      <c r="F97" s="135">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98" spans="1:35">
      <c r="C98" s="10" t="s">
        <v>317</v>
      </c>
      <c r="D98" s="132">
        <v>0</v>
      </c>
      <c r="E98" s="132">
        <v>0</v>
      </c>
      <c r="F98" s="135">
        <v>0</v>
      </c>
      <c r="G98" s="135">
        <v>0</v>
      </c>
      <c r="H98" s="135">
        <v>0</v>
      </c>
      <c r="I98" s="135">
        <v>0</v>
      </c>
      <c r="J98" s="135">
        <v>0</v>
      </c>
      <c r="K98" s="135">
        <v>0</v>
      </c>
      <c r="L98" s="135">
        <v>0</v>
      </c>
      <c r="M98" s="135">
        <v>0</v>
      </c>
      <c r="N98" s="135">
        <v>0</v>
      </c>
      <c r="O98" s="135">
        <v>0</v>
      </c>
      <c r="P98" s="135">
        <v>0</v>
      </c>
      <c r="Q98" s="135">
        <v>0</v>
      </c>
      <c r="R98" s="135">
        <v>0</v>
      </c>
      <c r="S98" s="135">
        <v>0</v>
      </c>
      <c r="T98" s="135">
        <v>0</v>
      </c>
      <c r="U98" s="135">
        <v>0</v>
      </c>
      <c r="V98" s="135">
        <v>0</v>
      </c>
      <c r="W98" s="135">
        <v>0</v>
      </c>
      <c r="X98" s="135">
        <v>0</v>
      </c>
      <c r="Y98" s="135">
        <v>0</v>
      </c>
      <c r="Z98" s="135">
        <v>0</v>
      </c>
      <c r="AA98" s="135">
        <v>0</v>
      </c>
      <c r="AB98" s="135">
        <v>0</v>
      </c>
      <c r="AC98" s="135">
        <v>0</v>
      </c>
      <c r="AD98" s="135">
        <v>0</v>
      </c>
      <c r="AE98" s="135">
        <v>0</v>
      </c>
      <c r="AF98" s="135">
        <v>0</v>
      </c>
      <c r="AG98" s="135">
        <v>0</v>
      </c>
      <c r="AH98" s="135">
        <v>0</v>
      </c>
      <c r="AI98" s="135">
        <v>0</v>
      </c>
    </row>
    <row r="99" spans="1:35">
      <c r="C99" s="10" t="s">
        <v>318</v>
      </c>
      <c r="D99" s="132">
        <v>0</v>
      </c>
      <c r="E99" s="132">
        <v>0</v>
      </c>
      <c r="F99" s="135">
        <v>0</v>
      </c>
      <c r="G99" s="135">
        <v>0</v>
      </c>
      <c r="H99" s="135">
        <v>0</v>
      </c>
      <c r="I99" s="135">
        <v>0</v>
      </c>
      <c r="J99" s="135">
        <v>0</v>
      </c>
      <c r="K99" s="135">
        <v>0</v>
      </c>
      <c r="L99" s="135">
        <v>0</v>
      </c>
      <c r="M99" s="135">
        <v>0</v>
      </c>
      <c r="N99" s="135">
        <v>0</v>
      </c>
      <c r="O99" s="135">
        <v>0</v>
      </c>
      <c r="P99" s="135">
        <v>0</v>
      </c>
      <c r="Q99" s="135">
        <v>0</v>
      </c>
      <c r="R99" s="135">
        <v>0</v>
      </c>
      <c r="S99" s="135">
        <v>0</v>
      </c>
      <c r="T99" s="135">
        <v>0</v>
      </c>
      <c r="U99" s="135">
        <v>0</v>
      </c>
      <c r="V99" s="135">
        <v>0</v>
      </c>
      <c r="W99" s="135">
        <v>0</v>
      </c>
      <c r="X99" s="135">
        <v>0</v>
      </c>
      <c r="Y99" s="135">
        <v>0</v>
      </c>
      <c r="Z99" s="135">
        <v>0</v>
      </c>
      <c r="AA99" s="135">
        <v>0</v>
      </c>
      <c r="AB99" s="135">
        <v>0</v>
      </c>
      <c r="AC99" s="135">
        <v>0</v>
      </c>
      <c r="AD99" s="135">
        <v>0</v>
      </c>
      <c r="AE99" s="135">
        <v>0</v>
      </c>
      <c r="AF99" s="135">
        <v>0</v>
      </c>
      <c r="AG99" s="135">
        <v>0</v>
      </c>
      <c r="AH99" s="135">
        <v>0</v>
      </c>
      <c r="AI99" s="135">
        <v>0</v>
      </c>
    </row>
    <row r="102" spans="1:35" s="7" customFormat="1">
      <c r="A102" s="6"/>
      <c r="C102" s="6" t="s">
        <v>246</v>
      </c>
    </row>
    <row r="103" spans="1:35">
      <c r="C103" s="36"/>
    </row>
    <row r="104" spans="1:35">
      <c r="C104" s="14" t="s">
        <v>246</v>
      </c>
      <c r="D104" s="14">
        <v>2054</v>
      </c>
    </row>
    <row r="105" spans="1:35">
      <c r="C105" s="4" t="s">
        <v>332</v>
      </c>
      <c r="D105" s="134">
        <v>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5">
        <v>2025</v>
      </c>
      <c r="G112" s="15">
        <v>2026</v>
      </c>
      <c r="H112" s="15">
        <v>2027</v>
      </c>
      <c r="I112" s="15">
        <v>2028</v>
      </c>
      <c r="J112" s="15">
        <v>2029</v>
      </c>
      <c r="K112" s="15">
        <v>2030</v>
      </c>
      <c r="L112" s="15">
        <v>2031</v>
      </c>
      <c r="M112" s="15">
        <v>2032</v>
      </c>
      <c r="N112" s="15">
        <v>2033</v>
      </c>
      <c r="O112" s="15">
        <v>2034</v>
      </c>
      <c r="P112" s="15">
        <v>2035</v>
      </c>
      <c r="Q112" s="15">
        <v>2036</v>
      </c>
      <c r="R112" s="15">
        <v>2037</v>
      </c>
      <c r="S112" s="15">
        <v>2038</v>
      </c>
      <c r="T112" s="15">
        <v>2039</v>
      </c>
      <c r="U112" s="15">
        <v>2040</v>
      </c>
      <c r="V112" s="15">
        <v>2041</v>
      </c>
      <c r="W112" s="15">
        <v>2042</v>
      </c>
      <c r="X112" s="15">
        <v>2043</v>
      </c>
      <c r="Y112" s="15">
        <v>2044</v>
      </c>
      <c r="Z112" s="15">
        <v>2045</v>
      </c>
      <c r="AA112" s="15">
        <v>2046</v>
      </c>
      <c r="AB112" s="15">
        <v>2047</v>
      </c>
      <c r="AC112" s="15">
        <v>2048</v>
      </c>
      <c r="AD112" s="15">
        <v>2049</v>
      </c>
      <c r="AE112" s="15">
        <v>2050</v>
      </c>
      <c r="AF112" s="15">
        <v>2051</v>
      </c>
      <c r="AG112" s="15">
        <v>2052</v>
      </c>
      <c r="AH112" s="15">
        <v>2053</v>
      </c>
      <c r="AI112" s="15">
        <v>2054</v>
      </c>
    </row>
    <row r="113" spans="3:35">
      <c r="C113" s="10" t="s">
        <v>336</v>
      </c>
      <c r="D113" s="132">
        <v>8890000</v>
      </c>
      <c r="E113" s="132">
        <v>8890000</v>
      </c>
      <c r="F113" s="11">
        <v>8890000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row>
    <row r="114" spans="3:35">
      <c r="C114" s="10" t="s">
        <v>301</v>
      </c>
      <c r="D114" s="11">
        <v>95571.709575234781</v>
      </c>
      <c r="E114" s="11">
        <v>39638.633845152755</v>
      </c>
      <c r="F114" s="11">
        <v>0</v>
      </c>
      <c r="G114" s="11">
        <v>3295.5761922494758</v>
      </c>
      <c r="H114" s="11">
        <v>3295.5761922494758</v>
      </c>
      <c r="I114" s="11">
        <v>3295.5761922494758</v>
      </c>
      <c r="J114" s="11">
        <v>3295.5761922494758</v>
      </c>
      <c r="K114" s="11">
        <v>3295.5761922494758</v>
      </c>
      <c r="L114" s="11">
        <v>3295.5761922494758</v>
      </c>
      <c r="M114" s="11">
        <v>3295.5761922494758</v>
      </c>
      <c r="N114" s="11">
        <v>3295.5761922494758</v>
      </c>
      <c r="O114" s="11">
        <v>3295.5761922494758</v>
      </c>
      <c r="P114" s="11">
        <v>3295.5761922494758</v>
      </c>
      <c r="Q114" s="11">
        <v>3295.5761922494758</v>
      </c>
      <c r="R114" s="11">
        <v>3295.5761922494758</v>
      </c>
      <c r="S114" s="11">
        <v>3295.5761922494758</v>
      </c>
      <c r="T114" s="11">
        <v>3295.5761922494758</v>
      </c>
      <c r="U114" s="11">
        <v>3295.5761922494758</v>
      </c>
      <c r="V114" s="11">
        <v>3295.5761922494758</v>
      </c>
      <c r="W114" s="11">
        <v>3295.5761922494758</v>
      </c>
      <c r="X114" s="11">
        <v>3295.5761922494758</v>
      </c>
      <c r="Y114" s="11">
        <v>3295.5761922494758</v>
      </c>
      <c r="Z114" s="11">
        <v>3295.5761922494758</v>
      </c>
      <c r="AA114" s="11">
        <v>3295.5761922494758</v>
      </c>
      <c r="AB114" s="11">
        <v>3295.5761922494758</v>
      </c>
      <c r="AC114" s="11">
        <v>3295.5761922494758</v>
      </c>
      <c r="AD114" s="11">
        <v>3295.5761922494758</v>
      </c>
      <c r="AE114" s="11">
        <v>3295.5761922494758</v>
      </c>
      <c r="AF114" s="11">
        <v>3295.5761922494758</v>
      </c>
      <c r="AG114" s="11">
        <v>3295.5761922494758</v>
      </c>
      <c r="AH114" s="11">
        <v>3295.5761922494758</v>
      </c>
      <c r="AI114" s="11">
        <v>3295.5761922494758</v>
      </c>
    </row>
    <row r="115" spans="3:35" ht="14.4">
      <c r="C115" s="23" t="s">
        <v>337</v>
      </c>
      <c r="D115" s="24">
        <v>95571.709575234781</v>
      </c>
      <c r="E115" s="24">
        <v>39638.633845152755</v>
      </c>
      <c r="F115" s="24">
        <v>0</v>
      </c>
      <c r="G115" s="24">
        <v>3295.5761922494758</v>
      </c>
      <c r="H115" s="24">
        <v>3295.5761922494758</v>
      </c>
      <c r="I115" s="24">
        <v>3295.5761922494758</v>
      </c>
      <c r="J115" s="24">
        <v>3295.5761922494758</v>
      </c>
      <c r="K115" s="24">
        <v>3295.5761922494758</v>
      </c>
      <c r="L115" s="24">
        <v>3295.5761922494758</v>
      </c>
      <c r="M115" s="24">
        <v>3295.5761922494758</v>
      </c>
      <c r="N115" s="24">
        <v>3295.5761922494758</v>
      </c>
      <c r="O115" s="24">
        <v>3295.5761922494758</v>
      </c>
      <c r="P115" s="24">
        <v>3295.5761922494758</v>
      </c>
      <c r="Q115" s="24">
        <v>3295.5761922494758</v>
      </c>
      <c r="R115" s="24">
        <v>3295.5761922494758</v>
      </c>
      <c r="S115" s="24">
        <v>3295.5761922494758</v>
      </c>
      <c r="T115" s="24">
        <v>3295.5761922494758</v>
      </c>
      <c r="U115" s="24">
        <v>3295.5761922494758</v>
      </c>
      <c r="V115" s="24">
        <v>3295.5761922494758</v>
      </c>
      <c r="W115" s="24">
        <v>3295.5761922494758</v>
      </c>
      <c r="X115" s="24">
        <v>3295.5761922494758</v>
      </c>
      <c r="Y115" s="24">
        <v>3295.5761922494758</v>
      </c>
      <c r="Z115" s="24">
        <v>3295.5761922494758</v>
      </c>
      <c r="AA115" s="24">
        <v>3295.5761922494758</v>
      </c>
      <c r="AB115" s="24">
        <v>3295.5761922494758</v>
      </c>
      <c r="AC115" s="24">
        <v>3295.5761922494758</v>
      </c>
      <c r="AD115" s="24">
        <v>3295.5761922494758</v>
      </c>
      <c r="AE115" s="24">
        <v>3295.5761922494758</v>
      </c>
      <c r="AF115" s="24">
        <v>3295.5761922494758</v>
      </c>
      <c r="AG115" s="24">
        <v>3295.5761922494758</v>
      </c>
      <c r="AH115" s="24">
        <v>3295.5761922494758</v>
      </c>
      <c r="AI115" s="24">
        <v>3295.5761922494758</v>
      </c>
    </row>
    <row r="116" spans="3:35" ht="14.4">
      <c r="C116" s="23" t="s">
        <v>521</v>
      </c>
      <c r="D116" s="24">
        <v>0</v>
      </c>
      <c r="E116" s="24">
        <v>0</v>
      </c>
      <c r="F116" s="24">
        <v>0</v>
      </c>
      <c r="G116" s="24">
        <v>0</v>
      </c>
      <c r="H116" s="24">
        <v>0</v>
      </c>
      <c r="I116" s="24">
        <v>0</v>
      </c>
      <c r="J116" s="24">
        <v>0</v>
      </c>
      <c r="K116" s="24">
        <v>0</v>
      </c>
      <c r="L116" s="24">
        <v>0</v>
      </c>
      <c r="M116" s="24">
        <v>0</v>
      </c>
      <c r="N116" s="24">
        <v>0</v>
      </c>
      <c r="O116" s="24">
        <v>0</v>
      </c>
      <c r="P116" s="24">
        <v>0</v>
      </c>
      <c r="Q116" s="24">
        <v>0</v>
      </c>
      <c r="R116" s="24">
        <v>0</v>
      </c>
      <c r="S116" s="24">
        <v>0</v>
      </c>
      <c r="T116" s="24">
        <v>0</v>
      </c>
      <c r="U116" s="24">
        <v>0</v>
      </c>
      <c r="V116" s="24">
        <v>0</v>
      </c>
      <c r="W116" s="24">
        <v>0</v>
      </c>
      <c r="X116" s="24">
        <v>0</v>
      </c>
      <c r="Y116" s="24">
        <v>0</v>
      </c>
      <c r="Z116" s="24">
        <v>0</v>
      </c>
      <c r="AA116" s="24">
        <v>0</v>
      </c>
      <c r="AB116" s="24">
        <v>0</v>
      </c>
      <c r="AC116" s="24">
        <v>0</v>
      </c>
      <c r="AD116" s="24">
        <v>0</v>
      </c>
      <c r="AE116" s="24">
        <v>0</v>
      </c>
      <c r="AF116" s="24">
        <v>0</v>
      </c>
      <c r="AG116" s="24">
        <v>0</v>
      </c>
      <c r="AH116" s="24">
        <v>0</v>
      </c>
      <c r="AI116" s="24">
        <v>0</v>
      </c>
    </row>
    <row r="117" spans="3:35">
      <c r="C117" s="10" t="s">
        <v>246</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row>
    <row r="118" spans="3:35">
      <c r="C118" s="20" t="s">
        <v>288</v>
      </c>
      <c r="D118" s="13">
        <v>8985571.7095752098</v>
      </c>
      <c r="E118" s="13">
        <v>8929638.6338451523</v>
      </c>
      <c r="F118" s="149">
        <v>8890000</v>
      </c>
      <c r="G118" s="149">
        <v>3295.5761922494758</v>
      </c>
      <c r="H118" s="149">
        <v>3295.5761922494758</v>
      </c>
      <c r="I118" s="149">
        <v>3295.5761922494758</v>
      </c>
      <c r="J118" s="149">
        <v>3295.5761922494758</v>
      </c>
      <c r="K118" s="149">
        <v>3295.5761922494758</v>
      </c>
      <c r="L118" s="149">
        <v>3295.5761922494758</v>
      </c>
      <c r="M118" s="149">
        <v>3295.5761922494758</v>
      </c>
      <c r="N118" s="149">
        <v>3295.5761922494758</v>
      </c>
      <c r="O118" s="149">
        <v>3295.5761922494758</v>
      </c>
      <c r="P118" s="149">
        <v>3295.5761922494758</v>
      </c>
      <c r="Q118" s="149">
        <v>3295.5761922494758</v>
      </c>
      <c r="R118" s="149">
        <v>3295.5761922494758</v>
      </c>
      <c r="S118" s="149">
        <v>3295.5761922494758</v>
      </c>
      <c r="T118" s="149">
        <v>3295.5761922494758</v>
      </c>
      <c r="U118" s="149">
        <v>3295.5761922494758</v>
      </c>
      <c r="V118" s="149">
        <v>3295.5761922494758</v>
      </c>
      <c r="W118" s="149">
        <v>3295.5761922494758</v>
      </c>
      <c r="X118" s="149">
        <v>3295.5761922494758</v>
      </c>
      <c r="Y118" s="149">
        <v>3295.5761922494758</v>
      </c>
      <c r="Z118" s="149">
        <v>3295.5761922494758</v>
      </c>
      <c r="AA118" s="149">
        <v>3295.5761922494758</v>
      </c>
      <c r="AB118" s="149">
        <v>3295.5761922494758</v>
      </c>
      <c r="AC118" s="149">
        <v>3295.5761922494758</v>
      </c>
      <c r="AD118" s="149">
        <v>3295.5761922494758</v>
      </c>
      <c r="AE118" s="149">
        <v>3295.5761922494758</v>
      </c>
      <c r="AF118" s="149">
        <v>3295.5761922494758</v>
      </c>
      <c r="AG118" s="149">
        <v>3295.5761922494758</v>
      </c>
      <c r="AH118" s="149">
        <v>3295.5761922494758</v>
      </c>
      <c r="AI118" s="149">
        <v>3295.5761922494758</v>
      </c>
    </row>
    <row r="121" spans="3:35">
      <c r="C121" s="39" t="s">
        <v>522</v>
      </c>
    </row>
    <row r="123" spans="3:35">
      <c r="C123" s="14" t="s">
        <v>344</v>
      </c>
      <c r="D123" s="14" t="s">
        <v>325</v>
      </c>
      <c r="E123" s="136" t="s">
        <v>465</v>
      </c>
      <c r="F123" s="136">
        <v>2025</v>
      </c>
      <c r="G123" s="136">
        <v>2026</v>
      </c>
      <c r="H123" s="136">
        <v>2027</v>
      </c>
      <c r="I123" s="136">
        <v>2028</v>
      </c>
      <c r="J123" s="136">
        <v>2029</v>
      </c>
      <c r="K123" s="136">
        <v>2030</v>
      </c>
      <c r="L123" s="136">
        <v>2031</v>
      </c>
      <c r="M123" s="136">
        <v>2032</v>
      </c>
      <c r="N123" s="136">
        <v>2033</v>
      </c>
      <c r="O123" s="136">
        <v>2034</v>
      </c>
      <c r="P123" s="136">
        <v>2035</v>
      </c>
      <c r="Q123" s="136">
        <v>2036</v>
      </c>
      <c r="R123" s="136">
        <v>2037</v>
      </c>
      <c r="S123" s="136">
        <v>2038</v>
      </c>
      <c r="T123" s="136">
        <v>2039</v>
      </c>
      <c r="U123" s="136">
        <v>2040</v>
      </c>
      <c r="V123" s="136">
        <v>2041</v>
      </c>
      <c r="W123" s="136">
        <v>2042</v>
      </c>
      <c r="X123" s="136">
        <v>2043</v>
      </c>
      <c r="Y123" s="136">
        <v>2044</v>
      </c>
      <c r="Z123" s="136">
        <v>2045</v>
      </c>
      <c r="AA123" s="136">
        <v>2046</v>
      </c>
      <c r="AB123" s="136">
        <v>2047</v>
      </c>
      <c r="AC123" s="136">
        <v>2048</v>
      </c>
      <c r="AD123" s="136">
        <v>2049</v>
      </c>
      <c r="AE123" s="136">
        <v>2050</v>
      </c>
      <c r="AF123" s="136">
        <v>2051</v>
      </c>
      <c r="AG123" s="136">
        <v>2052</v>
      </c>
      <c r="AH123" s="136">
        <v>2053</v>
      </c>
      <c r="AI123" s="136">
        <v>2054</v>
      </c>
    </row>
    <row r="124" spans="3:35">
      <c r="C124" s="26" t="s">
        <v>345</v>
      </c>
      <c r="D124" s="11">
        <v>8890000</v>
      </c>
      <c r="E124" s="11">
        <v>8890000</v>
      </c>
      <c r="F124" s="135">
        <v>8890000</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0</v>
      </c>
      <c r="V124" s="135">
        <v>0</v>
      </c>
      <c r="W124" s="135">
        <v>0</v>
      </c>
      <c r="X124" s="135">
        <v>0</v>
      </c>
      <c r="Y124" s="135">
        <v>0</v>
      </c>
      <c r="Z124" s="135">
        <v>0</v>
      </c>
      <c r="AA124" s="135">
        <v>0</v>
      </c>
      <c r="AB124" s="135">
        <v>0</v>
      </c>
      <c r="AC124" s="135">
        <v>0</v>
      </c>
      <c r="AD124" s="135">
        <v>0</v>
      </c>
      <c r="AE124" s="135">
        <v>0</v>
      </c>
      <c r="AF124" s="135">
        <v>0</v>
      </c>
      <c r="AG124" s="135">
        <v>0</v>
      </c>
      <c r="AH124" s="135">
        <v>0</v>
      </c>
      <c r="AI124" s="135">
        <v>0</v>
      </c>
    </row>
    <row r="125" spans="3:35">
      <c r="C125" s="26" t="s">
        <v>346</v>
      </c>
      <c r="D125" s="11">
        <v>95571.709575234781</v>
      </c>
      <c r="E125" s="11">
        <v>39638.633845152755</v>
      </c>
      <c r="F125" s="16">
        <v>0</v>
      </c>
      <c r="G125" s="16">
        <v>3295.5761922494758</v>
      </c>
      <c r="H125" s="16">
        <v>3295.5761922494758</v>
      </c>
      <c r="I125" s="16">
        <v>3295.5761922494758</v>
      </c>
      <c r="J125" s="16">
        <v>3295.5761922494758</v>
      </c>
      <c r="K125" s="16">
        <v>3295.5761922494758</v>
      </c>
      <c r="L125" s="16">
        <v>3295.5761922494758</v>
      </c>
      <c r="M125" s="16">
        <v>3295.5761922494758</v>
      </c>
      <c r="N125" s="16">
        <v>3295.5761922494758</v>
      </c>
      <c r="O125" s="16">
        <v>3295.5761922494758</v>
      </c>
      <c r="P125" s="16">
        <v>3295.5761922494758</v>
      </c>
      <c r="Q125" s="16">
        <v>3295.5761922494758</v>
      </c>
      <c r="R125" s="16">
        <v>3295.5761922494758</v>
      </c>
      <c r="S125" s="16">
        <v>3295.5761922494758</v>
      </c>
      <c r="T125" s="16">
        <v>3295.5761922494758</v>
      </c>
      <c r="U125" s="16">
        <v>3295.5761922494758</v>
      </c>
      <c r="V125" s="16">
        <v>3295.5761922494758</v>
      </c>
      <c r="W125" s="16">
        <v>3295.5761922494758</v>
      </c>
      <c r="X125" s="16">
        <v>3295.5761922494758</v>
      </c>
      <c r="Y125" s="16">
        <v>3295.5761922494758</v>
      </c>
      <c r="Z125" s="16">
        <v>3295.5761922494758</v>
      </c>
      <c r="AA125" s="16">
        <v>3295.5761922494758</v>
      </c>
      <c r="AB125" s="16">
        <v>3295.5761922494758</v>
      </c>
      <c r="AC125" s="16">
        <v>3295.5761922494758</v>
      </c>
      <c r="AD125" s="16">
        <v>3295.5761922494758</v>
      </c>
      <c r="AE125" s="16">
        <v>3295.5761922494758</v>
      </c>
      <c r="AF125" s="16">
        <v>3295.5761922494758</v>
      </c>
      <c r="AG125" s="16">
        <v>3295.5761922494758</v>
      </c>
      <c r="AH125" s="16">
        <v>3295.5761922494758</v>
      </c>
      <c r="AI125" s="16">
        <v>3295.5761922494758</v>
      </c>
    </row>
    <row r="126" spans="3:35">
      <c r="C126" s="26" t="s">
        <v>349</v>
      </c>
      <c r="D126" s="11">
        <v>8985571.7095752098</v>
      </c>
      <c r="E126" s="11">
        <v>8929638.6338451523</v>
      </c>
      <c r="F126" s="16">
        <v>8890000</v>
      </c>
      <c r="G126" s="16">
        <v>3295.5761922494758</v>
      </c>
      <c r="H126" s="16">
        <v>3295.5761922494758</v>
      </c>
      <c r="I126" s="16">
        <v>3295.5761922494758</v>
      </c>
      <c r="J126" s="16">
        <v>3295.5761922494758</v>
      </c>
      <c r="K126" s="16">
        <v>3295.5761922494758</v>
      </c>
      <c r="L126" s="16">
        <v>3295.5761922494758</v>
      </c>
      <c r="M126" s="16">
        <v>3295.5761922494758</v>
      </c>
      <c r="N126" s="16">
        <v>3295.5761922494758</v>
      </c>
      <c r="O126" s="16">
        <v>3295.5761922494758</v>
      </c>
      <c r="P126" s="16">
        <v>3295.5761922494758</v>
      </c>
      <c r="Q126" s="16">
        <v>3295.5761922494758</v>
      </c>
      <c r="R126" s="16">
        <v>3295.5761922494758</v>
      </c>
      <c r="S126" s="16">
        <v>3295.5761922494758</v>
      </c>
      <c r="T126" s="16">
        <v>3295.5761922494758</v>
      </c>
      <c r="U126" s="16">
        <v>3295.5761922494758</v>
      </c>
      <c r="V126" s="16">
        <v>3295.5761922494758</v>
      </c>
      <c r="W126" s="16">
        <v>3295.5761922494758</v>
      </c>
      <c r="X126" s="16">
        <v>3295.5761922494758</v>
      </c>
      <c r="Y126" s="16">
        <v>3295.5761922494758</v>
      </c>
      <c r="Z126" s="16">
        <v>3295.5761922494758</v>
      </c>
      <c r="AA126" s="16">
        <v>3295.5761922494758</v>
      </c>
      <c r="AB126" s="16">
        <v>3295.5761922494758</v>
      </c>
      <c r="AC126" s="16">
        <v>3295.5761922494758</v>
      </c>
      <c r="AD126" s="16">
        <v>3295.5761922494758</v>
      </c>
      <c r="AE126" s="16">
        <v>3295.5761922494758</v>
      </c>
      <c r="AF126" s="16">
        <v>3295.5761922494758</v>
      </c>
      <c r="AG126" s="16">
        <v>3295.5761922494758</v>
      </c>
      <c r="AH126" s="16">
        <v>3295.5761922494758</v>
      </c>
      <c r="AI126" s="16">
        <v>3295.5761922494758</v>
      </c>
    </row>
    <row r="127" spans="3:35">
      <c r="C127" s="26" t="s">
        <v>350</v>
      </c>
      <c r="D127" s="11">
        <v>637087.37284005049</v>
      </c>
      <c r="E127" s="11">
        <v>264233.76971715147</v>
      </c>
      <c r="F127" s="16">
        <v>0</v>
      </c>
      <c r="G127" s="16">
        <v>21968.530097932766</v>
      </c>
      <c r="H127" s="16">
        <v>21968.530097932766</v>
      </c>
      <c r="I127" s="16">
        <v>21968.530097932766</v>
      </c>
      <c r="J127" s="16">
        <v>21968.530097932766</v>
      </c>
      <c r="K127" s="16">
        <v>21968.530097932766</v>
      </c>
      <c r="L127" s="16">
        <v>21968.530097932766</v>
      </c>
      <c r="M127" s="16">
        <v>21968.530097932766</v>
      </c>
      <c r="N127" s="16">
        <v>21968.530097932766</v>
      </c>
      <c r="O127" s="16">
        <v>21968.530097932766</v>
      </c>
      <c r="P127" s="16">
        <v>21968.530097932766</v>
      </c>
      <c r="Q127" s="16">
        <v>21968.530097932766</v>
      </c>
      <c r="R127" s="16">
        <v>21968.530097932766</v>
      </c>
      <c r="S127" s="16">
        <v>21968.530097932766</v>
      </c>
      <c r="T127" s="16">
        <v>21968.530097932766</v>
      </c>
      <c r="U127" s="16">
        <v>21968.530097932766</v>
      </c>
      <c r="V127" s="16">
        <v>21968.530097932766</v>
      </c>
      <c r="W127" s="16">
        <v>21968.530097932766</v>
      </c>
      <c r="X127" s="16">
        <v>21968.530097932766</v>
      </c>
      <c r="Y127" s="16">
        <v>21968.530097932766</v>
      </c>
      <c r="Z127" s="16">
        <v>21968.530097932766</v>
      </c>
      <c r="AA127" s="16">
        <v>21968.530097932766</v>
      </c>
      <c r="AB127" s="16">
        <v>21968.530097932766</v>
      </c>
      <c r="AC127" s="16">
        <v>21968.530097932766</v>
      </c>
      <c r="AD127" s="16">
        <v>21968.530097932766</v>
      </c>
      <c r="AE127" s="16">
        <v>21968.530097932766</v>
      </c>
      <c r="AF127" s="16">
        <v>21968.530097932766</v>
      </c>
      <c r="AG127" s="16">
        <v>21968.530097932766</v>
      </c>
      <c r="AH127" s="16">
        <v>21968.530097932766</v>
      </c>
      <c r="AI127" s="16">
        <v>21968.530097932766</v>
      </c>
    </row>
    <row r="128" spans="3:35">
      <c r="C128" s="26" t="s">
        <v>351</v>
      </c>
      <c r="D128" s="11">
        <v>637087.37284005049</v>
      </c>
      <c r="E128" s="11">
        <v>264233.76971715147</v>
      </c>
      <c r="F128" s="16">
        <v>0</v>
      </c>
      <c r="G128" s="16">
        <v>21968.530097932766</v>
      </c>
      <c r="H128" s="16">
        <v>21968.530097932766</v>
      </c>
      <c r="I128" s="16">
        <v>21968.530097932766</v>
      </c>
      <c r="J128" s="16">
        <v>21968.530097932766</v>
      </c>
      <c r="K128" s="16">
        <v>21968.530097932766</v>
      </c>
      <c r="L128" s="16">
        <v>21968.530097932766</v>
      </c>
      <c r="M128" s="16">
        <v>21968.530097932766</v>
      </c>
      <c r="N128" s="16">
        <v>21968.530097932766</v>
      </c>
      <c r="O128" s="16">
        <v>21968.530097932766</v>
      </c>
      <c r="P128" s="16">
        <v>21968.530097932766</v>
      </c>
      <c r="Q128" s="16">
        <v>21968.530097932766</v>
      </c>
      <c r="R128" s="16">
        <v>21968.530097932766</v>
      </c>
      <c r="S128" s="16">
        <v>21968.530097932766</v>
      </c>
      <c r="T128" s="16">
        <v>21968.530097932766</v>
      </c>
      <c r="U128" s="16">
        <v>21968.530097932766</v>
      </c>
      <c r="V128" s="16">
        <v>21968.530097932766</v>
      </c>
      <c r="W128" s="16">
        <v>21968.530097932766</v>
      </c>
      <c r="X128" s="16">
        <v>21968.530097932766</v>
      </c>
      <c r="Y128" s="16">
        <v>21968.530097932766</v>
      </c>
      <c r="Z128" s="16">
        <v>21968.530097932766</v>
      </c>
      <c r="AA128" s="16">
        <v>21968.530097932766</v>
      </c>
      <c r="AB128" s="16">
        <v>21968.530097932766</v>
      </c>
      <c r="AC128" s="16">
        <v>21968.530097932766</v>
      </c>
      <c r="AD128" s="16">
        <v>21968.530097932766</v>
      </c>
      <c r="AE128" s="16">
        <v>21968.530097932766</v>
      </c>
      <c r="AF128" s="16">
        <v>21968.530097932766</v>
      </c>
      <c r="AG128" s="16">
        <v>21968.530097932766</v>
      </c>
      <c r="AH128" s="16">
        <v>21968.530097932766</v>
      </c>
      <c r="AI128" s="16">
        <v>21968.530097932766</v>
      </c>
    </row>
    <row r="129" spans="3:35">
      <c r="C129" s="26" t="s">
        <v>352</v>
      </c>
      <c r="D129" s="11">
        <v>0</v>
      </c>
      <c r="E129" s="11">
        <v>0</v>
      </c>
      <c r="F129" s="135">
        <v>0</v>
      </c>
      <c r="G129" s="135">
        <v>0</v>
      </c>
      <c r="H129" s="135">
        <v>0</v>
      </c>
      <c r="I129" s="135">
        <v>0</v>
      </c>
      <c r="J129" s="135">
        <v>0</v>
      </c>
      <c r="K129" s="135">
        <v>0</v>
      </c>
      <c r="L129" s="135">
        <v>0</v>
      </c>
      <c r="M129" s="135">
        <v>0</v>
      </c>
      <c r="N129" s="135">
        <v>0</v>
      </c>
      <c r="O129" s="135">
        <v>0</v>
      </c>
      <c r="P129" s="135">
        <v>0</v>
      </c>
      <c r="Q129" s="135">
        <v>0</v>
      </c>
      <c r="R129" s="135">
        <v>0</v>
      </c>
      <c r="S129" s="135">
        <v>0</v>
      </c>
      <c r="T129" s="135">
        <v>0</v>
      </c>
      <c r="U129" s="135">
        <v>0</v>
      </c>
      <c r="V129" s="135">
        <v>0</v>
      </c>
      <c r="W129" s="135">
        <v>0</v>
      </c>
      <c r="X129" s="135">
        <v>0</v>
      </c>
      <c r="Y129" s="135">
        <v>0</v>
      </c>
      <c r="Z129" s="135">
        <v>0</v>
      </c>
      <c r="AA129" s="135">
        <v>0</v>
      </c>
      <c r="AB129" s="135">
        <v>0</v>
      </c>
      <c r="AC129" s="135">
        <v>0</v>
      </c>
      <c r="AD129" s="135">
        <v>0</v>
      </c>
      <c r="AE129" s="135">
        <v>0</v>
      </c>
      <c r="AF129" s="135">
        <v>0</v>
      </c>
      <c r="AG129" s="135">
        <v>0</v>
      </c>
      <c r="AH129" s="135">
        <v>0</v>
      </c>
      <c r="AI129" s="135">
        <v>0</v>
      </c>
    </row>
    <row r="130" spans="3:35">
      <c r="C130" s="27" t="s">
        <v>353</v>
      </c>
      <c r="D130" s="132">
        <v>-8348484.3367351927</v>
      </c>
      <c r="E130" s="133">
        <v>-8665404.864128001</v>
      </c>
      <c r="F130" s="135">
        <v>-8890000</v>
      </c>
      <c r="G130" s="135">
        <v>18672.953905683291</v>
      </c>
      <c r="H130" s="135">
        <v>18672.953905683291</v>
      </c>
      <c r="I130" s="135">
        <v>18672.953905683291</v>
      </c>
      <c r="J130" s="135">
        <v>18672.953905683291</v>
      </c>
      <c r="K130" s="135">
        <v>18672.953905683291</v>
      </c>
      <c r="L130" s="135">
        <v>18672.953905683291</v>
      </c>
      <c r="M130" s="135">
        <v>18672.953905683291</v>
      </c>
      <c r="N130" s="135">
        <v>18672.953905683291</v>
      </c>
      <c r="O130" s="135">
        <v>18672.953905683291</v>
      </c>
      <c r="P130" s="135">
        <v>18672.953905683291</v>
      </c>
      <c r="Q130" s="135">
        <v>18672.953905683291</v>
      </c>
      <c r="R130" s="135">
        <v>18672.953905683291</v>
      </c>
      <c r="S130" s="135">
        <v>18672.953905683291</v>
      </c>
      <c r="T130" s="135">
        <v>18672.953905683291</v>
      </c>
      <c r="U130" s="135">
        <v>18672.953905683291</v>
      </c>
      <c r="V130" s="135">
        <v>18672.953905683291</v>
      </c>
      <c r="W130" s="135">
        <v>18672.953905683291</v>
      </c>
      <c r="X130" s="135">
        <v>18672.953905683291</v>
      </c>
      <c r="Y130" s="135">
        <v>18672.953905683291</v>
      </c>
      <c r="Z130" s="135">
        <v>18672.953905683291</v>
      </c>
      <c r="AA130" s="135">
        <v>18672.953905683291</v>
      </c>
      <c r="AB130" s="135">
        <v>18672.953905683291</v>
      </c>
      <c r="AC130" s="135">
        <v>18672.953905683291</v>
      </c>
      <c r="AD130" s="135">
        <v>18672.953905683291</v>
      </c>
      <c r="AE130" s="135">
        <v>18672.953905683291</v>
      </c>
      <c r="AF130" s="135">
        <v>18672.953905683291</v>
      </c>
      <c r="AG130" s="135">
        <v>18672.953905683291</v>
      </c>
      <c r="AH130" s="135">
        <v>18672.953905683291</v>
      </c>
      <c r="AI130" s="135">
        <v>18672.953905683291</v>
      </c>
    </row>
    <row r="131" spans="3:35">
      <c r="C131" s="26" t="s">
        <v>354</v>
      </c>
      <c r="D131" s="142">
        <v>-8665404.864128001</v>
      </c>
      <c r="E131" s="147"/>
    </row>
    <row r="132" spans="3:35">
      <c r="C132" s="26" t="s">
        <v>355</v>
      </c>
      <c r="D132" s="29">
        <v>-0.1339618686889279</v>
      </c>
    </row>
    <row r="135" spans="3:35">
      <c r="C135" s="39" t="s">
        <v>523</v>
      </c>
    </row>
    <row r="137" spans="3:35">
      <c r="C137" s="14" t="s">
        <v>335</v>
      </c>
      <c r="D137" s="14" t="s">
        <v>524</v>
      </c>
      <c r="E137" s="14" t="s">
        <v>514</v>
      </c>
      <c r="F137" s="14" t="s">
        <v>525</v>
      </c>
    </row>
    <row r="138" spans="3:35">
      <c r="C138" s="30" t="s">
        <v>530</v>
      </c>
      <c r="D138" s="29" t="s">
        <v>563</v>
      </c>
      <c r="E138" s="11">
        <v>8890000</v>
      </c>
      <c r="F138" s="132">
        <v>22225</v>
      </c>
    </row>
    <row r="139" spans="3:35">
      <c r="C139" s="30" t="s">
        <v>541</v>
      </c>
      <c r="D139" s="31"/>
      <c r="E139" s="11">
        <v>0</v>
      </c>
      <c r="F139" s="132">
        <v>0</v>
      </c>
    </row>
    <row r="140" spans="3:35">
      <c r="C140" s="30" t="s">
        <v>542</v>
      </c>
      <c r="D140" s="138">
        <v>1</v>
      </c>
      <c r="E140" s="31"/>
      <c r="F140" s="31"/>
    </row>
    <row r="141" spans="3:35">
      <c r="C141" s="30" t="s">
        <v>543</v>
      </c>
      <c r="D141" s="32">
        <v>1</v>
      </c>
      <c r="E141" s="11">
        <v>8890000</v>
      </c>
      <c r="F141" s="132">
        <v>22225</v>
      </c>
    </row>
    <row r="142" spans="3:35">
      <c r="C142" s="30" t="s">
        <v>118</v>
      </c>
      <c r="D142" s="138">
        <v>0.83</v>
      </c>
      <c r="E142" s="31"/>
      <c r="F142" s="31"/>
    </row>
    <row r="143" spans="3:35">
      <c r="C143" s="30" t="s">
        <v>119</v>
      </c>
      <c r="D143" s="138">
        <v>0.17000000000000004</v>
      </c>
      <c r="E143" s="31"/>
      <c r="F143" s="31"/>
    </row>
    <row r="144" spans="3:35">
      <c r="C144" s="30" t="s">
        <v>533</v>
      </c>
      <c r="D144" s="141"/>
      <c r="E144" s="132">
        <v>7378700</v>
      </c>
      <c r="F144" s="132">
        <v>18446.75</v>
      </c>
    </row>
    <row r="145" spans="3:35">
      <c r="C145" s="30" t="s">
        <v>534</v>
      </c>
      <c r="D145" s="141"/>
      <c r="E145" s="132">
        <v>1511300.0000000005</v>
      </c>
      <c r="F145" s="132">
        <v>3778.2500000000014</v>
      </c>
    </row>
    <row r="146" spans="3:35">
      <c r="C146" s="30" t="s">
        <v>544</v>
      </c>
      <c r="D146" s="141"/>
      <c r="E146" s="11">
        <v>0</v>
      </c>
      <c r="F146" s="132">
        <v>0</v>
      </c>
    </row>
    <row r="147" spans="3:35">
      <c r="C147" s="30" t="s">
        <v>536</v>
      </c>
      <c r="D147" s="141"/>
      <c r="E147" s="11">
        <v>1511300.0000000005</v>
      </c>
      <c r="F147" s="132">
        <v>3778.2500000000014</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36">
        <v>2025</v>
      </c>
      <c r="E153" s="136">
        <v>2026</v>
      </c>
      <c r="F153" s="136">
        <v>2027</v>
      </c>
      <c r="G153" s="136">
        <v>2028</v>
      </c>
      <c r="H153" s="136">
        <v>2029</v>
      </c>
      <c r="I153" s="136">
        <v>2030</v>
      </c>
      <c r="J153" s="136">
        <v>2031</v>
      </c>
      <c r="K153" s="136">
        <v>2032</v>
      </c>
      <c r="L153" s="136">
        <v>2033</v>
      </c>
      <c r="M153" s="136">
        <v>2034</v>
      </c>
      <c r="N153" s="136">
        <v>2035</v>
      </c>
      <c r="O153" s="136">
        <v>2036</v>
      </c>
      <c r="P153" s="136">
        <v>2037</v>
      </c>
      <c r="Q153" s="136">
        <v>2038</v>
      </c>
      <c r="R153" s="136">
        <v>2039</v>
      </c>
      <c r="S153" s="136">
        <v>2040</v>
      </c>
      <c r="T153" s="136">
        <v>2041</v>
      </c>
      <c r="U153" s="136">
        <v>2042</v>
      </c>
      <c r="V153" s="136">
        <v>2043</v>
      </c>
      <c r="W153" s="136">
        <v>2044</v>
      </c>
      <c r="X153" s="136">
        <v>2045</v>
      </c>
      <c r="Y153" s="136">
        <v>2046</v>
      </c>
      <c r="Z153" s="136">
        <v>2047</v>
      </c>
      <c r="AA153" s="136">
        <v>2048</v>
      </c>
      <c r="AB153" s="136">
        <v>2049</v>
      </c>
      <c r="AC153" s="136">
        <v>2050</v>
      </c>
      <c r="AD153" s="136">
        <v>2051</v>
      </c>
      <c r="AE153" s="136">
        <v>2052</v>
      </c>
      <c r="AF153" s="136">
        <v>2053</v>
      </c>
      <c r="AG153" s="136">
        <v>2054</v>
      </c>
    </row>
    <row r="154" spans="3:35">
      <c r="C154" s="163" t="s">
        <v>379</v>
      </c>
      <c r="D154" s="164">
        <v>8890000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3295.5761922494758</v>
      </c>
      <c r="F155" s="164">
        <v>3295.5761922494758</v>
      </c>
      <c r="G155" s="164">
        <v>3295.5761922494758</v>
      </c>
      <c r="H155" s="164">
        <v>3295.5761922494758</v>
      </c>
      <c r="I155" s="164">
        <v>3295.5761922494758</v>
      </c>
      <c r="J155" s="164">
        <v>3295.5761922494758</v>
      </c>
      <c r="K155" s="164">
        <v>3295.5761922494758</v>
      </c>
      <c r="L155" s="164">
        <v>3295.5761922494758</v>
      </c>
      <c r="M155" s="164">
        <v>3295.5761922494758</v>
      </c>
      <c r="N155" s="164">
        <v>3295.5761922494758</v>
      </c>
      <c r="O155" s="164">
        <v>3295.5761922494758</v>
      </c>
      <c r="P155" s="164">
        <v>3295.5761922494758</v>
      </c>
      <c r="Q155" s="164">
        <v>3295.5761922494758</v>
      </c>
      <c r="R155" s="164">
        <v>3295.5761922494758</v>
      </c>
      <c r="S155" s="164">
        <v>3295.5761922494758</v>
      </c>
      <c r="T155" s="164">
        <v>3295.5761922494758</v>
      </c>
      <c r="U155" s="164">
        <v>3295.5761922494758</v>
      </c>
      <c r="V155" s="164">
        <v>3295.5761922494758</v>
      </c>
      <c r="W155" s="164">
        <v>3295.5761922494758</v>
      </c>
      <c r="X155" s="164">
        <v>3295.5761922494758</v>
      </c>
      <c r="Y155" s="164">
        <v>3295.5761922494758</v>
      </c>
      <c r="Z155" s="164">
        <v>3295.5761922494758</v>
      </c>
      <c r="AA155" s="164">
        <v>3295.5761922494758</v>
      </c>
      <c r="AB155" s="164">
        <v>3295.5761922494758</v>
      </c>
      <c r="AC155" s="164">
        <v>3295.5761922494758</v>
      </c>
      <c r="AD155" s="164">
        <v>3295.5761922494758</v>
      </c>
      <c r="AE155" s="164">
        <v>3295.5761922494758</v>
      </c>
      <c r="AF155" s="164">
        <v>3295.5761922494758</v>
      </c>
      <c r="AG155" s="164">
        <v>3295.5761922494758</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8890000</v>
      </c>
      <c r="E159" s="162">
        <v>3295.5761922494758</v>
      </c>
      <c r="F159" s="162">
        <v>3295.5761922494758</v>
      </c>
      <c r="G159" s="162">
        <v>3295.5761922494758</v>
      </c>
      <c r="H159" s="162">
        <v>3295.5761922494758</v>
      </c>
      <c r="I159" s="162">
        <v>3295.5761922494758</v>
      </c>
      <c r="J159" s="162">
        <v>3295.5761922494758</v>
      </c>
      <c r="K159" s="162">
        <v>3295.5761922494758</v>
      </c>
      <c r="L159" s="162">
        <v>3295.5761922494758</v>
      </c>
      <c r="M159" s="162">
        <v>3295.5761922494758</v>
      </c>
      <c r="N159" s="162">
        <v>3295.5761922494758</v>
      </c>
      <c r="O159" s="162">
        <v>3295.5761922494758</v>
      </c>
      <c r="P159" s="162">
        <v>3295.5761922494758</v>
      </c>
      <c r="Q159" s="162">
        <v>3295.5761922494758</v>
      </c>
      <c r="R159" s="162">
        <v>3295.5761922494758</v>
      </c>
      <c r="S159" s="162">
        <v>3295.5761922494758</v>
      </c>
      <c r="T159" s="162">
        <v>3295.5761922494758</v>
      </c>
      <c r="U159" s="162">
        <v>3295.5761922494758</v>
      </c>
      <c r="V159" s="162">
        <v>3295.5761922494758</v>
      </c>
      <c r="W159" s="162">
        <v>3295.5761922494758</v>
      </c>
      <c r="X159" s="162">
        <v>3295.5761922494758</v>
      </c>
      <c r="Y159" s="162">
        <v>3295.5761922494758</v>
      </c>
      <c r="Z159" s="162">
        <v>3295.5761922494758</v>
      </c>
      <c r="AA159" s="162">
        <v>3295.5761922494758</v>
      </c>
      <c r="AB159" s="162">
        <v>3295.5761922494758</v>
      </c>
      <c r="AC159" s="162">
        <v>3295.5761922494758</v>
      </c>
      <c r="AD159" s="162">
        <v>3295.5761922494758</v>
      </c>
      <c r="AE159" s="162">
        <v>3295.5761922494758</v>
      </c>
      <c r="AF159" s="162">
        <v>3295.5761922494758</v>
      </c>
      <c r="AG159" s="162">
        <v>3295.5761922494758</v>
      </c>
      <c r="AH159" s="3"/>
      <c r="AI159" s="3"/>
    </row>
    <row r="160" spans="3:35">
      <c r="C160" s="163" t="s">
        <v>385</v>
      </c>
      <c r="D160" s="164">
        <v>0</v>
      </c>
      <c r="E160" s="164">
        <v>21968.530097932766</v>
      </c>
      <c r="F160" s="164">
        <v>21968.530097932766</v>
      </c>
      <c r="G160" s="164">
        <v>21968.530097932766</v>
      </c>
      <c r="H160" s="164">
        <v>21968.530097932766</v>
      </c>
      <c r="I160" s="164">
        <v>21968.530097932766</v>
      </c>
      <c r="J160" s="164">
        <v>21968.530097932766</v>
      </c>
      <c r="K160" s="164">
        <v>21968.530097932766</v>
      </c>
      <c r="L160" s="164">
        <v>21968.530097932766</v>
      </c>
      <c r="M160" s="164">
        <v>21968.530097932766</v>
      </c>
      <c r="N160" s="164">
        <v>21968.530097932766</v>
      </c>
      <c r="O160" s="164">
        <v>21968.530097932766</v>
      </c>
      <c r="P160" s="164">
        <v>21968.530097932766</v>
      </c>
      <c r="Q160" s="164">
        <v>21968.530097932766</v>
      </c>
      <c r="R160" s="164">
        <v>21968.530097932766</v>
      </c>
      <c r="S160" s="164">
        <v>21968.530097932766</v>
      </c>
      <c r="T160" s="164">
        <v>21968.530097932766</v>
      </c>
      <c r="U160" s="164">
        <v>21968.530097932766</v>
      </c>
      <c r="V160" s="164">
        <v>21968.530097932766</v>
      </c>
      <c r="W160" s="164">
        <v>21968.530097932766</v>
      </c>
      <c r="X160" s="164">
        <v>21968.530097932766</v>
      </c>
      <c r="Y160" s="164">
        <v>21968.530097932766</v>
      </c>
      <c r="Z160" s="164">
        <v>21968.530097932766</v>
      </c>
      <c r="AA160" s="164">
        <v>21968.530097932766</v>
      </c>
      <c r="AB160" s="164">
        <v>21968.530097932766</v>
      </c>
      <c r="AC160" s="164">
        <v>21968.530097932766</v>
      </c>
      <c r="AD160" s="164">
        <v>21968.530097932766</v>
      </c>
      <c r="AE160" s="164">
        <v>21968.530097932766</v>
      </c>
      <c r="AF160" s="164">
        <v>21968.530097932766</v>
      </c>
      <c r="AG160" s="164">
        <v>21968.530097932766</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7378700</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1511300</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0</v>
      </c>
      <c r="AH163" s="3"/>
      <c r="AI163" s="3"/>
    </row>
    <row r="164" spans="3:35">
      <c r="C164" s="163" t="s">
        <v>389</v>
      </c>
      <c r="D164" s="164">
        <v>1511300</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8890000</v>
      </c>
      <c r="E171" s="162">
        <v>21968.530097932766</v>
      </c>
      <c r="F171" s="162">
        <v>21968.530097932766</v>
      </c>
      <c r="G171" s="162">
        <v>21968.530097932766</v>
      </c>
      <c r="H171" s="162">
        <v>21968.530097932766</v>
      </c>
      <c r="I171" s="162">
        <v>21968.530097932766</v>
      </c>
      <c r="J171" s="162">
        <v>21968.530097932766</v>
      </c>
      <c r="K171" s="162">
        <v>21968.530097932766</v>
      </c>
      <c r="L171" s="162">
        <v>21968.530097932766</v>
      </c>
      <c r="M171" s="162">
        <v>21968.530097932766</v>
      </c>
      <c r="N171" s="162">
        <v>21968.530097932766</v>
      </c>
      <c r="O171" s="162">
        <v>21968.530097932766</v>
      </c>
      <c r="P171" s="162">
        <v>21968.530097932766</v>
      </c>
      <c r="Q171" s="162">
        <v>21968.530097932766</v>
      </c>
      <c r="R171" s="162">
        <v>21968.530097932766</v>
      </c>
      <c r="S171" s="162">
        <v>21968.530097932766</v>
      </c>
      <c r="T171" s="162">
        <v>21968.530097932766</v>
      </c>
      <c r="U171" s="162">
        <v>21968.530097932766</v>
      </c>
      <c r="V171" s="162">
        <v>21968.530097932766</v>
      </c>
      <c r="W171" s="162">
        <v>21968.530097932766</v>
      </c>
      <c r="X171" s="162">
        <v>21968.530097932766</v>
      </c>
      <c r="Y171" s="162">
        <v>21968.530097932766</v>
      </c>
      <c r="Z171" s="162">
        <v>21968.530097932766</v>
      </c>
      <c r="AA171" s="162">
        <v>21968.530097932766</v>
      </c>
      <c r="AB171" s="162">
        <v>21968.530097932766</v>
      </c>
      <c r="AC171" s="162">
        <v>21968.530097932766</v>
      </c>
      <c r="AD171" s="162">
        <v>21968.530097932766</v>
      </c>
      <c r="AE171" s="162">
        <v>21968.530097932766</v>
      </c>
      <c r="AF171" s="162">
        <v>21968.530097932766</v>
      </c>
      <c r="AG171" s="162">
        <v>21968.530097932766</v>
      </c>
      <c r="AH171" s="3"/>
      <c r="AI171" s="3"/>
    </row>
    <row r="172" spans="3:35">
      <c r="C172" s="165" t="s">
        <v>397</v>
      </c>
      <c r="D172" s="162">
        <v>0</v>
      </c>
      <c r="E172" s="162">
        <v>18672.953905683291</v>
      </c>
      <c r="F172" s="162">
        <v>18672.953905683291</v>
      </c>
      <c r="G172" s="162">
        <v>18672.953905683291</v>
      </c>
      <c r="H172" s="162">
        <v>18672.953905683291</v>
      </c>
      <c r="I172" s="162">
        <v>18672.953905683291</v>
      </c>
      <c r="J172" s="162">
        <v>18672.953905683291</v>
      </c>
      <c r="K172" s="162">
        <v>18672.953905683291</v>
      </c>
      <c r="L172" s="162">
        <v>18672.953905683291</v>
      </c>
      <c r="M172" s="162">
        <v>18672.953905683291</v>
      </c>
      <c r="N172" s="162">
        <v>18672.953905683291</v>
      </c>
      <c r="O172" s="162">
        <v>18672.953905683291</v>
      </c>
      <c r="P172" s="162">
        <v>18672.953905683291</v>
      </c>
      <c r="Q172" s="162">
        <v>18672.953905683291</v>
      </c>
      <c r="R172" s="162">
        <v>18672.953905683291</v>
      </c>
      <c r="S172" s="162">
        <v>18672.953905683291</v>
      </c>
      <c r="T172" s="162">
        <v>18672.953905683291</v>
      </c>
      <c r="U172" s="162">
        <v>18672.953905683291</v>
      </c>
      <c r="V172" s="162">
        <v>18672.953905683291</v>
      </c>
      <c r="W172" s="162">
        <v>18672.953905683291</v>
      </c>
      <c r="X172" s="162">
        <v>18672.953905683291</v>
      </c>
      <c r="Y172" s="162">
        <v>18672.953905683291</v>
      </c>
      <c r="Z172" s="162">
        <v>18672.953905683291</v>
      </c>
      <c r="AA172" s="162">
        <v>18672.953905683291</v>
      </c>
      <c r="AB172" s="162">
        <v>18672.953905683291</v>
      </c>
      <c r="AC172" s="162">
        <v>18672.953905683291</v>
      </c>
      <c r="AD172" s="162">
        <v>18672.953905683291</v>
      </c>
      <c r="AE172" s="162">
        <v>18672.953905683291</v>
      </c>
      <c r="AF172" s="162">
        <v>18672.953905683291</v>
      </c>
      <c r="AG172" s="162">
        <v>18672.953905683291</v>
      </c>
      <c r="AH172" s="3"/>
      <c r="AI172" s="3"/>
    </row>
    <row r="173" spans="3:35">
      <c r="C173" s="165" t="s">
        <v>398</v>
      </c>
      <c r="D173" s="162">
        <v>0</v>
      </c>
      <c r="E173" s="162">
        <v>18672.953905683291</v>
      </c>
      <c r="F173" s="162">
        <v>37345.907811366582</v>
      </c>
      <c r="G173" s="162">
        <v>56018.861717049876</v>
      </c>
      <c r="H173" s="162">
        <v>74691.815622733164</v>
      </c>
      <c r="I173" s="162">
        <v>93364.769528416451</v>
      </c>
      <c r="J173" s="162">
        <v>112037.72343409974</v>
      </c>
      <c r="K173" s="162">
        <v>130710.67733978303</v>
      </c>
      <c r="L173" s="162">
        <v>149383.63124546633</v>
      </c>
      <c r="M173" s="162">
        <v>168056.58515114963</v>
      </c>
      <c r="N173" s="162">
        <v>186729.53905683293</v>
      </c>
      <c r="O173" s="162">
        <v>205402.49296251623</v>
      </c>
      <c r="P173" s="162">
        <v>224075.44686819953</v>
      </c>
      <c r="Q173" s="162">
        <v>242748.40077388284</v>
      </c>
      <c r="R173" s="162">
        <v>261421.35467956614</v>
      </c>
      <c r="S173" s="162">
        <v>280094.30858524941</v>
      </c>
      <c r="T173" s="162">
        <v>298767.26249093271</v>
      </c>
      <c r="U173" s="162">
        <v>317440.21639661602</v>
      </c>
      <c r="V173" s="162">
        <v>336113.17030229932</v>
      </c>
      <c r="W173" s="162">
        <v>354786.12420798262</v>
      </c>
      <c r="X173" s="162">
        <v>373459.07811366592</v>
      </c>
      <c r="Y173" s="162">
        <v>392132.03201934922</v>
      </c>
      <c r="Z173" s="162">
        <v>410804.98592503252</v>
      </c>
      <c r="AA173" s="162">
        <v>429477.93983071583</v>
      </c>
      <c r="AB173" s="162">
        <v>448150.89373639913</v>
      </c>
      <c r="AC173" s="162">
        <v>466823.84764208243</v>
      </c>
      <c r="AD173" s="162">
        <v>485496.80154776573</v>
      </c>
      <c r="AE173" s="162">
        <v>504169.75545344903</v>
      </c>
      <c r="AF173" s="162">
        <v>522842.70935913234</v>
      </c>
      <c r="AG173" s="162">
        <v>541515.66326481558</v>
      </c>
      <c r="AH173" s="3"/>
      <c r="AI173" s="3"/>
    </row>
    <row r="175" spans="3:35">
      <c r="C175" s="165" t="s">
        <v>373</v>
      </c>
      <c r="D175" s="132">
        <v>0</v>
      </c>
      <c r="E175" s="132">
        <v>18672.953905683291</v>
      </c>
      <c r="F175" s="132">
        <v>18672.953905683291</v>
      </c>
      <c r="G175" s="132">
        <v>18672.953905683291</v>
      </c>
      <c r="H175" s="132">
        <v>18672.953905683291</v>
      </c>
      <c r="I175" s="132">
        <v>18672.953905683291</v>
      </c>
      <c r="J175" s="132">
        <v>18672.953905683291</v>
      </c>
      <c r="K175" s="132">
        <v>18672.953905683291</v>
      </c>
      <c r="L175" s="132">
        <v>18672.953905683291</v>
      </c>
      <c r="M175" s="132">
        <v>18672.953905683291</v>
      </c>
      <c r="N175" s="132">
        <v>18672.953905683291</v>
      </c>
      <c r="O175" s="132">
        <v>18672.953905683291</v>
      </c>
      <c r="P175" s="132">
        <v>18672.953905683291</v>
      </c>
      <c r="Q175" s="132">
        <v>18672.953905683291</v>
      </c>
      <c r="R175" s="132">
        <v>18672.953905683291</v>
      </c>
      <c r="S175" s="132">
        <v>18672.953905683291</v>
      </c>
      <c r="T175" s="132">
        <v>18672.953905683291</v>
      </c>
      <c r="U175" s="132">
        <v>18672.953905683291</v>
      </c>
      <c r="V175" s="132">
        <v>18672.953905683291</v>
      </c>
      <c r="W175" s="132">
        <v>18672.953905683291</v>
      </c>
      <c r="X175" s="132">
        <v>18672.953905683291</v>
      </c>
      <c r="Y175" s="132">
        <v>18672.953905683291</v>
      </c>
      <c r="Z175" s="132">
        <v>18672.953905683291</v>
      </c>
      <c r="AA175" s="132">
        <v>18672.953905683291</v>
      </c>
      <c r="AB175" s="132">
        <v>18672.953905683291</v>
      </c>
      <c r="AC175" s="132">
        <v>18672.953905683291</v>
      </c>
      <c r="AD175" s="132">
        <v>18672.953905683291</v>
      </c>
      <c r="AE175" s="132">
        <v>18672.953905683291</v>
      </c>
      <c r="AF175" s="132">
        <v>18672.953905683291</v>
      </c>
      <c r="AG175" s="132">
        <v>18672.953905683291</v>
      </c>
      <c r="AH175" s="3"/>
      <c r="AI175" s="3"/>
    </row>
    <row r="176" spans="3:35">
      <c r="C176" s="165" t="s">
        <v>374</v>
      </c>
      <c r="D176" s="132">
        <v>0</v>
      </c>
      <c r="E176" s="132">
        <v>18672.953905683291</v>
      </c>
      <c r="F176" s="132">
        <v>37345.907811366582</v>
      </c>
      <c r="G176" s="132">
        <v>56018.861717049876</v>
      </c>
      <c r="H176" s="132">
        <v>74691.815622733164</v>
      </c>
      <c r="I176" s="132">
        <v>93364.769528416451</v>
      </c>
      <c r="J176" s="132">
        <v>112037.72343409974</v>
      </c>
      <c r="K176" s="132">
        <v>130710.67733978303</v>
      </c>
      <c r="L176" s="132">
        <v>149383.63124546633</v>
      </c>
      <c r="M176" s="132">
        <v>168056.58515114963</v>
      </c>
      <c r="N176" s="132">
        <v>186729.53905683293</v>
      </c>
      <c r="O176" s="132">
        <v>205402.49296251623</v>
      </c>
      <c r="P176" s="132">
        <v>224075.44686819953</v>
      </c>
      <c r="Q176" s="132">
        <v>242748.40077388284</v>
      </c>
      <c r="R176" s="132">
        <v>261421.35467956614</v>
      </c>
      <c r="S176" s="132">
        <v>280094.30858524941</v>
      </c>
      <c r="T176" s="132">
        <v>298767.26249093271</v>
      </c>
      <c r="U176" s="132">
        <v>317440.21639661602</v>
      </c>
      <c r="V176" s="132">
        <v>336113.17030229932</v>
      </c>
      <c r="W176" s="132">
        <v>354786.12420798262</v>
      </c>
      <c r="X176" s="132">
        <v>373459.07811366592</v>
      </c>
      <c r="Y176" s="132">
        <v>392132.03201934922</v>
      </c>
      <c r="Z176" s="132">
        <v>410804.98592503252</v>
      </c>
      <c r="AA176" s="132">
        <v>429477.93983071583</v>
      </c>
      <c r="AB176" s="132">
        <v>448150.89373639913</v>
      </c>
      <c r="AC176" s="132">
        <v>466823.84764208243</v>
      </c>
      <c r="AD176" s="132">
        <v>485496.80154776573</v>
      </c>
      <c r="AE176" s="132">
        <v>504169.75545344903</v>
      </c>
      <c r="AF176" s="132">
        <v>522842.70935913234</v>
      </c>
      <c r="AG176" s="132">
        <v>541515.66326481558</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49" priority="2">
      <formula>NOT(ISBLANK(D$153))</formula>
    </cfRule>
  </conditionalFormatting>
  <conditionalFormatting sqref="D175:AG177">
    <cfRule type="expression" dxfId="48" priority="1">
      <formula>NOT(ISBLANK(D$268))</formula>
    </cfRule>
  </conditionalFormatting>
  <conditionalFormatting sqref="E123:AI123">
    <cfRule type="expression" dxfId="47" priority="24">
      <formula>NOT(ISBLANK(E$123))</formula>
    </cfRule>
  </conditionalFormatting>
  <conditionalFormatting sqref="F74:AI74">
    <cfRule type="expression" dxfId="46" priority="49">
      <formula>NOT(ISBLANK(F$74))</formula>
    </cfRule>
  </conditionalFormatting>
  <conditionalFormatting sqref="F75:AI75">
    <cfRule type="expression" dxfId="45" priority="48">
      <formula>NOT(ISBLANK(F$74))</formula>
    </cfRule>
  </conditionalFormatting>
  <conditionalFormatting sqref="F80:AI80">
    <cfRule type="expression" dxfId="44" priority="13">
      <formula>NOT(ISBLANK(F$74))</formula>
    </cfRule>
  </conditionalFormatting>
  <conditionalFormatting sqref="F81:AI81">
    <cfRule type="expression" dxfId="43" priority="10">
      <formula>NOT(ISBLANK(F$74))</formula>
    </cfRule>
  </conditionalFormatting>
  <conditionalFormatting sqref="F86:AI86">
    <cfRule type="expression" dxfId="42" priority="12">
      <formula>NOT(ISBLANK(F$74))</formula>
    </cfRule>
  </conditionalFormatting>
  <conditionalFormatting sqref="F87:AI88">
    <cfRule type="expression" dxfId="41" priority="8">
      <formula>NOT(ISBLANK(F$74))</formula>
    </cfRule>
  </conditionalFormatting>
  <conditionalFormatting sqref="F89:AI89">
    <cfRule type="expression" dxfId="40" priority="44">
      <formula>NOT(ISBLANK(F$86))</formula>
    </cfRule>
  </conditionalFormatting>
  <conditionalFormatting sqref="F94:AI94">
    <cfRule type="expression" dxfId="39" priority="43">
      <formula>NOT(ISBLANK(F$94))</formula>
    </cfRule>
  </conditionalFormatting>
  <conditionalFormatting sqref="F95:AI99">
    <cfRule type="expression" dxfId="38" priority="3">
      <formula>NOT(ISBLANK(F$74))</formula>
    </cfRule>
  </conditionalFormatting>
  <conditionalFormatting sqref="F112:AI112">
    <cfRule type="expression" dxfId="37" priority="21">
      <formula>NOT(ISBLANK(F$123))</formula>
    </cfRule>
  </conditionalFormatting>
  <conditionalFormatting sqref="F113:AI118">
    <cfRule type="expression" dxfId="36" priority="19">
      <formula>NOT(ISBLANK(F$110))</formula>
    </cfRule>
  </conditionalFormatting>
  <conditionalFormatting sqref="F124:AI129">
    <cfRule type="expression" dxfId="35" priority="23">
      <formula>NOT(ISBLANK(F$123))</formula>
    </cfRule>
  </conditionalFormatting>
  <conditionalFormatting sqref="F130:AI130">
    <cfRule type="expression" dxfId="34" priority="22">
      <formula>NOT(ISBLANK(F$123))</formula>
    </cfRule>
  </conditionalFormatting>
  <conditionalFormatting sqref="G118:AI118">
    <cfRule type="expression" dxfId="33" priority="20">
      <formula>NOT(ISBLANK(G$110))</formula>
    </cfRule>
  </conditionalFormatting>
  <dataValidations count="1">
    <dataValidation type="list" allowBlank="1" showInputMessage="1" showErrorMessage="1" sqref="D185" xr:uid="{59B95FA3-C7D7-4999-9E23-1C954F798A0C}">
      <formula1>i_n_list</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5C92-73FC-4080-9054-354B1FBE0EB9}">
  <sheetPr codeName="Munka11">
    <tabColor theme="8" tint="0.59999389629810485"/>
  </sheetPr>
  <dimension ref="A1:AI185"/>
  <sheetViews>
    <sheetView topLeftCell="A69" zoomScale="83" zoomScaleNormal="87" workbookViewId="0">
      <selection activeCell="H81" sqref="H81"/>
    </sheetView>
  </sheetViews>
  <sheetFormatPr defaultColWidth="9.19921875" defaultRowHeight="13.8"/>
  <cols>
    <col min="1" max="1" width="9.19921875" style="1"/>
    <col min="2" max="2" width="47" style="1" customWidth="1"/>
    <col min="3" max="3" width="62.19921875" style="1" customWidth="1"/>
    <col min="4" max="4" width="27.5" style="1" bestFit="1" customWidth="1"/>
    <col min="5" max="5" width="24.19921875" style="1" customWidth="1"/>
    <col min="6" max="6" width="15.69921875" style="1" customWidth="1"/>
    <col min="7" max="7" width="20.19921875" style="1" customWidth="1"/>
    <col min="8" max="8" width="11.69921875" style="1" customWidth="1"/>
    <col min="9" max="16384" width="9.19921875" style="1"/>
  </cols>
  <sheetData>
    <row r="1" spans="1:6" ht="14.4" thickBot="1"/>
    <row r="2" spans="1:6" ht="14.4" thickBot="1">
      <c r="C2" s="41" t="s">
        <v>132</v>
      </c>
    </row>
    <row r="3" spans="1:6" ht="14.4" thickBot="1"/>
    <row r="4" spans="1:6" ht="145.80000000000001" thickBot="1">
      <c r="C4" s="120" t="s">
        <v>562</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88900000</v>
      </c>
      <c r="E12" s="130">
        <v>0</v>
      </c>
      <c r="F12" s="11">
        <v>88900000</v>
      </c>
    </row>
    <row r="13" spans="1:6">
      <c r="C13" s="10" t="s">
        <v>276</v>
      </c>
      <c r="D13" s="130">
        <v>0</v>
      </c>
      <c r="E13" s="130">
        <v>0</v>
      </c>
      <c r="F13" s="11">
        <v>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88900000</v>
      </c>
      <c r="E21" s="131">
        <v>0</v>
      </c>
      <c r="F21" s="13">
        <v>88900000</v>
      </c>
    </row>
    <row r="22" spans="3:10">
      <c r="C22" s="12" t="s">
        <v>329</v>
      </c>
      <c r="D22" s="13">
        <v>88900000</v>
      </c>
      <c r="E22" s="13">
        <v>0</v>
      </c>
      <c r="F22" s="133">
        <v>88900000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88900000</v>
      </c>
      <c r="E27" s="11">
        <v>88900000</v>
      </c>
      <c r="F27" s="134">
        <v>88900000</v>
      </c>
      <c r="G27" s="134">
        <v>0</v>
      </c>
      <c r="H27" s="134">
        <v>0</v>
      </c>
      <c r="I27" s="134">
        <v>0</v>
      </c>
      <c r="J27" s="134">
        <v>0</v>
      </c>
    </row>
    <row r="28" spans="3:10">
      <c r="C28" s="10" t="s">
        <v>276</v>
      </c>
      <c r="D28" s="11">
        <v>0</v>
      </c>
      <c r="E28" s="11">
        <v>0</v>
      </c>
      <c r="F28" s="134">
        <v>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88900000</v>
      </c>
      <c r="E36" s="13">
        <v>88900000</v>
      </c>
      <c r="F36" s="131">
        <v>88900000</v>
      </c>
      <c r="G36" s="131">
        <v>0</v>
      </c>
      <c r="H36" s="131">
        <v>0</v>
      </c>
      <c r="I36" s="131">
        <v>0</v>
      </c>
      <c r="J36" s="131">
        <v>0</v>
      </c>
    </row>
    <row r="37" spans="3:10">
      <c r="C37" s="12" t="s">
        <v>329</v>
      </c>
      <c r="D37" s="13">
        <v>88900000</v>
      </c>
      <c r="E37" s="13">
        <v>88900000</v>
      </c>
      <c r="F37" s="13">
        <v>88900000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1">
        <v>0</v>
      </c>
      <c r="G52" s="131">
        <v>0</v>
      </c>
      <c r="H52" s="131">
        <v>0</v>
      </c>
      <c r="I52" s="131">
        <v>0</v>
      </c>
      <c r="J52" s="131">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88900000</v>
      </c>
      <c r="E57" s="11">
        <v>88900000</v>
      </c>
      <c r="F57" s="11">
        <v>88900000</v>
      </c>
      <c r="G57" s="11">
        <v>0</v>
      </c>
      <c r="H57" s="11">
        <v>0</v>
      </c>
      <c r="I57" s="11">
        <v>0</v>
      </c>
      <c r="J57" s="11">
        <v>0</v>
      </c>
    </row>
    <row r="58" spans="3:10">
      <c r="C58" s="10" t="s">
        <v>276</v>
      </c>
      <c r="D58" s="11">
        <v>0</v>
      </c>
      <c r="E58" s="11">
        <v>0</v>
      </c>
      <c r="F58" s="11">
        <v>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88900000</v>
      </c>
      <c r="E66" s="13">
        <v>88900000</v>
      </c>
      <c r="F66" s="13">
        <v>88900000</v>
      </c>
      <c r="G66" s="13">
        <v>0</v>
      </c>
      <c r="H66" s="13">
        <v>0</v>
      </c>
      <c r="I66" s="13">
        <v>0</v>
      </c>
      <c r="J66" s="13">
        <v>0</v>
      </c>
    </row>
    <row r="67" spans="1:35">
      <c r="C67" s="12" t="s">
        <v>329</v>
      </c>
      <c r="D67" s="13">
        <v>88900000</v>
      </c>
      <c r="E67" s="13">
        <v>88900000</v>
      </c>
      <c r="F67" s="13">
        <v>88900000</v>
      </c>
      <c r="G67" s="13">
        <v>0</v>
      </c>
      <c r="H67" s="13">
        <v>0</v>
      </c>
      <c r="I67" s="13">
        <v>0</v>
      </c>
      <c r="J67" s="13">
        <v>0</v>
      </c>
    </row>
    <row r="70" spans="1:35" s="7" customFormat="1">
      <c r="A70" s="6"/>
      <c r="C70" s="6" t="s">
        <v>301</v>
      </c>
    </row>
    <row r="72" spans="1:35">
      <c r="C72" s="39" t="s">
        <v>408</v>
      </c>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row>
    <row r="74" spans="1:35">
      <c r="C74" s="14" t="s">
        <v>479</v>
      </c>
      <c r="D74" s="14" t="s">
        <v>325</v>
      </c>
      <c r="E74" s="14" t="s">
        <v>465</v>
      </c>
      <c r="F74" s="14">
        <v>2025</v>
      </c>
      <c r="G74" s="14">
        <v>2026</v>
      </c>
      <c r="H74" s="14">
        <v>2027</v>
      </c>
      <c r="I74" s="14">
        <v>2028</v>
      </c>
      <c r="J74" s="14">
        <v>2029</v>
      </c>
      <c r="K74" s="14">
        <v>2030</v>
      </c>
      <c r="L74" s="14">
        <v>2031</v>
      </c>
      <c r="M74" s="14">
        <v>2032</v>
      </c>
      <c r="N74" s="14">
        <v>2033</v>
      </c>
      <c r="O74" s="14">
        <v>2034</v>
      </c>
      <c r="P74" s="14">
        <v>2035</v>
      </c>
      <c r="Q74" s="14">
        <v>2036</v>
      </c>
      <c r="R74" s="14">
        <v>2037</v>
      </c>
      <c r="S74" s="14">
        <v>2038</v>
      </c>
      <c r="T74" s="14">
        <v>2039</v>
      </c>
      <c r="U74" s="14">
        <v>2040</v>
      </c>
      <c r="V74" s="14">
        <v>2041</v>
      </c>
      <c r="W74" s="14">
        <v>2042</v>
      </c>
      <c r="X74" s="14">
        <v>2043</v>
      </c>
      <c r="Y74" s="14">
        <v>2044</v>
      </c>
      <c r="Z74" s="14">
        <v>2045</v>
      </c>
      <c r="AA74" s="14">
        <v>2046</v>
      </c>
      <c r="AB74" s="14">
        <v>2047</v>
      </c>
      <c r="AC74" s="14">
        <v>2048</v>
      </c>
      <c r="AD74" s="14">
        <v>2049</v>
      </c>
      <c r="AE74" s="14">
        <v>2050</v>
      </c>
      <c r="AF74" s="14">
        <v>2051</v>
      </c>
      <c r="AG74" s="14">
        <v>2052</v>
      </c>
      <c r="AH74" s="14">
        <v>2053</v>
      </c>
      <c r="AI74" s="14">
        <v>2054</v>
      </c>
    </row>
    <row r="75" spans="1:35">
      <c r="C75" s="10" t="s">
        <v>337</v>
      </c>
      <c r="D75" s="132">
        <v>955717.09575234773</v>
      </c>
      <c r="E75" s="132">
        <v>396386.33845152776</v>
      </c>
      <c r="F75" s="135">
        <v>0</v>
      </c>
      <c r="G75" s="135">
        <v>32955.761922494763</v>
      </c>
      <c r="H75" s="135">
        <v>32955.761922494763</v>
      </c>
      <c r="I75" s="135">
        <v>32955.761922494763</v>
      </c>
      <c r="J75" s="135">
        <v>32955.761922494763</v>
      </c>
      <c r="K75" s="135">
        <v>32955.761922494763</v>
      </c>
      <c r="L75" s="135">
        <v>32955.761922494763</v>
      </c>
      <c r="M75" s="135">
        <v>32955.761922494763</v>
      </c>
      <c r="N75" s="135">
        <v>32955.761922494763</v>
      </c>
      <c r="O75" s="135">
        <v>32955.761922494763</v>
      </c>
      <c r="P75" s="135">
        <v>32955.761922494763</v>
      </c>
      <c r="Q75" s="135">
        <v>32955.761922494763</v>
      </c>
      <c r="R75" s="135">
        <v>32955.761922494763</v>
      </c>
      <c r="S75" s="135">
        <v>32955.761922494763</v>
      </c>
      <c r="T75" s="135">
        <v>32955.761922494763</v>
      </c>
      <c r="U75" s="135">
        <v>32955.761922494763</v>
      </c>
      <c r="V75" s="135">
        <v>32955.761922494763</v>
      </c>
      <c r="W75" s="135">
        <v>32955.761922494763</v>
      </c>
      <c r="X75" s="135">
        <v>32955.761922494763</v>
      </c>
      <c r="Y75" s="135">
        <v>32955.761922494763</v>
      </c>
      <c r="Z75" s="135">
        <v>32955.761922494763</v>
      </c>
      <c r="AA75" s="135">
        <v>32955.761922494763</v>
      </c>
      <c r="AB75" s="135">
        <v>32955.761922494763</v>
      </c>
      <c r="AC75" s="135">
        <v>32955.761922494763</v>
      </c>
      <c r="AD75" s="135">
        <v>32955.761922494763</v>
      </c>
      <c r="AE75" s="135">
        <v>32955.761922494763</v>
      </c>
      <c r="AF75" s="135">
        <v>32955.761922494763</v>
      </c>
      <c r="AG75" s="135">
        <v>32955.761922494763</v>
      </c>
      <c r="AH75" s="135">
        <v>32955.761922494763</v>
      </c>
      <c r="AI75" s="135">
        <v>32955.761922494763</v>
      </c>
    </row>
    <row r="78" spans="1:35">
      <c r="C78" s="39" t="s">
        <v>414</v>
      </c>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row>
    <row r="80" spans="1:35">
      <c r="C80" s="14" t="s">
        <v>479</v>
      </c>
      <c r="D80" s="14" t="s">
        <v>325</v>
      </c>
      <c r="E80" s="14" t="s">
        <v>465</v>
      </c>
      <c r="F80" s="14">
        <v>2025</v>
      </c>
      <c r="G80" s="14">
        <v>2026</v>
      </c>
      <c r="H80" s="14">
        <v>2027</v>
      </c>
      <c r="I80" s="14">
        <v>2028</v>
      </c>
      <c r="J80" s="14">
        <v>2029</v>
      </c>
      <c r="K80" s="14">
        <v>2030</v>
      </c>
      <c r="L80" s="14">
        <v>2031</v>
      </c>
      <c r="M80" s="14">
        <v>2032</v>
      </c>
      <c r="N80" s="14">
        <v>2033</v>
      </c>
      <c r="O80" s="14">
        <v>2034</v>
      </c>
      <c r="P80" s="14">
        <v>2035</v>
      </c>
      <c r="Q80" s="14">
        <v>2036</v>
      </c>
      <c r="R80" s="14">
        <v>2037</v>
      </c>
      <c r="S80" s="14">
        <v>2038</v>
      </c>
      <c r="T80" s="14">
        <v>2039</v>
      </c>
      <c r="U80" s="14">
        <v>2040</v>
      </c>
      <c r="V80" s="14">
        <v>2041</v>
      </c>
      <c r="W80" s="14">
        <v>2042</v>
      </c>
      <c r="X80" s="14">
        <v>2043</v>
      </c>
      <c r="Y80" s="14">
        <v>2044</v>
      </c>
      <c r="Z80" s="14">
        <v>2045</v>
      </c>
      <c r="AA80" s="14">
        <v>2046</v>
      </c>
      <c r="AB80" s="14">
        <v>2047</v>
      </c>
      <c r="AC80" s="14">
        <v>2048</v>
      </c>
      <c r="AD80" s="14">
        <v>2049</v>
      </c>
      <c r="AE80" s="14">
        <v>2050</v>
      </c>
      <c r="AF80" s="14">
        <v>2051</v>
      </c>
      <c r="AG80" s="14">
        <v>2052</v>
      </c>
      <c r="AH80" s="14">
        <v>2053</v>
      </c>
      <c r="AI80" s="14">
        <v>2054</v>
      </c>
    </row>
    <row r="81" spans="1:35">
      <c r="C81" s="10" t="s">
        <v>338</v>
      </c>
      <c r="D81" s="132">
        <v>0</v>
      </c>
      <c r="E81" s="132">
        <v>0</v>
      </c>
      <c r="F81" s="135">
        <v>0</v>
      </c>
      <c r="G81" s="135">
        <v>0</v>
      </c>
      <c r="H81" s="135">
        <v>0</v>
      </c>
      <c r="I81" s="135">
        <v>0</v>
      </c>
      <c r="J81" s="135">
        <v>0</v>
      </c>
      <c r="K81" s="135">
        <v>0</v>
      </c>
      <c r="L81" s="135">
        <v>0</v>
      </c>
      <c r="M81" s="135">
        <v>0</v>
      </c>
      <c r="N81" s="135">
        <v>0</v>
      </c>
      <c r="O81" s="135">
        <v>0</v>
      </c>
      <c r="P81" s="135">
        <v>0</v>
      </c>
      <c r="Q81" s="135">
        <v>0</v>
      </c>
      <c r="R81" s="135">
        <v>0</v>
      </c>
      <c r="S81" s="135">
        <v>0</v>
      </c>
      <c r="T81" s="135">
        <v>0</v>
      </c>
      <c r="U81" s="135">
        <v>0</v>
      </c>
      <c r="V81" s="135">
        <v>0</v>
      </c>
      <c r="W81" s="135">
        <v>0</v>
      </c>
      <c r="X81" s="135">
        <v>0</v>
      </c>
      <c r="Y81" s="135">
        <v>0</v>
      </c>
      <c r="Z81" s="135">
        <v>0</v>
      </c>
      <c r="AA81" s="135">
        <v>0</v>
      </c>
      <c r="AB81" s="135">
        <v>0</v>
      </c>
      <c r="AC81" s="135">
        <v>0</v>
      </c>
      <c r="AD81" s="135">
        <v>0</v>
      </c>
      <c r="AE81" s="135">
        <v>0</v>
      </c>
      <c r="AF81" s="135">
        <v>0</v>
      </c>
      <c r="AG81" s="135">
        <v>0</v>
      </c>
      <c r="AH81" s="135">
        <v>0</v>
      </c>
      <c r="AI81" s="135">
        <v>0</v>
      </c>
    </row>
    <row r="84" spans="1:35" s="7" customFormat="1">
      <c r="A84" s="6"/>
      <c r="C84" s="6" t="s">
        <v>509</v>
      </c>
    </row>
    <row r="86" spans="1:35">
      <c r="C86" s="14" t="s">
        <v>479</v>
      </c>
      <c r="D86" s="14" t="s">
        <v>325</v>
      </c>
      <c r="E86" s="14" t="s">
        <v>465</v>
      </c>
      <c r="F86" s="14">
        <v>2025</v>
      </c>
      <c r="G86" s="14">
        <v>2026</v>
      </c>
      <c r="H86" s="14">
        <v>2027</v>
      </c>
      <c r="I86" s="14">
        <v>2028</v>
      </c>
      <c r="J86" s="14">
        <v>2029</v>
      </c>
      <c r="K86" s="14">
        <v>2030</v>
      </c>
      <c r="L86" s="14">
        <v>2031</v>
      </c>
      <c r="M86" s="14">
        <v>2032</v>
      </c>
      <c r="N86" s="14">
        <v>2033</v>
      </c>
      <c r="O86" s="14">
        <v>2034</v>
      </c>
      <c r="P86" s="14">
        <v>2035</v>
      </c>
      <c r="Q86" s="14">
        <v>2036</v>
      </c>
      <c r="R86" s="14">
        <v>2037</v>
      </c>
      <c r="S86" s="14">
        <v>2038</v>
      </c>
      <c r="T86" s="14">
        <v>2039</v>
      </c>
      <c r="U86" s="14">
        <v>2040</v>
      </c>
      <c r="V86" s="14">
        <v>2041</v>
      </c>
      <c r="W86" s="14">
        <v>2042</v>
      </c>
      <c r="X86" s="14">
        <v>2043</v>
      </c>
      <c r="Y86" s="14">
        <v>2044</v>
      </c>
      <c r="Z86" s="14">
        <v>2045</v>
      </c>
      <c r="AA86" s="14">
        <v>2046</v>
      </c>
      <c r="AB86" s="14">
        <v>2047</v>
      </c>
      <c r="AC86" s="14">
        <v>2048</v>
      </c>
      <c r="AD86" s="14">
        <v>2049</v>
      </c>
      <c r="AE86" s="14">
        <v>2050</v>
      </c>
      <c r="AF86" s="14">
        <v>2051</v>
      </c>
      <c r="AG86" s="14">
        <v>2052</v>
      </c>
      <c r="AH86" s="14">
        <v>2053</v>
      </c>
      <c r="AI86" s="14">
        <v>2054</v>
      </c>
    </row>
    <row r="87" spans="1:35">
      <c r="C87" s="8" t="s">
        <v>341</v>
      </c>
      <c r="D87" s="133">
        <v>6370873.7284005024</v>
      </c>
      <c r="E87" s="133">
        <v>2642337.6971715153</v>
      </c>
      <c r="F87" s="137">
        <v>0</v>
      </c>
      <c r="G87" s="137">
        <v>219685.30097932767</v>
      </c>
      <c r="H87" s="137">
        <v>219685.30097932767</v>
      </c>
      <c r="I87" s="137">
        <v>219685.30097932767</v>
      </c>
      <c r="J87" s="137">
        <v>219685.30097932767</v>
      </c>
      <c r="K87" s="137">
        <v>219685.30097932767</v>
      </c>
      <c r="L87" s="137">
        <v>219685.30097932767</v>
      </c>
      <c r="M87" s="137">
        <v>219685.30097932767</v>
      </c>
      <c r="N87" s="137">
        <v>219685.30097932767</v>
      </c>
      <c r="O87" s="137">
        <v>219685.30097932767</v>
      </c>
      <c r="P87" s="137">
        <v>219685.30097932767</v>
      </c>
      <c r="Q87" s="137">
        <v>219685.30097932767</v>
      </c>
      <c r="R87" s="137">
        <v>219685.30097932767</v>
      </c>
      <c r="S87" s="137">
        <v>219685.30097932767</v>
      </c>
      <c r="T87" s="137">
        <v>219685.30097932767</v>
      </c>
      <c r="U87" s="137">
        <v>219685.30097932767</v>
      </c>
      <c r="V87" s="137">
        <v>219685.30097932767</v>
      </c>
      <c r="W87" s="137">
        <v>219685.30097932767</v>
      </c>
      <c r="X87" s="137">
        <v>219685.30097932767</v>
      </c>
      <c r="Y87" s="137">
        <v>219685.30097932767</v>
      </c>
      <c r="Z87" s="137">
        <v>219685.30097932767</v>
      </c>
      <c r="AA87" s="137">
        <v>219685.30097932767</v>
      </c>
      <c r="AB87" s="137">
        <v>219685.30097932767</v>
      </c>
      <c r="AC87" s="137">
        <v>219685.30097932767</v>
      </c>
      <c r="AD87" s="137">
        <v>219685.30097932767</v>
      </c>
      <c r="AE87" s="137">
        <v>219685.30097932767</v>
      </c>
      <c r="AF87" s="137">
        <v>219685.30097932767</v>
      </c>
      <c r="AG87" s="137">
        <v>219685.30097932767</v>
      </c>
      <c r="AH87" s="137">
        <v>219685.30097932767</v>
      </c>
      <c r="AI87" s="137">
        <v>219685.30097932767</v>
      </c>
    </row>
    <row r="88" spans="1:35">
      <c r="C88" s="10" t="s">
        <v>342</v>
      </c>
      <c r="D88" s="132">
        <v>0</v>
      </c>
      <c r="E88" s="132">
        <v>0</v>
      </c>
      <c r="F88" s="135">
        <v>0</v>
      </c>
      <c r="G88" s="135">
        <v>0</v>
      </c>
      <c r="H88" s="135">
        <v>0</v>
      </c>
      <c r="I88" s="135">
        <v>0</v>
      </c>
      <c r="J88" s="135">
        <v>0</v>
      </c>
      <c r="K88" s="135">
        <v>0</v>
      </c>
      <c r="L88" s="135">
        <v>0</v>
      </c>
      <c r="M88" s="135">
        <v>0</v>
      </c>
      <c r="N88" s="135">
        <v>0</v>
      </c>
      <c r="O88" s="135">
        <v>0</v>
      </c>
      <c r="P88" s="135">
        <v>0</v>
      </c>
      <c r="Q88" s="135">
        <v>0</v>
      </c>
      <c r="R88" s="135">
        <v>0</v>
      </c>
      <c r="S88" s="135">
        <v>0</v>
      </c>
      <c r="T88" s="135">
        <v>0</v>
      </c>
      <c r="U88" s="135">
        <v>0</v>
      </c>
      <c r="V88" s="135">
        <v>0</v>
      </c>
      <c r="W88" s="135">
        <v>0</v>
      </c>
      <c r="X88" s="135">
        <v>0</v>
      </c>
      <c r="Y88" s="135">
        <v>0</v>
      </c>
      <c r="Z88" s="135">
        <v>0</v>
      </c>
      <c r="AA88" s="135">
        <v>0</v>
      </c>
      <c r="AB88" s="135">
        <v>0</v>
      </c>
      <c r="AC88" s="135">
        <v>0</v>
      </c>
      <c r="AD88" s="135">
        <v>0</v>
      </c>
      <c r="AE88" s="135">
        <v>0</v>
      </c>
      <c r="AF88" s="135">
        <v>0</v>
      </c>
      <c r="AG88" s="135">
        <v>0</v>
      </c>
      <c r="AH88" s="135">
        <v>0</v>
      </c>
      <c r="AI88" s="135">
        <v>0</v>
      </c>
    </row>
    <row r="89" spans="1:35">
      <c r="C89" s="8" t="s">
        <v>343</v>
      </c>
      <c r="D89" s="133">
        <v>6370873.7284005024</v>
      </c>
      <c r="E89" s="133">
        <v>2642337.6971715153</v>
      </c>
      <c r="F89" s="148">
        <v>0</v>
      </c>
      <c r="G89" s="148">
        <v>219685.30097932767</v>
      </c>
      <c r="H89" s="148">
        <v>219685.30097932767</v>
      </c>
      <c r="I89" s="148">
        <v>219685.30097932767</v>
      </c>
      <c r="J89" s="148">
        <v>219685.30097932767</v>
      </c>
      <c r="K89" s="148">
        <v>219685.30097932767</v>
      </c>
      <c r="L89" s="148">
        <v>219685.30097932767</v>
      </c>
      <c r="M89" s="148">
        <v>219685.30097932767</v>
      </c>
      <c r="N89" s="148">
        <v>219685.30097932767</v>
      </c>
      <c r="O89" s="148">
        <v>219685.30097932767</v>
      </c>
      <c r="P89" s="148">
        <v>219685.30097932767</v>
      </c>
      <c r="Q89" s="148">
        <v>219685.30097932767</v>
      </c>
      <c r="R89" s="148">
        <v>219685.30097932767</v>
      </c>
      <c r="S89" s="148">
        <v>219685.30097932767</v>
      </c>
      <c r="T89" s="148">
        <v>219685.30097932767</v>
      </c>
      <c r="U89" s="148">
        <v>219685.30097932767</v>
      </c>
      <c r="V89" s="148">
        <v>219685.30097932767</v>
      </c>
      <c r="W89" s="148">
        <v>219685.30097932767</v>
      </c>
      <c r="X89" s="148">
        <v>219685.30097932767</v>
      </c>
      <c r="Y89" s="148">
        <v>219685.30097932767</v>
      </c>
      <c r="Z89" s="148">
        <v>219685.30097932767</v>
      </c>
      <c r="AA89" s="148">
        <v>219685.30097932767</v>
      </c>
      <c r="AB89" s="148">
        <v>219685.30097932767</v>
      </c>
      <c r="AC89" s="148">
        <v>219685.30097932767</v>
      </c>
      <c r="AD89" s="148">
        <v>219685.30097932767</v>
      </c>
      <c r="AE89" s="148">
        <v>219685.30097932767</v>
      </c>
      <c r="AF89" s="148">
        <v>219685.30097932767</v>
      </c>
      <c r="AG89" s="148">
        <v>219685.30097932767</v>
      </c>
      <c r="AH89" s="148">
        <v>219685.30097932767</v>
      </c>
      <c r="AI89" s="148">
        <v>219685.30097932767</v>
      </c>
    </row>
    <row r="92" spans="1:35" s="7" customFormat="1">
      <c r="A92" s="6"/>
      <c r="C92" s="6" t="s">
        <v>312</v>
      </c>
    </row>
    <row r="94" spans="1:35">
      <c r="C94" s="14" t="s">
        <v>312</v>
      </c>
      <c r="D94" s="14" t="s">
        <v>325</v>
      </c>
      <c r="E94" s="14" t="s">
        <v>465</v>
      </c>
      <c r="F94" s="14">
        <v>2025</v>
      </c>
      <c r="G94" s="14">
        <v>2026</v>
      </c>
      <c r="H94" s="14">
        <v>2027</v>
      </c>
      <c r="I94" s="14">
        <v>2028</v>
      </c>
      <c r="J94" s="14">
        <v>2029</v>
      </c>
      <c r="K94" s="14">
        <v>2030</v>
      </c>
      <c r="L94" s="14">
        <v>2031</v>
      </c>
      <c r="M94" s="14">
        <v>2032</v>
      </c>
      <c r="N94" s="14">
        <v>2033</v>
      </c>
      <c r="O94" s="14">
        <v>2034</v>
      </c>
      <c r="P94" s="14">
        <v>2035</v>
      </c>
      <c r="Q94" s="14">
        <v>2036</v>
      </c>
      <c r="R94" s="14">
        <v>2037</v>
      </c>
      <c r="S94" s="14">
        <v>2038</v>
      </c>
      <c r="T94" s="14">
        <v>2039</v>
      </c>
      <c r="U94" s="14">
        <v>2040</v>
      </c>
      <c r="V94" s="14">
        <v>2041</v>
      </c>
      <c r="W94" s="14">
        <v>2042</v>
      </c>
      <c r="X94" s="14">
        <v>2043</v>
      </c>
      <c r="Y94" s="14">
        <v>2044</v>
      </c>
      <c r="Z94" s="14">
        <v>2045</v>
      </c>
      <c r="AA94" s="14">
        <v>2046</v>
      </c>
      <c r="AB94" s="14">
        <v>2047</v>
      </c>
      <c r="AC94" s="14">
        <v>2048</v>
      </c>
      <c r="AD94" s="14">
        <v>2049</v>
      </c>
      <c r="AE94" s="14">
        <v>2050</v>
      </c>
      <c r="AF94" s="14">
        <v>2051</v>
      </c>
      <c r="AG94" s="14">
        <v>2052</v>
      </c>
      <c r="AH94" s="14">
        <v>2053</v>
      </c>
      <c r="AI94" s="14">
        <v>2054</v>
      </c>
    </row>
    <row r="95" spans="1:35">
      <c r="C95" s="10" t="s">
        <v>314</v>
      </c>
      <c r="D95" s="132">
        <v>0</v>
      </c>
      <c r="E95" s="132">
        <v>0</v>
      </c>
      <c r="F95" s="135">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315</v>
      </c>
      <c r="D96" s="132">
        <v>0</v>
      </c>
      <c r="E96" s="132">
        <v>0</v>
      </c>
      <c r="F96" s="135">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316</v>
      </c>
      <c r="D97" s="132">
        <v>0</v>
      </c>
      <c r="E97" s="132">
        <v>0</v>
      </c>
      <c r="F97" s="135">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98" spans="1:35">
      <c r="C98" s="10" t="s">
        <v>317</v>
      </c>
      <c r="D98" s="132">
        <v>0</v>
      </c>
      <c r="E98" s="132">
        <v>0</v>
      </c>
      <c r="F98" s="135">
        <v>0</v>
      </c>
      <c r="G98" s="135">
        <v>0</v>
      </c>
      <c r="H98" s="135">
        <v>0</v>
      </c>
      <c r="I98" s="135">
        <v>0</v>
      </c>
      <c r="J98" s="135">
        <v>0</v>
      </c>
      <c r="K98" s="135">
        <v>0</v>
      </c>
      <c r="L98" s="135">
        <v>0</v>
      </c>
      <c r="M98" s="135">
        <v>0</v>
      </c>
      <c r="N98" s="135">
        <v>0</v>
      </c>
      <c r="O98" s="135">
        <v>0</v>
      </c>
      <c r="P98" s="135">
        <v>0</v>
      </c>
      <c r="Q98" s="135">
        <v>0</v>
      </c>
      <c r="R98" s="135">
        <v>0</v>
      </c>
      <c r="S98" s="135">
        <v>0</v>
      </c>
      <c r="T98" s="135">
        <v>0</v>
      </c>
      <c r="U98" s="135">
        <v>0</v>
      </c>
      <c r="V98" s="135">
        <v>0</v>
      </c>
      <c r="W98" s="135">
        <v>0</v>
      </c>
      <c r="X98" s="135">
        <v>0</v>
      </c>
      <c r="Y98" s="135">
        <v>0</v>
      </c>
      <c r="Z98" s="135">
        <v>0</v>
      </c>
      <c r="AA98" s="135">
        <v>0</v>
      </c>
      <c r="AB98" s="135">
        <v>0</v>
      </c>
      <c r="AC98" s="135">
        <v>0</v>
      </c>
      <c r="AD98" s="135">
        <v>0</v>
      </c>
      <c r="AE98" s="135">
        <v>0</v>
      </c>
      <c r="AF98" s="135">
        <v>0</v>
      </c>
      <c r="AG98" s="135">
        <v>0</v>
      </c>
      <c r="AH98" s="135">
        <v>0</v>
      </c>
      <c r="AI98" s="135">
        <v>0</v>
      </c>
    </row>
    <row r="99" spans="1:35">
      <c r="C99" s="10" t="s">
        <v>318</v>
      </c>
      <c r="D99" s="132">
        <v>0</v>
      </c>
      <c r="E99" s="132">
        <v>0</v>
      </c>
      <c r="F99" s="135">
        <v>0</v>
      </c>
      <c r="G99" s="135">
        <v>0</v>
      </c>
      <c r="H99" s="135">
        <v>0</v>
      </c>
      <c r="I99" s="135">
        <v>0</v>
      </c>
      <c r="J99" s="135">
        <v>0</v>
      </c>
      <c r="K99" s="135">
        <v>0</v>
      </c>
      <c r="L99" s="135">
        <v>0</v>
      </c>
      <c r="M99" s="135">
        <v>0</v>
      </c>
      <c r="N99" s="135">
        <v>0</v>
      </c>
      <c r="O99" s="135">
        <v>0</v>
      </c>
      <c r="P99" s="135">
        <v>0</v>
      </c>
      <c r="Q99" s="135">
        <v>0</v>
      </c>
      <c r="R99" s="135">
        <v>0</v>
      </c>
      <c r="S99" s="135">
        <v>0</v>
      </c>
      <c r="T99" s="135">
        <v>0</v>
      </c>
      <c r="U99" s="135">
        <v>0</v>
      </c>
      <c r="V99" s="135">
        <v>0</v>
      </c>
      <c r="W99" s="135">
        <v>0</v>
      </c>
      <c r="X99" s="135">
        <v>0</v>
      </c>
      <c r="Y99" s="135">
        <v>0</v>
      </c>
      <c r="Z99" s="135">
        <v>0</v>
      </c>
      <c r="AA99" s="135">
        <v>0</v>
      </c>
      <c r="AB99" s="135">
        <v>0</v>
      </c>
      <c r="AC99" s="135">
        <v>0</v>
      </c>
      <c r="AD99" s="135">
        <v>0</v>
      </c>
      <c r="AE99" s="135">
        <v>0</v>
      </c>
      <c r="AF99" s="135">
        <v>0</v>
      </c>
      <c r="AG99" s="135">
        <v>0</v>
      </c>
      <c r="AH99" s="135">
        <v>0</v>
      </c>
      <c r="AI99" s="135">
        <v>0</v>
      </c>
    </row>
    <row r="102" spans="1:35" s="7" customFormat="1">
      <c r="A102" s="6"/>
      <c r="C102" s="6" t="s">
        <v>246</v>
      </c>
    </row>
    <row r="103" spans="1:35">
      <c r="C103" s="36"/>
    </row>
    <row r="104" spans="1:35">
      <c r="C104" s="14" t="s">
        <v>246</v>
      </c>
      <c r="D104" s="14">
        <v>2054</v>
      </c>
    </row>
    <row r="105" spans="1:35">
      <c r="C105" s="4" t="s">
        <v>332</v>
      </c>
      <c r="D105" s="134">
        <v>30800000</v>
      </c>
    </row>
    <row r="106" spans="1:35">
      <c r="C106" s="36"/>
    </row>
    <row r="107" spans="1:35">
      <c r="C107" s="36"/>
    </row>
    <row r="108" spans="1:35" s="22" customFormat="1">
      <c r="A108" s="21" t="s">
        <v>519</v>
      </c>
      <c r="C108" s="21"/>
    </row>
    <row r="110" spans="1:35">
      <c r="C110" s="39" t="s">
        <v>520</v>
      </c>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row>
    <row r="112" spans="1:35">
      <c r="C112" s="14" t="s">
        <v>335</v>
      </c>
      <c r="D112" s="14" t="s">
        <v>325</v>
      </c>
      <c r="E112" s="14" t="s">
        <v>465</v>
      </c>
      <c r="F112" s="15">
        <v>2025</v>
      </c>
      <c r="G112" s="15">
        <v>2026</v>
      </c>
      <c r="H112" s="15">
        <v>2027</v>
      </c>
      <c r="I112" s="15">
        <v>2028</v>
      </c>
      <c r="J112" s="15">
        <v>2029</v>
      </c>
      <c r="K112" s="15">
        <v>2030</v>
      </c>
      <c r="L112" s="15">
        <v>2031</v>
      </c>
      <c r="M112" s="15">
        <v>2032</v>
      </c>
      <c r="N112" s="15">
        <v>2033</v>
      </c>
      <c r="O112" s="15">
        <v>2034</v>
      </c>
      <c r="P112" s="15">
        <v>2035</v>
      </c>
      <c r="Q112" s="15">
        <v>2036</v>
      </c>
      <c r="R112" s="15">
        <v>2037</v>
      </c>
      <c r="S112" s="15">
        <v>2038</v>
      </c>
      <c r="T112" s="15">
        <v>2039</v>
      </c>
      <c r="U112" s="15">
        <v>2040</v>
      </c>
      <c r="V112" s="15">
        <v>2041</v>
      </c>
      <c r="W112" s="15">
        <v>2042</v>
      </c>
      <c r="X112" s="15">
        <v>2043</v>
      </c>
      <c r="Y112" s="15">
        <v>2044</v>
      </c>
      <c r="Z112" s="15">
        <v>2045</v>
      </c>
      <c r="AA112" s="15">
        <v>2046</v>
      </c>
      <c r="AB112" s="15">
        <v>2047</v>
      </c>
      <c r="AC112" s="15">
        <v>2048</v>
      </c>
      <c r="AD112" s="15">
        <v>2049</v>
      </c>
      <c r="AE112" s="15">
        <v>2050</v>
      </c>
      <c r="AF112" s="15">
        <v>2051</v>
      </c>
      <c r="AG112" s="15">
        <v>2052</v>
      </c>
      <c r="AH112" s="15">
        <v>2053</v>
      </c>
      <c r="AI112" s="15">
        <v>2054</v>
      </c>
    </row>
    <row r="113" spans="3:35">
      <c r="C113" s="10" t="s">
        <v>336</v>
      </c>
      <c r="D113" s="132">
        <v>88900000</v>
      </c>
      <c r="E113" s="132">
        <v>88900000</v>
      </c>
      <c r="F113" s="11">
        <v>88900000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row>
    <row r="114" spans="3:35">
      <c r="C114" s="10" t="s">
        <v>301</v>
      </c>
      <c r="D114" s="11">
        <v>955717.09575234773</v>
      </c>
      <c r="E114" s="11">
        <v>396386.33845152776</v>
      </c>
      <c r="F114" s="11">
        <v>0</v>
      </c>
      <c r="G114" s="11">
        <v>32955.761922494763</v>
      </c>
      <c r="H114" s="11">
        <v>32955.761922494763</v>
      </c>
      <c r="I114" s="11">
        <v>32955.761922494763</v>
      </c>
      <c r="J114" s="11">
        <v>32955.761922494763</v>
      </c>
      <c r="K114" s="11">
        <v>32955.761922494763</v>
      </c>
      <c r="L114" s="11">
        <v>32955.761922494763</v>
      </c>
      <c r="M114" s="11">
        <v>32955.761922494763</v>
      </c>
      <c r="N114" s="11">
        <v>32955.761922494763</v>
      </c>
      <c r="O114" s="11">
        <v>32955.761922494763</v>
      </c>
      <c r="P114" s="11">
        <v>32955.761922494763</v>
      </c>
      <c r="Q114" s="11">
        <v>32955.761922494763</v>
      </c>
      <c r="R114" s="11">
        <v>32955.761922494763</v>
      </c>
      <c r="S114" s="11">
        <v>32955.761922494763</v>
      </c>
      <c r="T114" s="11">
        <v>32955.761922494763</v>
      </c>
      <c r="U114" s="11">
        <v>32955.761922494763</v>
      </c>
      <c r="V114" s="11">
        <v>32955.761922494763</v>
      </c>
      <c r="W114" s="11">
        <v>32955.761922494763</v>
      </c>
      <c r="X114" s="11">
        <v>32955.761922494763</v>
      </c>
      <c r="Y114" s="11">
        <v>32955.761922494763</v>
      </c>
      <c r="Z114" s="11">
        <v>32955.761922494763</v>
      </c>
      <c r="AA114" s="11">
        <v>32955.761922494763</v>
      </c>
      <c r="AB114" s="11">
        <v>32955.761922494763</v>
      </c>
      <c r="AC114" s="11">
        <v>32955.761922494763</v>
      </c>
      <c r="AD114" s="11">
        <v>32955.761922494763</v>
      </c>
      <c r="AE114" s="11">
        <v>32955.761922494763</v>
      </c>
      <c r="AF114" s="11">
        <v>32955.761922494763</v>
      </c>
      <c r="AG114" s="11">
        <v>32955.761922494763</v>
      </c>
      <c r="AH114" s="11">
        <v>32955.761922494763</v>
      </c>
      <c r="AI114" s="11">
        <v>32955.761922494763</v>
      </c>
    </row>
    <row r="115" spans="3:35" ht="14.4">
      <c r="C115" s="23" t="s">
        <v>337</v>
      </c>
      <c r="D115" s="24">
        <v>955717.09575234773</v>
      </c>
      <c r="E115" s="24">
        <v>396386.33845152776</v>
      </c>
      <c r="F115" s="24">
        <v>0</v>
      </c>
      <c r="G115" s="24">
        <v>32955.761922494763</v>
      </c>
      <c r="H115" s="24">
        <v>32955.761922494763</v>
      </c>
      <c r="I115" s="24">
        <v>32955.761922494763</v>
      </c>
      <c r="J115" s="24">
        <v>32955.761922494763</v>
      </c>
      <c r="K115" s="24">
        <v>32955.761922494763</v>
      </c>
      <c r="L115" s="24">
        <v>32955.761922494763</v>
      </c>
      <c r="M115" s="24">
        <v>32955.761922494763</v>
      </c>
      <c r="N115" s="24">
        <v>32955.761922494763</v>
      </c>
      <c r="O115" s="24">
        <v>32955.761922494763</v>
      </c>
      <c r="P115" s="24">
        <v>32955.761922494763</v>
      </c>
      <c r="Q115" s="24">
        <v>32955.761922494763</v>
      </c>
      <c r="R115" s="24">
        <v>32955.761922494763</v>
      </c>
      <c r="S115" s="24">
        <v>32955.761922494763</v>
      </c>
      <c r="T115" s="24">
        <v>32955.761922494763</v>
      </c>
      <c r="U115" s="24">
        <v>32955.761922494763</v>
      </c>
      <c r="V115" s="24">
        <v>32955.761922494763</v>
      </c>
      <c r="W115" s="24">
        <v>32955.761922494763</v>
      </c>
      <c r="X115" s="24">
        <v>32955.761922494763</v>
      </c>
      <c r="Y115" s="24">
        <v>32955.761922494763</v>
      </c>
      <c r="Z115" s="24">
        <v>32955.761922494763</v>
      </c>
      <c r="AA115" s="24">
        <v>32955.761922494763</v>
      </c>
      <c r="AB115" s="24">
        <v>32955.761922494763</v>
      </c>
      <c r="AC115" s="24">
        <v>32955.761922494763</v>
      </c>
      <c r="AD115" s="24">
        <v>32955.761922494763</v>
      </c>
      <c r="AE115" s="24">
        <v>32955.761922494763</v>
      </c>
      <c r="AF115" s="24">
        <v>32955.761922494763</v>
      </c>
      <c r="AG115" s="24">
        <v>32955.761922494763</v>
      </c>
      <c r="AH115" s="24">
        <v>32955.761922494763</v>
      </c>
      <c r="AI115" s="24">
        <v>32955.761922494763</v>
      </c>
    </row>
    <row r="116" spans="3:35" ht="14.4">
      <c r="C116" s="23" t="s">
        <v>521</v>
      </c>
      <c r="D116" s="24">
        <v>0</v>
      </c>
      <c r="E116" s="24">
        <v>0</v>
      </c>
      <c r="F116" s="24">
        <v>0</v>
      </c>
      <c r="G116" s="24">
        <v>0</v>
      </c>
      <c r="H116" s="24">
        <v>0</v>
      </c>
      <c r="I116" s="24">
        <v>0</v>
      </c>
      <c r="J116" s="24">
        <v>0</v>
      </c>
      <c r="K116" s="24">
        <v>0</v>
      </c>
      <c r="L116" s="24">
        <v>0</v>
      </c>
      <c r="M116" s="24">
        <v>0</v>
      </c>
      <c r="N116" s="24">
        <v>0</v>
      </c>
      <c r="O116" s="24">
        <v>0</v>
      </c>
      <c r="P116" s="24">
        <v>0</v>
      </c>
      <c r="Q116" s="24">
        <v>0</v>
      </c>
      <c r="R116" s="24">
        <v>0</v>
      </c>
      <c r="S116" s="24">
        <v>0</v>
      </c>
      <c r="T116" s="24">
        <v>0</v>
      </c>
      <c r="U116" s="24">
        <v>0</v>
      </c>
      <c r="V116" s="24">
        <v>0</v>
      </c>
      <c r="W116" s="24">
        <v>0</v>
      </c>
      <c r="X116" s="24">
        <v>0</v>
      </c>
      <c r="Y116" s="24">
        <v>0</v>
      </c>
      <c r="Z116" s="24">
        <v>0</v>
      </c>
      <c r="AA116" s="24">
        <v>0</v>
      </c>
      <c r="AB116" s="24">
        <v>0</v>
      </c>
      <c r="AC116" s="24">
        <v>0</v>
      </c>
      <c r="AD116" s="24">
        <v>0</v>
      </c>
      <c r="AE116" s="24">
        <v>0</v>
      </c>
      <c r="AF116" s="24">
        <v>0</v>
      </c>
      <c r="AG116" s="24">
        <v>0</v>
      </c>
      <c r="AH116" s="24">
        <v>0</v>
      </c>
      <c r="AI116" s="24">
        <v>0</v>
      </c>
    </row>
    <row r="117" spans="3:35">
      <c r="C117" s="10" t="s">
        <v>246</v>
      </c>
      <c r="D117" s="11">
        <v>30800000</v>
      </c>
      <c r="E117" s="11">
        <v>4090036.0142574995</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30800000</v>
      </c>
    </row>
    <row r="118" spans="3:35">
      <c r="C118" s="20" t="s">
        <v>288</v>
      </c>
      <c r="D118" s="13">
        <v>59055717.095752314</v>
      </c>
      <c r="E118" s="13">
        <v>85206350.324194029</v>
      </c>
      <c r="F118" s="149">
        <v>88900000</v>
      </c>
      <c r="G118" s="149">
        <v>32955.761922494763</v>
      </c>
      <c r="H118" s="149">
        <v>32955.761922494763</v>
      </c>
      <c r="I118" s="149">
        <v>32955.761922494763</v>
      </c>
      <c r="J118" s="149">
        <v>32955.761922494763</v>
      </c>
      <c r="K118" s="149">
        <v>32955.761922494763</v>
      </c>
      <c r="L118" s="149">
        <v>32955.761922494763</v>
      </c>
      <c r="M118" s="149">
        <v>32955.761922494763</v>
      </c>
      <c r="N118" s="149">
        <v>32955.761922494763</v>
      </c>
      <c r="O118" s="149">
        <v>32955.761922494763</v>
      </c>
      <c r="P118" s="149">
        <v>32955.761922494763</v>
      </c>
      <c r="Q118" s="149">
        <v>32955.761922494763</v>
      </c>
      <c r="R118" s="149">
        <v>32955.761922494763</v>
      </c>
      <c r="S118" s="149">
        <v>32955.761922494763</v>
      </c>
      <c r="T118" s="149">
        <v>32955.761922494763</v>
      </c>
      <c r="U118" s="149">
        <v>32955.761922494763</v>
      </c>
      <c r="V118" s="149">
        <v>32955.761922494763</v>
      </c>
      <c r="W118" s="149">
        <v>32955.761922494763</v>
      </c>
      <c r="X118" s="149">
        <v>32955.761922494763</v>
      </c>
      <c r="Y118" s="149">
        <v>32955.761922494763</v>
      </c>
      <c r="Z118" s="149">
        <v>32955.761922494763</v>
      </c>
      <c r="AA118" s="149">
        <v>32955.761922494763</v>
      </c>
      <c r="AB118" s="149">
        <v>32955.761922494763</v>
      </c>
      <c r="AC118" s="149">
        <v>32955.761922494763</v>
      </c>
      <c r="AD118" s="149">
        <v>32955.761922494763</v>
      </c>
      <c r="AE118" s="149">
        <v>32955.761922494763</v>
      </c>
      <c r="AF118" s="149">
        <v>32955.761922494763</v>
      </c>
      <c r="AG118" s="149">
        <v>32955.761922494763</v>
      </c>
      <c r="AH118" s="149">
        <v>32955.761922494763</v>
      </c>
      <c r="AI118" s="149">
        <v>-30767044.238077506</v>
      </c>
    </row>
    <row r="121" spans="3:35">
      <c r="C121" s="39" t="s">
        <v>522</v>
      </c>
    </row>
    <row r="123" spans="3:35">
      <c r="C123" s="14" t="s">
        <v>344</v>
      </c>
      <c r="D123" s="14" t="s">
        <v>325</v>
      </c>
      <c r="E123" s="136" t="s">
        <v>465</v>
      </c>
      <c r="F123" s="136">
        <v>2025</v>
      </c>
      <c r="G123" s="136">
        <v>2026</v>
      </c>
      <c r="H123" s="136">
        <v>2027</v>
      </c>
      <c r="I123" s="136">
        <v>2028</v>
      </c>
      <c r="J123" s="136">
        <v>2029</v>
      </c>
      <c r="K123" s="136">
        <v>2030</v>
      </c>
      <c r="L123" s="136">
        <v>2031</v>
      </c>
      <c r="M123" s="136">
        <v>2032</v>
      </c>
      <c r="N123" s="136">
        <v>2033</v>
      </c>
      <c r="O123" s="136">
        <v>2034</v>
      </c>
      <c r="P123" s="136">
        <v>2035</v>
      </c>
      <c r="Q123" s="136">
        <v>2036</v>
      </c>
      <c r="R123" s="136">
        <v>2037</v>
      </c>
      <c r="S123" s="136">
        <v>2038</v>
      </c>
      <c r="T123" s="136">
        <v>2039</v>
      </c>
      <c r="U123" s="136">
        <v>2040</v>
      </c>
      <c r="V123" s="136">
        <v>2041</v>
      </c>
      <c r="W123" s="136">
        <v>2042</v>
      </c>
      <c r="X123" s="136">
        <v>2043</v>
      </c>
      <c r="Y123" s="136">
        <v>2044</v>
      </c>
      <c r="Z123" s="136">
        <v>2045</v>
      </c>
      <c r="AA123" s="136">
        <v>2046</v>
      </c>
      <c r="AB123" s="136">
        <v>2047</v>
      </c>
      <c r="AC123" s="136">
        <v>2048</v>
      </c>
      <c r="AD123" s="136">
        <v>2049</v>
      </c>
      <c r="AE123" s="136">
        <v>2050</v>
      </c>
      <c r="AF123" s="136">
        <v>2051</v>
      </c>
      <c r="AG123" s="136">
        <v>2052</v>
      </c>
      <c r="AH123" s="136">
        <v>2053</v>
      </c>
      <c r="AI123" s="136">
        <v>2054</v>
      </c>
    </row>
    <row r="124" spans="3:35">
      <c r="C124" s="26" t="s">
        <v>345</v>
      </c>
      <c r="D124" s="11">
        <v>88900000</v>
      </c>
      <c r="E124" s="11">
        <v>88900000</v>
      </c>
      <c r="F124" s="135">
        <v>88900000</v>
      </c>
      <c r="G124" s="135">
        <v>0</v>
      </c>
      <c r="H124" s="135">
        <v>0</v>
      </c>
      <c r="I124" s="135">
        <v>0</v>
      </c>
      <c r="J124" s="135">
        <v>0</v>
      </c>
      <c r="K124" s="135">
        <v>0</v>
      </c>
      <c r="L124" s="135">
        <v>0</v>
      </c>
      <c r="M124" s="135">
        <v>0</v>
      </c>
      <c r="N124" s="135">
        <v>0</v>
      </c>
      <c r="O124" s="135">
        <v>0</v>
      </c>
      <c r="P124" s="135">
        <v>0</v>
      </c>
      <c r="Q124" s="135">
        <v>0</v>
      </c>
      <c r="R124" s="135">
        <v>0</v>
      </c>
      <c r="S124" s="135">
        <v>0</v>
      </c>
      <c r="T124" s="135">
        <v>0</v>
      </c>
      <c r="U124" s="135">
        <v>0</v>
      </c>
      <c r="V124" s="135">
        <v>0</v>
      </c>
      <c r="W124" s="135">
        <v>0</v>
      </c>
      <c r="X124" s="135">
        <v>0</v>
      </c>
      <c r="Y124" s="135">
        <v>0</v>
      </c>
      <c r="Z124" s="135">
        <v>0</v>
      </c>
      <c r="AA124" s="135">
        <v>0</v>
      </c>
      <c r="AB124" s="135">
        <v>0</v>
      </c>
      <c r="AC124" s="135">
        <v>0</v>
      </c>
      <c r="AD124" s="135">
        <v>0</v>
      </c>
      <c r="AE124" s="135">
        <v>0</v>
      </c>
      <c r="AF124" s="135">
        <v>0</v>
      </c>
      <c r="AG124" s="135">
        <v>0</v>
      </c>
      <c r="AH124" s="135">
        <v>0</v>
      </c>
      <c r="AI124" s="135">
        <v>0</v>
      </c>
    </row>
    <row r="125" spans="3:35">
      <c r="C125" s="26" t="s">
        <v>346</v>
      </c>
      <c r="D125" s="11">
        <v>955717.09575234773</v>
      </c>
      <c r="E125" s="11">
        <v>396386.33845152776</v>
      </c>
      <c r="F125" s="16">
        <v>0</v>
      </c>
      <c r="G125" s="16">
        <v>32955.761922494763</v>
      </c>
      <c r="H125" s="16">
        <v>32955.761922494763</v>
      </c>
      <c r="I125" s="16">
        <v>32955.761922494763</v>
      </c>
      <c r="J125" s="16">
        <v>32955.761922494763</v>
      </c>
      <c r="K125" s="16">
        <v>32955.761922494763</v>
      </c>
      <c r="L125" s="16">
        <v>32955.761922494763</v>
      </c>
      <c r="M125" s="16">
        <v>32955.761922494763</v>
      </c>
      <c r="N125" s="16">
        <v>32955.761922494763</v>
      </c>
      <c r="O125" s="16">
        <v>32955.761922494763</v>
      </c>
      <c r="P125" s="16">
        <v>32955.761922494763</v>
      </c>
      <c r="Q125" s="16">
        <v>32955.761922494763</v>
      </c>
      <c r="R125" s="16">
        <v>32955.761922494763</v>
      </c>
      <c r="S125" s="16">
        <v>32955.761922494763</v>
      </c>
      <c r="T125" s="16">
        <v>32955.761922494763</v>
      </c>
      <c r="U125" s="16">
        <v>32955.761922494763</v>
      </c>
      <c r="V125" s="16">
        <v>32955.761922494763</v>
      </c>
      <c r="W125" s="16">
        <v>32955.761922494763</v>
      </c>
      <c r="X125" s="16">
        <v>32955.761922494763</v>
      </c>
      <c r="Y125" s="16">
        <v>32955.761922494763</v>
      </c>
      <c r="Z125" s="16">
        <v>32955.761922494763</v>
      </c>
      <c r="AA125" s="16">
        <v>32955.761922494763</v>
      </c>
      <c r="AB125" s="16">
        <v>32955.761922494763</v>
      </c>
      <c r="AC125" s="16">
        <v>32955.761922494763</v>
      </c>
      <c r="AD125" s="16">
        <v>32955.761922494763</v>
      </c>
      <c r="AE125" s="16">
        <v>32955.761922494763</v>
      </c>
      <c r="AF125" s="16">
        <v>32955.761922494763</v>
      </c>
      <c r="AG125" s="16">
        <v>32955.761922494763</v>
      </c>
      <c r="AH125" s="16">
        <v>32955.761922494763</v>
      </c>
      <c r="AI125" s="16">
        <v>32955.761922494763</v>
      </c>
    </row>
    <row r="126" spans="3:35">
      <c r="C126" s="26" t="s">
        <v>349</v>
      </c>
      <c r="D126" s="11">
        <v>89855717.095752314</v>
      </c>
      <c r="E126" s="11">
        <v>89296386.338451535</v>
      </c>
      <c r="F126" s="16">
        <v>88900000</v>
      </c>
      <c r="G126" s="16">
        <v>32955.761922494763</v>
      </c>
      <c r="H126" s="16">
        <v>32955.761922494763</v>
      </c>
      <c r="I126" s="16">
        <v>32955.761922494763</v>
      </c>
      <c r="J126" s="16">
        <v>32955.761922494763</v>
      </c>
      <c r="K126" s="16">
        <v>32955.761922494763</v>
      </c>
      <c r="L126" s="16">
        <v>32955.761922494763</v>
      </c>
      <c r="M126" s="16">
        <v>32955.761922494763</v>
      </c>
      <c r="N126" s="16">
        <v>32955.761922494763</v>
      </c>
      <c r="O126" s="16">
        <v>32955.761922494763</v>
      </c>
      <c r="P126" s="16">
        <v>32955.761922494763</v>
      </c>
      <c r="Q126" s="16">
        <v>32955.761922494763</v>
      </c>
      <c r="R126" s="16">
        <v>32955.761922494763</v>
      </c>
      <c r="S126" s="16">
        <v>32955.761922494763</v>
      </c>
      <c r="T126" s="16">
        <v>32955.761922494763</v>
      </c>
      <c r="U126" s="16">
        <v>32955.761922494763</v>
      </c>
      <c r="V126" s="16">
        <v>32955.761922494763</v>
      </c>
      <c r="W126" s="16">
        <v>32955.761922494763</v>
      </c>
      <c r="X126" s="16">
        <v>32955.761922494763</v>
      </c>
      <c r="Y126" s="16">
        <v>32955.761922494763</v>
      </c>
      <c r="Z126" s="16">
        <v>32955.761922494763</v>
      </c>
      <c r="AA126" s="16">
        <v>32955.761922494763</v>
      </c>
      <c r="AB126" s="16">
        <v>32955.761922494763</v>
      </c>
      <c r="AC126" s="16">
        <v>32955.761922494763</v>
      </c>
      <c r="AD126" s="16">
        <v>32955.761922494763</v>
      </c>
      <c r="AE126" s="16">
        <v>32955.761922494763</v>
      </c>
      <c r="AF126" s="16">
        <v>32955.761922494763</v>
      </c>
      <c r="AG126" s="16">
        <v>32955.761922494763</v>
      </c>
      <c r="AH126" s="16">
        <v>32955.761922494763</v>
      </c>
      <c r="AI126" s="16">
        <v>32955.761922494763</v>
      </c>
    </row>
    <row r="127" spans="3:35">
      <c r="C127" s="26" t="s">
        <v>350</v>
      </c>
      <c r="D127" s="11">
        <v>6370873.7284005024</v>
      </c>
      <c r="E127" s="11">
        <v>2642337.6971715153</v>
      </c>
      <c r="F127" s="16">
        <v>0</v>
      </c>
      <c r="G127" s="16">
        <v>219685.30097932767</v>
      </c>
      <c r="H127" s="16">
        <v>219685.30097932767</v>
      </c>
      <c r="I127" s="16">
        <v>219685.30097932767</v>
      </c>
      <c r="J127" s="16">
        <v>219685.30097932767</v>
      </c>
      <c r="K127" s="16">
        <v>219685.30097932767</v>
      </c>
      <c r="L127" s="16">
        <v>219685.30097932767</v>
      </c>
      <c r="M127" s="16">
        <v>219685.30097932767</v>
      </c>
      <c r="N127" s="16">
        <v>219685.30097932767</v>
      </c>
      <c r="O127" s="16">
        <v>219685.30097932767</v>
      </c>
      <c r="P127" s="16">
        <v>219685.30097932767</v>
      </c>
      <c r="Q127" s="16">
        <v>219685.30097932767</v>
      </c>
      <c r="R127" s="16">
        <v>219685.30097932767</v>
      </c>
      <c r="S127" s="16">
        <v>219685.30097932767</v>
      </c>
      <c r="T127" s="16">
        <v>219685.30097932767</v>
      </c>
      <c r="U127" s="16">
        <v>219685.30097932767</v>
      </c>
      <c r="V127" s="16">
        <v>219685.30097932767</v>
      </c>
      <c r="W127" s="16">
        <v>219685.30097932767</v>
      </c>
      <c r="X127" s="16">
        <v>219685.30097932767</v>
      </c>
      <c r="Y127" s="16">
        <v>219685.30097932767</v>
      </c>
      <c r="Z127" s="16">
        <v>219685.30097932767</v>
      </c>
      <c r="AA127" s="16">
        <v>219685.30097932767</v>
      </c>
      <c r="AB127" s="16">
        <v>219685.30097932767</v>
      </c>
      <c r="AC127" s="16">
        <v>219685.30097932767</v>
      </c>
      <c r="AD127" s="16">
        <v>219685.30097932767</v>
      </c>
      <c r="AE127" s="16">
        <v>219685.30097932767</v>
      </c>
      <c r="AF127" s="16">
        <v>219685.30097932767</v>
      </c>
      <c r="AG127" s="16">
        <v>219685.30097932767</v>
      </c>
      <c r="AH127" s="16">
        <v>219685.30097932767</v>
      </c>
      <c r="AI127" s="16">
        <v>219685.30097932767</v>
      </c>
    </row>
    <row r="128" spans="3:35">
      <c r="C128" s="26" t="s">
        <v>351</v>
      </c>
      <c r="D128" s="11">
        <v>6370873.7284005024</v>
      </c>
      <c r="E128" s="11">
        <v>2642337.6971715153</v>
      </c>
      <c r="F128" s="16">
        <v>0</v>
      </c>
      <c r="G128" s="16">
        <v>219685.30097932767</v>
      </c>
      <c r="H128" s="16">
        <v>219685.30097932767</v>
      </c>
      <c r="I128" s="16">
        <v>219685.30097932767</v>
      </c>
      <c r="J128" s="16">
        <v>219685.30097932767</v>
      </c>
      <c r="K128" s="16">
        <v>219685.30097932767</v>
      </c>
      <c r="L128" s="16">
        <v>219685.30097932767</v>
      </c>
      <c r="M128" s="16">
        <v>219685.30097932767</v>
      </c>
      <c r="N128" s="16">
        <v>219685.30097932767</v>
      </c>
      <c r="O128" s="16">
        <v>219685.30097932767</v>
      </c>
      <c r="P128" s="16">
        <v>219685.30097932767</v>
      </c>
      <c r="Q128" s="16">
        <v>219685.30097932767</v>
      </c>
      <c r="R128" s="16">
        <v>219685.30097932767</v>
      </c>
      <c r="S128" s="16">
        <v>219685.30097932767</v>
      </c>
      <c r="T128" s="16">
        <v>219685.30097932767</v>
      </c>
      <c r="U128" s="16">
        <v>219685.30097932767</v>
      </c>
      <c r="V128" s="16">
        <v>219685.30097932767</v>
      </c>
      <c r="W128" s="16">
        <v>219685.30097932767</v>
      </c>
      <c r="X128" s="16">
        <v>219685.30097932767</v>
      </c>
      <c r="Y128" s="16">
        <v>219685.30097932767</v>
      </c>
      <c r="Z128" s="16">
        <v>219685.30097932767</v>
      </c>
      <c r="AA128" s="16">
        <v>219685.30097932767</v>
      </c>
      <c r="AB128" s="16">
        <v>219685.30097932767</v>
      </c>
      <c r="AC128" s="16">
        <v>219685.30097932767</v>
      </c>
      <c r="AD128" s="16">
        <v>219685.30097932767</v>
      </c>
      <c r="AE128" s="16">
        <v>219685.30097932767</v>
      </c>
      <c r="AF128" s="16">
        <v>219685.30097932767</v>
      </c>
      <c r="AG128" s="16">
        <v>219685.30097932767</v>
      </c>
      <c r="AH128" s="16">
        <v>219685.30097932767</v>
      </c>
      <c r="AI128" s="16">
        <v>219685.30097932767</v>
      </c>
    </row>
    <row r="129" spans="3:35">
      <c r="C129" s="26" t="s">
        <v>352</v>
      </c>
      <c r="D129" s="11">
        <v>30800000</v>
      </c>
      <c r="E129" s="11">
        <v>4090036.0142574995</v>
      </c>
      <c r="F129" s="135">
        <v>0</v>
      </c>
      <c r="G129" s="135">
        <v>0</v>
      </c>
      <c r="H129" s="135">
        <v>0</v>
      </c>
      <c r="I129" s="135">
        <v>0</v>
      </c>
      <c r="J129" s="135">
        <v>0</v>
      </c>
      <c r="K129" s="135">
        <v>0</v>
      </c>
      <c r="L129" s="135">
        <v>0</v>
      </c>
      <c r="M129" s="135">
        <v>0</v>
      </c>
      <c r="N129" s="135">
        <v>0</v>
      </c>
      <c r="O129" s="135">
        <v>0</v>
      </c>
      <c r="P129" s="135">
        <v>0</v>
      </c>
      <c r="Q129" s="135">
        <v>0</v>
      </c>
      <c r="R129" s="135">
        <v>0</v>
      </c>
      <c r="S129" s="135">
        <v>0</v>
      </c>
      <c r="T129" s="135">
        <v>0</v>
      </c>
      <c r="U129" s="135">
        <v>0</v>
      </c>
      <c r="V129" s="135">
        <v>0</v>
      </c>
      <c r="W129" s="135">
        <v>0</v>
      </c>
      <c r="X129" s="135">
        <v>0</v>
      </c>
      <c r="Y129" s="135">
        <v>0</v>
      </c>
      <c r="Z129" s="135">
        <v>0</v>
      </c>
      <c r="AA129" s="135">
        <v>0</v>
      </c>
      <c r="AB129" s="135">
        <v>0</v>
      </c>
      <c r="AC129" s="135">
        <v>0</v>
      </c>
      <c r="AD129" s="135">
        <v>0</v>
      </c>
      <c r="AE129" s="135">
        <v>0</v>
      </c>
      <c r="AF129" s="135">
        <v>0</v>
      </c>
      <c r="AG129" s="135">
        <v>0</v>
      </c>
      <c r="AH129" s="135">
        <v>0</v>
      </c>
      <c r="AI129" s="135">
        <v>30800000</v>
      </c>
    </row>
    <row r="130" spans="3:35">
      <c r="C130" s="27" t="s">
        <v>353</v>
      </c>
      <c r="D130" s="132">
        <v>-52684843.367351711</v>
      </c>
      <c r="E130" s="133">
        <v>-82564012.62702252</v>
      </c>
      <c r="F130" s="135">
        <v>-88900000</v>
      </c>
      <c r="G130" s="135">
        <v>186729.5390568329</v>
      </c>
      <c r="H130" s="135">
        <v>186729.5390568329</v>
      </c>
      <c r="I130" s="135">
        <v>186729.5390568329</v>
      </c>
      <c r="J130" s="135">
        <v>186729.5390568329</v>
      </c>
      <c r="K130" s="135">
        <v>186729.5390568329</v>
      </c>
      <c r="L130" s="135">
        <v>186729.5390568329</v>
      </c>
      <c r="M130" s="135">
        <v>186729.5390568329</v>
      </c>
      <c r="N130" s="135">
        <v>186729.5390568329</v>
      </c>
      <c r="O130" s="135">
        <v>186729.5390568329</v>
      </c>
      <c r="P130" s="135">
        <v>186729.5390568329</v>
      </c>
      <c r="Q130" s="135">
        <v>186729.5390568329</v>
      </c>
      <c r="R130" s="135">
        <v>186729.5390568329</v>
      </c>
      <c r="S130" s="135">
        <v>186729.5390568329</v>
      </c>
      <c r="T130" s="135">
        <v>186729.5390568329</v>
      </c>
      <c r="U130" s="135">
        <v>186729.5390568329</v>
      </c>
      <c r="V130" s="135">
        <v>186729.5390568329</v>
      </c>
      <c r="W130" s="135">
        <v>186729.5390568329</v>
      </c>
      <c r="X130" s="135">
        <v>186729.5390568329</v>
      </c>
      <c r="Y130" s="135">
        <v>186729.5390568329</v>
      </c>
      <c r="Z130" s="135">
        <v>186729.5390568329</v>
      </c>
      <c r="AA130" s="135">
        <v>186729.5390568329</v>
      </c>
      <c r="AB130" s="135">
        <v>186729.5390568329</v>
      </c>
      <c r="AC130" s="135">
        <v>186729.5390568329</v>
      </c>
      <c r="AD130" s="135">
        <v>186729.5390568329</v>
      </c>
      <c r="AE130" s="135">
        <v>186729.5390568329</v>
      </c>
      <c r="AF130" s="135">
        <v>186729.5390568329</v>
      </c>
      <c r="AG130" s="135">
        <v>186729.5390568329</v>
      </c>
      <c r="AH130" s="135">
        <v>186729.5390568329</v>
      </c>
      <c r="AI130" s="135">
        <v>30986729.539056834</v>
      </c>
    </row>
    <row r="131" spans="3:35">
      <c r="C131" s="26" t="s">
        <v>354</v>
      </c>
      <c r="D131" s="142">
        <v>-82564012.62702252</v>
      </c>
      <c r="E131" s="147"/>
    </row>
    <row r="132" spans="3:35">
      <c r="C132" s="26" t="s">
        <v>355</v>
      </c>
      <c r="D132" s="29">
        <v>-3.2256275418031888E-2</v>
      </c>
    </row>
    <row r="135" spans="3:35">
      <c r="C135" s="39" t="s">
        <v>523</v>
      </c>
    </row>
    <row r="137" spans="3:35">
      <c r="C137" s="14" t="s">
        <v>335</v>
      </c>
      <c r="D137" s="14" t="s">
        <v>524</v>
      </c>
      <c r="E137" s="14" t="s">
        <v>514</v>
      </c>
      <c r="F137" s="14" t="s">
        <v>525</v>
      </c>
    </row>
    <row r="138" spans="3:35">
      <c r="C138" s="30" t="s">
        <v>530</v>
      </c>
      <c r="D138" s="29" t="s">
        <v>563</v>
      </c>
      <c r="E138" s="11">
        <v>88900000</v>
      </c>
      <c r="F138" s="132">
        <v>222250</v>
      </c>
    </row>
    <row r="139" spans="3:35">
      <c r="C139" s="30" t="s">
        <v>541</v>
      </c>
      <c r="D139" s="31"/>
      <c r="E139" s="11">
        <v>0</v>
      </c>
      <c r="F139" s="132">
        <v>0</v>
      </c>
    </row>
    <row r="140" spans="3:35">
      <c r="C140" s="30" t="s">
        <v>542</v>
      </c>
      <c r="D140" s="138">
        <v>0.5</v>
      </c>
      <c r="E140" s="31"/>
      <c r="F140" s="31"/>
    </row>
    <row r="141" spans="3:35">
      <c r="C141" s="30" t="s">
        <v>543</v>
      </c>
      <c r="D141" s="32">
        <v>0.5</v>
      </c>
      <c r="E141" s="11">
        <v>44450000</v>
      </c>
      <c r="F141" s="132">
        <v>111125</v>
      </c>
    </row>
    <row r="142" spans="3:35">
      <c r="C142" s="30" t="s">
        <v>118</v>
      </c>
      <c r="D142" s="138">
        <v>0.83</v>
      </c>
      <c r="E142" s="31"/>
      <c r="F142" s="31"/>
    </row>
    <row r="143" spans="3:35">
      <c r="C143" s="30" t="s">
        <v>119</v>
      </c>
      <c r="D143" s="138">
        <v>0.17000000000000004</v>
      </c>
      <c r="E143" s="31"/>
      <c r="F143" s="31"/>
    </row>
    <row r="144" spans="3:35">
      <c r="C144" s="30" t="s">
        <v>533</v>
      </c>
      <c r="D144" s="141"/>
      <c r="E144" s="132">
        <v>36893500</v>
      </c>
      <c r="F144" s="132">
        <v>92233.75</v>
      </c>
    </row>
    <row r="145" spans="3:35">
      <c r="C145" s="30" t="s">
        <v>534</v>
      </c>
      <c r="D145" s="141"/>
      <c r="E145" s="132">
        <v>7556500.0000000019</v>
      </c>
      <c r="F145" s="132">
        <v>18891.250000000004</v>
      </c>
    </row>
    <row r="146" spans="3:35">
      <c r="C146" s="30" t="s">
        <v>544</v>
      </c>
      <c r="D146" s="141"/>
      <c r="E146" s="11">
        <v>44450000</v>
      </c>
      <c r="F146" s="132">
        <v>111125</v>
      </c>
    </row>
    <row r="147" spans="3:35">
      <c r="C147" s="30" t="s">
        <v>536</v>
      </c>
      <c r="D147" s="141"/>
      <c r="E147" s="11">
        <v>52006500</v>
      </c>
      <c r="F147" s="132">
        <v>130016.25</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36">
        <v>2025</v>
      </c>
      <c r="E153" s="136">
        <v>2026</v>
      </c>
      <c r="F153" s="136">
        <v>2027</v>
      </c>
      <c r="G153" s="136">
        <v>2028</v>
      </c>
      <c r="H153" s="136">
        <v>2029</v>
      </c>
      <c r="I153" s="136">
        <v>2030</v>
      </c>
      <c r="J153" s="136">
        <v>2031</v>
      </c>
      <c r="K153" s="136">
        <v>2032</v>
      </c>
      <c r="L153" s="136">
        <v>2033</v>
      </c>
      <c r="M153" s="136">
        <v>2034</v>
      </c>
      <c r="N153" s="136">
        <v>2035</v>
      </c>
      <c r="O153" s="136">
        <v>2036</v>
      </c>
      <c r="P153" s="136">
        <v>2037</v>
      </c>
      <c r="Q153" s="136">
        <v>2038</v>
      </c>
      <c r="R153" s="136">
        <v>2039</v>
      </c>
      <c r="S153" s="136">
        <v>2040</v>
      </c>
      <c r="T153" s="136">
        <v>2041</v>
      </c>
      <c r="U153" s="136">
        <v>2042</v>
      </c>
      <c r="V153" s="136">
        <v>2043</v>
      </c>
      <c r="W153" s="136">
        <v>2044</v>
      </c>
      <c r="X153" s="136">
        <v>2045</v>
      </c>
      <c r="Y153" s="136">
        <v>2046</v>
      </c>
      <c r="Z153" s="136">
        <v>2047</v>
      </c>
      <c r="AA153" s="136">
        <v>2048</v>
      </c>
      <c r="AB153" s="136">
        <v>2049</v>
      </c>
      <c r="AC153" s="136">
        <v>2050</v>
      </c>
      <c r="AD153" s="136">
        <v>2051</v>
      </c>
      <c r="AE153" s="136">
        <v>2052</v>
      </c>
      <c r="AF153" s="136">
        <v>2053</v>
      </c>
      <c r="AG153" s="136">
        <v>2054</v>
      </c>
    </row>
    <row r="154" spans="3:35">
      <c r="C154" s="163" t="s">
        <v>379</v>
      </c>
      <c r="D154" s="164">
        <v>88900000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32955.761922494763</v>
      </c>
      <c r="F155" s="164">
        <v>32955.761922494763</v>
      </c>
      <c r="G155" s="164">
        <v>32955.761922494763</v>
      </c>
      <c r="H155" s="164">
        <v>32955.761922494763</v>
      </c>
      <c r="I155" s="164">
        <v>32955.761922494763</v>
      </c>
      <c r="J155" s="164">
        <v>32955.761922494763</v>
      </c>
      <c r="K155" s="164">
        <v>32955.761922494763</v>
      </c>
      <c r="L155" s="164">
        <v>32955.761922494763</v>
      </c>
      <c r="M155" s="164">
        <v>32955.761922494763</v>
      </c>
      <c r="N155" s="164">
        <v>32955.761922494763</v>
      </c>
      <c r="O155" s="164">
        <v>32955.761922494763</v>
      </c>
      <c r="P155" s="164">
        <v>32955.761922494763</v>
      </c>
      <c r="Q155" s="164">
        <v>32955.761922494763</v>
      </c>
      <c r="R155" s="164">
        <v>32955.761922494763</v>
      </c>
      <c r="S155" s="164">
        <v>32955.761922494763</v>
      </c>
      <c r="T155" s="164">
        <v>32955.761922494763</v>
      </c>
      <c r="U155" s="164">
        <v>32955.761922494763</v>
      </c>
      <c r="V155" s="164">
        <v>32955.761922494763</v>
      </c>
      <c r="W155" s="164">
        <v>32955.761922494763</v>
      </c>
      <c r="X155" s="164">
        <v>32955.761922494763</v>
      </c>
      <c r="Y155" s="164">
        <v>32955.761922494763</v>
      </c>
      <c r="Z155" s="164">
        <v>32955.761922494763</v>
      </c>
      <c r="AA155" s="164">
        <v>32955.761922494763</v>
      </c>
      <c r="AB155" s="164">
        <v>32955.761922494763</v>
      </c>
      <c r="AC155" s="164">
        <v>32955.761922494763</v>
      </c>
      <c r="AD155" s="164">
        <v>32955.761922494763</v>
      </c>
      <c r="AE155" s="164">
        <v>32955.761922494763</v>
      </c>
      <c r="AF155" s="164">
        <v>32955.761922494763</v>
      </c>
      <c r="AG155" s="164">
        <v>32955.761922494763</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88900000</v>
      </c>
      <c r="E159" s="162">
        <v>32955.761922494763</v>
      </c>
      <c r="F159" s="162">
        <v>32955.761922494763</v>
      </c>
      <c r="G159" s="162">
        <v>32955.761922494763</v>
      </c>
      <c r="H159" s="162">
        <v>32955.761922494763</v>
      </c>
      <c r="I159" s="162">
        <v>32955.761922494763</v>
      </c>
      <c r="J159" s="162">
        <v>32955.761922494763</v>
      </c>
      <c r="K159" s="162">
        <v>32955.761922494763</v>
      </c>
      <c r="L159" s="162">
        <v>32955.761922494763</v>
      </c>
      <c r="M159" s="162">
        <v>32955.761922494763</v>
      </c>
      <c r="N159" s="162">
        <v>32955.761922494763</v>
      </c>
      <c r="O159" s="162">
        <v>32955.761922494763</v>
      </c>
      <c r="P159" s="162">
        <v>32955.761922494763</v>
      </c>
      <c r="Q159" s="162">
        <v>32955.761922494763</v>
      </c>
      <c r="R159" s="162">
        <v>32955.761922494763</v>
      </c>
      <c r="S159" s="162">
        <v>32955.761922494763</v>
      </c>
      <c r="T159" s="162">
        <v>32955.761922494763</v>
      </c>
      <c r="U159" s="162">
        <v>32955.761922494763</v>
      </c>
      <c r="V159" s="162">
        <v>32955.761922494763</v>
      </c>
      <c r="W159" s="162">
        <v>32955.761922494763</v>
      </c>
      <c r="X159" s="162">
        <v>32955.761922494763</v>
      </c>
      <c r="Y159" s="162">
        <v>32955.761922494763</v>
      </c>
      <c r="Z159" s="162">
        <v>32955.761922494763</v>
      </c>
      <c r="AA159" s="162">
        <v>32955.761922494763</v>
      </c>
      <c r="AB159" s="162">
        <v>32955.761922494763</v>
      </c>
      <c r="AC159" s="162">
        <v>32955.761922494763</v>
      </c>
      <c r="AD159" s="162">
        <v>32955.761922494763</v>
      </c>
      <c r="AE159" s="162">
        <v>32955.761922494763</v>
      </c>
      <c r="AF159" s="162">
        <v>32955.761922494763</v>
      </c>
      <c r="AG159" s="162">
        <v>32955.761922494763</v>
      </c>
      <c r="AH159" s="3"/>
      <c r="AI159" s="3"/>
    </row>
    <row r="160" spans="3:35">
      <c r="C160" s="163" t="s">
        <v>385</v>
      </c>
      <c r="D160" s="164">
        <v>0</v>
      </c>
      <c r="E160" s="164">
        <v>219685.30097932767</v>
      </c>
      <c r="F160" s="164">
        <v>219685.30097932767</v>
      </c>
      <c r="G160" s="164">
        <v>219685.30097932767</v>
      </c>
      <c r="H160" s="164">
        <v>219685.30097932767</v>
      </c>
      <c r="I160" s="164">
        <v>219685.30097932767</v>
      </c>
      <c r="J160" s="164">
        <v>219685.30097932767</v>
      </c>
      <c r="K160" s="164">
        <v>219685.30097932767</v>
      </c>
      <c r="L160" s="164">
        <v>219685.30097932767</v>
      </c>
      <c r="M160" s="164">
        <v>219685.30097932767</v>
      </c>
      <c r="N160" s="164">
        <v>219685.30097932767</v>
      </c>
      <c r="O160" s="164">
        <v>219685.30097932767</v>
      </c>
      <c r="P160" s="164">
        <v>219685.30097932767</v>
      </c>
      <c r="Q160" s="164">
        <v>219685.30097932767</v>
      </c>
      <c r="R160" s="164">
        <v>219685.30097932767</v>
      </c>
      <c r="S160" s="164">
        <v>219685.30097932767</v>
      </c>
      <c r="T160" s="164">
        <v>219685.30097932767</v>
      </c>
      <c r="U160" s="164">
        <v>219685.30097932767</v>
      </c>
      <c r="V160" s="164">
        <v>219685.30097932767</v>
      </c>
      <c r="W160" s="164">
        <v>219685.30097932767</v>
      </c>
      <c r="X160" s="164">
        <v>219685.30097932767</v>
      </c>
      <c r="Y160" s="164">
        <v>219685.30097932767</v>
      </c>
      <c r="Z160" s="164">
        <v>219685.30097932767</v>
      </c>
      <c r="AA160" s="164">
        <v>219685.30097932767</v>
      </c>
      <c r="AB160" s="164">
        <v>219685.30097932767</v>
      </c>
      <c r="AC160" s="164">
        <v>219685.30097932767</v>
      </c>
      <c r="AD160" s="164">
        <v>219685.30097932767</v>
      </c>
      <c r="AE160" s="164">
        <v>219685.30097932767</v>
      </c>
      <c r="AF160" s="164">
        <v>219685.30097932767</v>
      </c>
      <c r="AG160" s="164">
        <v>219685.30097932767</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36893500</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52006500</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30800000</v>
      </c>
      <c r="AH163" s="3"/>
      <c r="AI163" s="3"/>
    </row>
    <row r="164" spans="3:35">
      <c r="C164" s="163" t="s">
        <v>389</v>
      </c>
      <c r="D164" s="164">
        <v>52006500</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30800000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30800000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30800000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88900000</v>
      </c>
      <c r="E171" s="162">
        <v>219685.30097932767</v>
      </c>
      <c r="F171" s="162">
        <v>219685.30097932767</v>
      </c>
      <c r="G171" s="162">
        <v>219685.30097932767</v>
      </c>
      <c r="H171" s="162">
        <v>219685.30097932767</v>
      </c>
      <c r="I171" s="162">
        <v>219685.30097932767</v>
      </c>
      <c r="J171" s="162">
        <v>219685.30097932767</v>
      </c>
      <c r="K171" s="162">
        <v>219685.30097932767</v>
      </c>
      <c r="L171" s="162">
        <v>219685.30097932767</v>
      </c>
      <c r="M171" s="162">
        <v>219685.30097932767</v>
      </c>
      <c r="N171" s="162">
        <v>219685.30097932767</v>
      </c>
      <c r="O171" s="162">
        <v>219685.30097932767</v>
      </c>
      <c r="P171" s="162">
        <v>219685.30097932767</v>
      </c>
      <c r="Q171" s="162">
        <v>219685.30097932767</v>
      </c>
      <c r="R171" s="162">
        <v>219685.30097932767</v>
      </c>
      <c r="S171" s="162">
        <v>219685.30097932767</v>
      </c>
      <c r="T171" s="162">
        <v>219685.30097932767</v>
      </c>
      <c r="U171" s="162">
        <v>219685.30097932767</v>
      </c>
      <c r="V171" s="162">
        <v>219685.30097932767</v>
      </c>
      <c r="W171" s="162">
        <v>219685.30097932767</v>
      </c>
      <c r="X171" s="162">
        <v>219685.30097932767</v>
      </c>
      <c r="Y171" s="162">
        <v>219685.30097932767</v>
      </c>
      <c r="Z171" s="162">
        <v>219685.30097932767</v>
      </c>
      <c r="AA171" s="162">
        <v>219685.30097932767</v>
      </c>
      <c r="AB171" s="162">
        <v>219685.30097932767</v>
      </c>
      <c r="AC171" s="162">
        <v>219685.30097932767</v>
      </c>
      <c r="AD171" s="162">
        <v>219685.30097932767</v>
      </c>
      <c r="AE171" s="162">
        <v>219685.30097932767</v>
      </c>
      <c r="AF171" s="162">
        <v>219685.30097932767</v>
      </c>
      <c r="AG171" s="162">
        <v>31019685.300979327</v>
      </c>
      <c r="AH171" s="3"/>
      <c r="AI171" s="3"/>
    </row>
    <row r="172" spans="3:35">
      <c r="C172" s="165" t="s">
        <v>397</v>
      </c>
      <c r="D172" s="162">
        <v>0</v>
      </c>
      <c r="E172" s="162">
        <v>186729.5390568329</v>
      </c>
      <c r="F172" s="162">
        <v>186729.5390568329</v>
      </c>
      <c r="G172" s="162">
        <v>186729.5390568329</v>
      </c>
      <c r="H172" s="162">
        <v>186729.5390568329</v>
      </c>
      <c r="I172" s="162">
        <v>186729.5390568329</v>
      </c>
      <c r="J172" s="162">
        <v>186729.5390568329</v>
      </c>
      <c r="K172" s="162">
        <v>186729.5390568329</v>
      </c>
      <c r="L172" s="162">
        <v>186729.5390568329</v>
      </c>
      <c r="M172" s="162">
        <v>186729.5390568329</v>
      </c>
      <c r="N172" s="162">
        <v>186729.5390568329</v>
      </c>
      <c r="O172" s="162">
        <v>186729.5390568329</v>
      </c>
      <c r="P172" s="162">
        <v>186729.5390568329</v>
      </c>
      <c r="Q172" s="162">
        <v>186729.5390568329</v>
      </c>
      <c r="R172" s="162">
        <v>186729.5390568329</v>
      </c>
      <c r="S172" s="162">
        <v>186729.5390568329</v>
      </c>
      <c r="T172" s="162">
        <v>186729.5390568329</v>
      </c>
      <c r="U172" s="162">
        <v>186729.5390568329</v>
      </c>
      <c r="V172" s="162">
        <v>186729.5390568329</v>
      </c>
      <c r="W172" s="162">
        <v>186729.5390568329</v>
      </c>
      <c r="X172" s="162">
        <v>186729.5390568329</v>
      </c>
      <c r="Y172" s="162">
        <v>186729.5390568329</v>
      </c>
      <c r="Z172" s="162">
        <v>186729.5390568329</v>
      </c>
      <c r="AA172" s="162">
        <v>186729.5390568329</v>
      </c>
      <c r="AB172" s="162">
        <v>186729.5390568329</v>
      </c>
      <c r="AC172" s="162">
        <v>186729.5390568329</v>
      </c>
      <c r="AD172" s="162">
        <v>186729.5390568329</v>
      </c>
      <c r="AE172" s="162">
        <v>186729.5390568329</v>
      </c>
      <c r="AF172" s="162">
        <v>186729.5390568329</v>
      </c>
      <c r="AG172" s="162">
        <v>30986729.539056834</v>
      </c>
      <c r="AH172" s="3"/>
      <c r="AI172" s="3"/>
    </row>
    <row r="173" spans="3:35">
      <c r="C173" s="165" t="s">
        <v>398</v>
      </c>
      <c r="D173" s="162">
        <v>0</v>
      </c>
      <c r="E173" s="162">
        <v>186729.5390568329</v>
      </c>
      <c r="F173" s="162">
        <v>373459.0781136658</v>
      </c>
      <c r="G173" s="162">
        <v>560188.61717049871</v>
      </c>
      <c r="H173" s="162">
        <v>746918.15622733161</v>
      </c>
      <c r="I173" s="162">
        <v>933647.69528416451</v>
      </c>
      <c r="J173" s="162">
        <v>1120377.2343409974</v>
      </c>
      <c r="K173" s="162">
        <v>1307106.7733978303</v>
      </c>
      <c r="L173" s="162">
        <v>1493836.3124546632</v>
      </c>
      <c r="M173" s="162">
        <v>1680565.8515114961</v>
      </c>
      <c r="N173" s="162">
        <v>1867295.390568329</v>
      </c>
      <c r="O173" s="162">
        <v>2054024.9296251619</v>
      </c>
      <c r="P173" s="162">
        <v>2240754.4686819948</v>
      </c>
      <c r="Q173" s="162">
        <v>2427484.0077388277</v>
      </c>
      <c r="R173" s="162">
        <v>2614213.5467956606</v>
      </c>
      <c r="S173" s="162">
        <v>2800943.0858524935</v>
      </c>
      <c r="T173" s="162">
        <v>2987672.6249093264</v>
      </c>
      <c r="U173" s="162">
        <v>3174402.1639661593</v>
      </c>
      <c r="V173" s="162">
        <v>3361131.7030229922</v>
      </c>
      <c r="W173" s="162">
        <v>3547861.2420798251</v>
      </c>
      <c r="X173" s="162">
        <v>3734590.781136658</v>
      </c>
      <c r="Y173" s="162">
        <v>3921320.3201934909</v>
      </c>
      <c r="Z173" s="162">
        <v>4108049.8592503238</v>
      </c>
      <c r="AA173" s="162">
        <v>4294779.3983071567</v>
      </c>
      <c r="AB173" s="162">
        <v>4481508.9373639897</v>
      </c>
      <c r="AC173" s="162">
        <v>4668238.4764208226</v>
      </c>
      <c r="AD173" s="162">
        <v>4854968.0154776555</v>
      </c>
      <c r="AE173" s="162">
        <v>5041697.5545344884</v>
      </c>
      <c r="AF173" s="162">
        <v>5228427.0935913213</v>
      </c>
      <c r="AG173" s="162">
        <v>36215156.632648155</v>
      </c>
      <c r="AH173" s="3"/>
      <c r="AI173" s="3"/>
    </row>
    <row r="175" spans="3:35">
      <c r="C175" s="165" t="s">
        <v>373</v>
      </c>
      <c r="D175" s="132">
        <v>0</v>
      </c>
      <c r="E175" s="132">
        <v>186729.5390568329</v>
      </c>
      <c r="F175" s="132">
        <v>186729.5390568329</v>
      </c>
      <c r="G175" s="132">
        <v>186729.5390568329</v>
      </c>
      <c r="H175" s="132">
        <v>186729.5390568329</v>
      </c>
      <c r="I175" s="132">
        <v>186729.5390568329</v>
      </c>
      <c r="J175" s="132">
        <v>186729.5390568329</v>
      </c>
      <c r="K175" s="132">
        <v>186729.5390568329</v>
      </c>
      <c r="L175" s="132">
        <v>186729.5390568329</v>
      </c>
      <c r="M175" s="132">
        <v>186729.5390568329</v>
      </c>
      <c r="N175" s="132">
        <v>186729.5390568329</v>
      </c>
      <c r="O175" s="132">
        <v>186729.5390568329</v>
      </c>
      <c r="P175" s="132">
        <v>186729.5390568329</v>
      </c>
      <c r="Q175" s="132">
        <v>186729.5390568329</v>
      </c>
      <c r="R175" s="132">
        <v>186729.5390568329</v>
      </c>
      <c r="S175" s="132">
        <v>186729.5390568329</v>
      </c>
      <c r="T175" s="132">
        <v>186729.5390568329</v>
      </c>
      <c r="U175" s="132">
        <v>186729.5390568329</v>
      </c>
      <c r="V175" s="132">
        <v>186729.5390568329</v>
      </c>
      <c r="W175" s="132">
        <v>186729.5390568329</v>
      </c>
      <c r="X175" s="132">
        <v>186729.5390568329</v>
      </c>
      <c r="Y175" s="132">
        <v>186729.5390568329</v>
      </c>
      <c r="Z175" s="132">
        <v>186729.5390568329</v>
      </c>
      <c r="AA175" s="132">
        <v>186729.5390568329</v>
      </c>
      <c r="AB175" s="132">
        <v>186729.5390568329</v>
      </c>
      <c r="AC175" s="132">
        <v>186729.5390568329</v>
      </c>
      <c r="AD175" s="132">
        <v>186729.5390568329</v>
      </c>
      <c r="AE175" s="132">
        <v>186729.5390568329</v>
      </c>
      <c r="AF175" s="132">
        <v>186729.5390568329</v>
      </c>
      <c r="AG175" s="132">
        <v>186729.5390568329</v>
      </c>
      <c r="AH175" s="3"/>
      <c r="AI175" s="3"/>
    </row>
    <row r="176" spans="3:35">
      <c r="C176" s="165" t="s">
        <v>374</v>
      </c>
      <c r="D176" s="132">
        <v>0</v>
      </c>
      <c r="E176" s="132">
        <v>186729.5390568329</v>
      </c>
      <c r="F176" s="132">
        <v>373459.0781136658</v>
      </c>
      <c r="G176" s="132">
        <v>560188.61717049871</v>
      </c>
      <c r="H176" s="132">
        <v>746918.15622733161</v>
      </c>
      <c r="I176" s="132">
        <v>933647.69528416451</v>
      </c>
      <c r="J176" s="132">
        <v>1120377.2343409974</v>
      </c>
      <c r="K176" s="132">
        <v>1307106.7733978303</v>
      </c>
      <c r="L176" s="132">
        <v>1493836.3124546632</v>
      </c>
      <c r="M176" s="132">
        <v>1680565.8515114961</v>
      </c>
      <c r="N176" s="132">
        <v>1867295.390568329</v>
      </c>
      <c r="O176" s="132">
        <v>2054024.9296251619</v>
      </c>
      <c r="P176" s="132">
        <v>2240754.4686819948</v>
      </c>
      <c r="Q176" s="132">
        <v>2427484.0077388277</v>
      </c>
      <c r="R176" s="132">
        <v>2614213.5467956606</v>
      </c>
      <c r="S176" s="132">
        <v>2800943.0858524935</v>
      </c>
      <c r="T176" s="132">
        <v>2987672.6249093264</v>
      </c>
      <c r="U176" s="132">
        <v>3174402.1639661593</v>
      </c>
      <c r="V176" s="132">
        <v>3361131.7030229922</v>
      </c>
      <c r="W176" s="132">
        <v>3547861.2420798251</v>
      </c>
      <c r="X176" s="132">
        <v>3734590.781136658</v>
      </c>
      <c r="Y176" s="132">
        <v>3921320.3201934909</v>
      </c>
      <c r="Z176" s="132">
        <v>4108049.8592503238</v>
      </c>
      <c r="AA176" s="132">
        <v>4294779.3983071567</v>
      </c>
      <c r="AB176" s="132">
        <v>4481508.9373639897</v>
      </c>
      <c r="AC176" s="132">
        <v>4668238.4764208226</v>
      </c>
      <c r="AD176" s="132">
        <v>4854968.0154776555</v>
      </c>
      <c r="AE176" s="132">
        <v>5041697.5545344884</v>
      </c>
      <c r="AF176" s="132">
        <v>5228427.0935913213</v>
      </c>
      <c r="AG176" s="132">
        <v>5415156.6326481542</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53:AG153">
    <cfRule type="expression" dxfId="32" priority="2">
      <formula>NOT(ISBLANK(D$153))</formula>
    </cfRule>
  </conditionalFormatting>
  <conditionalFormatting sqref="D175:AG177">
    <cfRule type="expression" dxfId="31" priority="1">
      <formula>NOT(ISBLANK(D$268))</formula>
    </cfRule>
  </conditionalFormatting>
  <conditionalFormatting sqref="E123:AI123">
    <cfRule type="expression" dxfId="30" priority="25">
      <formula>NOT(ISBLANK(E$123))</formula>
    </cfRule>
  </conditionalFormatting>
  <conditionalFormatting sqref="F74:AI74">
    <cfRule type="expression" dxfId="29" priority="50">
      <formula>NOT(ISBLANK(F$74))</formula>
    </cfRule>
  </conditionalFormatting>
  <conditionalFormatting sqref="F75:AI75">
    <cfRule type="expression" dxfId="28" priority="49">
      <formula>NOT(ISBLANK(F$74))</formula>
    </cfRule>
  </conditionalFormatting>
  <conditionalFormatting sqref="F80:AI80">
    <cfRule type="expression" dxfId="27" priority="13">
      <formula>NOT(ISBLANK(F$74))</formula>
    </cfRule>
  </conditionalFormatting>
  <conditionalFormatting sqref="F81:AI81">
    <cfRule type="expression" dxfId="26" priority="10">
      <formula>NOT(ISBLANK(F$74))</formula>
    </cfRule>
  </conditionalFormatting>
  <conditionalFormatting sqref="F86:AI86">
    <cfRule type="expression" dxfId="25" priority="12">
      <formula>NOT(ISBLANK(F$74))</formula>
    </cfRule>
  </conditionalFormatting>
  <conditionalFormatting sqref="F87:AI88">
    <cfRule type="expression" dxfId="24" priority="8">
      <formula>NOT(ISBLANK(F$74))</formula>
    </cfRule>
  </conditionalFormatting>
  <conditionalFormatting sqref="F89:AI89">
    <cfRule type="expression" dxfId="23" priority="45">
      <formula>NOT(ISBLANK(F$86))</formula>
    </cfRule>
  </conditionalFormatting>
  <conditionalFormatting sqref="F94:AI94">
    <cfRule type="expression" dxfId="22" priority="44">
      <formula>NOT(ISBLANK(F$94))</formula>
    </cfRule>
  </conditionalFormatting>
  <conditionalFormatting sqref="F95:AI99">
    <cfRule type="expression" dxfId="21" priority="3">
      <formula>NOT(ISBLANK(F$74))</formula>
    </cfRule>
  </conditionalFormatting>
  <conditionalFormatting sqref="F112:AI112">
    <cfRule type="expression" dxfId="20" priority="22">
      <formula>NOT(ISBLANK(F$123))</formula>
    </cfRule>
  </conditionalFormatting>
  <conditionalFormatting sqref="F113:AI118">
    <cfRule type="expression" dxfId="19" priority="20">
      <formula>NOT(ISBLANK(F$110))</formula>
    </cfRule>
  </conditionalFormatting>
  <conditionalFormatting sqref="F124:AI129">
    <cfRule type="expression" dxfId="18" priority="24">
      <formula>NOT(ISBLANK(F$123))</formula>
    </cfRule>
  </conditionalFormatting>
  <conditionalFormatting sqref="F130:AI130">
    <cfRule type="expression" dxfId="17" priority="23">
      <formula>NOT(ISBLANK(F$123))</formula>
    </cfRule>
  </conditionalFormatting>
  <conditionalFormatting sqref="G118:AI118">
    <cfRule type="expression" dxfId="16" priority="21">
      <formula>NOT(ISBLANK(G$110))</formula>
    </cfRule>
  </conditionalFormatting>
  <dataValidations count="1">
    <dataValidation type="list" allowBlank="1" showInputMessage="1" showErrorMessage="1" sqref="D185" xr:uid="{F7AB54C6-BFE7-4E16-B560-FB9AB727C437}">
      <formula1>i_n_list</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F3F9A-E50E-48F2-8A8C-D62A8BBFDDE8}">
  <sheetPr codeName="Munka12">
    <tabColor rgb="FF0070C0"/>
  </sheetPr>
  <dimension ref="A1:AI185"/>
  <sheetViews>
    <sheetView topLeftCell="A82" zoomScale="85" zoomScaleNormal="55" workbookViewId="0">
      <selection activeCell="D103" sqref="D103"/>
    </sheetView>
  </sheetViews>
  <sheetFormatPr defaultColWidth="9.19921875" defaultRowHeight="13.8"/>
  <cols>
    <col min="1" max="1" width="9.19921875" style="1"/>
    <col min="2" max="2" width="47.19921875" style="1" customWidth="1"/>
    <col min="3" max="3" width="56.19921875" style="1" customWidth="1"/>
    <col min="4" max="4" width="27.5" style="1" bestFit="1" customWidth="1"/>
    <col min="5" max="5" width="24.19921875" style="1" customWidth="1"/>
    <col min="6" max="6" width="13.69921875" style="1" customWidth="1"/>
    <col min="7" max="7" width="15.69921875" style="1" customWidth="1"/>
    <col min="8" max="8" width="21.69921875" style="1" customWidth="1"/>
    <col min="9" max="9" width="22.19921875" style="1" customWidth="1"/>
    <col min="10" max="16384" width="9.19921875" style="1"/>
  </cols>
  <sheetData>
    <row r="1" spans="1:6" ht="14.4" thickBot="1"/>
    <row r="2" spans="1:6" ht="14.4" thickBot="1">
      <c r="C2" s="41" t="s">
        <v>125</v>
      </c>
    </row>
    <row r="3" spans="1:6" ht="14.4" thickBot="1"/>
    <row r="4" spans="1:6" ht="40.200000000000003" thickBot="1">
      <c r="C4" s="120" t="s">
        <v>564</v>
      </c>
    </row>
    <row r="7" spans="1:6" s="7" customFormat="1">
      <c r="A7" s="6"/>
      <c r="C7" s="6" t="s">
        <v>489</v>
      </c>
    </row>
    <row r="10" spans="1:6">
      <c r="C10" s="8" t="s">
        <v>288</v>
      </c>
      <c r="D10" s="9" t="s">
        <v>506</v>
      </c>
      <c r="E10" s="9" t="s">
        <v>507</v>
      </c>
      <c r="F10" s="9" t="s">
        <v>508</v>
      </c>
    </row>
    <row r="11" spans="1:6">
      <c r="C11" s="10" t="s">
        <v>265</v>
      </c>
      <c r="D11" s="130">
        <v>0</v>
      </c>
      <c r="E11" s="130">
        <v>0</v>
      </c>
      <c r="F11" s="11">
        <v>0</v>
      </c>
    </row>
    <row r="12" spans="1:6">
      <c r="C12" s="10" t="s">
        <v>269</v>
      </c>
      <c r="D12" s="130">
        <v>0</v>
      </c>
      <c r="E12" s="130">
        <v>0</v>
      </c>
      <c r="F12" s="11">
        <v>0</v>
      </c>
    </row>
    <row r="13" spans="1:6">
      <c r="C13" s="10" t="s">
        <v>276</v>
      </c>
      <c r="D13" s="130">
        <v>9525000</v>
      </c>
      <c r="E13" s="130">
        <v>0</v>
      </c>
      <c r="F13" s="11">
        <v>9525000</v>
      </c>
    </row>
    <row r="14" spans="1:6">
      <c r="C14" s="10" t="s">
        <v>282</v>
      </c>
      <c r="D14" s="130">
        <v>0</v>
      </c>
      <c r="E14" s="130">
        <v>0</v>
      </c>
      <c r="F14" s="11">
        <v>0</v>
      </c>
    </row>
    <row r="15" spans="1:6">
      <c r="C15" s="10" t="s">
        <v>286</v>
      </c>
      <c r="D15" s="130">
        <v>0</v>
      </c>
      <c r="E15" s="130">
        <v>0</v>
      </c>
      <c r="F15" s="11">
        <v>0</v>
      </c>
    </row>
    <row r="16" spans="1:6">
      <c r="C16" s="10" t="s">
        <v>287</v>
      </c>
      <c r="D16" s="130">
        <v>0</v>
      </c>
      <c r="E16" s="130">
        <v>0</v>
      </c>
      <c r="F16" s="11">
        <v>0</v>
      </c>
    </row>
    <row r="17" spans="3:10">
      <c r="C17" s="10" t="s">
        <v>327</v>
      </c>
      <c r="D17" s="130">
        <v>0</v>
      </c>
      <c r="E17" s="130">
        <v>0</v>
      </c>
      <c r="F17" s="11">
        <v>0</v>
      </c>
    </row>
    <row r="18" spans="3:10">
      <c r="C18" s="10" t="s">
        <v>327</v>
      </c>
      <c r="D18" s="130">
        <v>0</v>
      </c>
      <c r="E18" s="130">
        <v>0</v>
      </c>
      <c r="F18" s="11">
        <v>0</v>
      </c>
    </row>
    <row r="19" spans="3:10">
      <c r="C19" s="10" t="s">
        <v>327</v>
      </c>
      <c r="D19" s="130">
        <v>0</v>
      </c>
      <c r="E19" s="130">
        <v>0</v>
      </c>
      <c r="F19" s="11">
        <v>0</v>
      </c>
    </row>
    <row r="20" spans="3:10">
      <c r="C20" s="10" t="s">
        <v>327</v>
      </c>
      <c r="D20" s="130">
        <v>0</v>
      </c>
      <c r="E20" s="130">
        <v>0</v>
      </c>
      <c r="F20" s="11">
        <v>0</v>
      </c>
    </row>
    <row r="21" spans="3:10">
      <c r="C21" s="12" t="s">
        <v>328</v>
      </c>
      <c r="D21" s="131">
        <v>9525000</v>
      </c>
      <c r="E21" s="131">
        <v>0</v>
      </c>
      <c r="F21" s="13">
        <v>9525000</v>
      </c>
    </row>
    <row r="22" spans="3:10">
      <c r="C22" s="12" t="s">
        <v>329</v>
      </c>
      <c r="D22" s="13">
        <v>9525000</v>
      </c>
      <c r="E22" s="13">
        <v>0</v>
      </c>
      <c r="F22" s="133">
        <v>9525000</v>
      </c>
    </row>
    <row r="25" spans="3:10">
      <c r="C25" s="8" t="s">
        <v>104</v>
      </c>
      <c r="D25" s="14" t="s">
        <v>325</v>
      </c>
      <c r="E25" s="14" t="s">
        <v>465</v>
      </c>
      <c r="F25" s="14">
        <v>2025</v>
      </c>
      <c r="G25" s="14">
        <v>2026</v>
      </c>
      <c r="H25" s="14">
        <v>2027</v>
      </c>
      <c r="I25" s="14">
        <v>2028</v>
      </c>
      <c r="J25" s="14">
        <v>2029</v>
      </c>
    </row>
    <row r="26" spans="3:10">
      <c r="C26" s="10" t="s">
        <v>265</v>
      </c>
      <c r="D26" s="11">
        <v>0</v>
      </c>
      <c r="E26" s="11">
        <v>0</v>
      </c>
      <c r="F26" s="134">
        <v>0</v>
      </c>
      <c r="G26" s="134">
        <v>0</v>
      </c>
      <c r="H26" s="134">
        <v>0</v>
      </c>
      <c r="I26" s="134">
        <v>0</v>
      </c>
      <c r="J26" s="134">
        <v>0</v>
      </c>
    </row>
    <row r="27" spans="3:10">
      <c r="C27" s="10" t="s">
        <v>269</v>
      </c>
      <c r="D27" s="11">
        <v>0</v>
      </c>
      <c r="E27" s="11">
        <v>0</v>
      </c>
      <c r="F27" s="134">
        <v>0</v>
      </c>
      <c r="G27" s="134">
        <v>0</v>
      </c>
      <c r="H27" s="134">
        <v>0</v>
      </c>
      <c r="I27" s="134">
        <v>0</v>
      </c>
      <c r="J27" s="134">
        <v>0</v>
      </c>
    </row>
    <row r="28" spans="3:10">
      <c r="C28" s="10" t="s">
        <v>276</v>
      </c>
      <c r="D28" s="11">
        <v>9525000</v>
      </c>
      <c r="E28" s="11">
        <v>9525000</v>
      </c>
      <c r="F28" s="134">
        <v>9525000</v>
      </c>
      <c r="G28" s="134">
        <v>0</v>
      </c>
      <c r="H28" s="134">
        <v>0</v>
      </c>
      <c r="I28" s="134">
        <v>0</v>
      </c>
      <c r="J28" s="134">
        <v>0</v>
      </c>
    </row>
    <row r="29" spans="3:10">
      <c r="C29" s="10" t="s">
        <v>282</v>
      </c>
      <c r="D29" s="11">
        <v>0</v>
      </c>
      <c r="E29" s="11">
        <v>0</v>
      </c>
      <c r="F29" s="134">
        <v>0</v>
      </c>
      <c r="G29" s="134">
        <v>0</v>
      </c>
      <c r="H29" s="134">
        <v>0</v>
      </c>
      <c r="I29" s="134">
        <v>0</v>
      </c>
      <c r="J29" s="134">
        <v>0</v>
      </c>
    </row>
    <row r="30" spans="3:10">
      <c r="C30" s="10" t="s">
        <v>286</v>
      </c>
      <c r="D30" s="11">
        <v>0</v>
      </c>
      <c r="E30" s="11">
        <v>0</v>
      </c>
      <c r="F30" s="134">
        <v>0</v>
      </c>
      <c r="G30" s="134">
        <v>0</v>
      </c>
      <c r="H30" s="134">
        <v>0</v>
      </c>
      <c r="I30" s="134">
        <v>0</v>
      </c>
      <c r="J30" s="134">
        <v>0</v>
      </c>
    </row>
    <row r="31" spans="3:10">
      <c r="C31" s="10" t="s">
        <v>287</v>
      </c>
      <c r="D31" s="11">
        <v>0</v>
      </c>
      <c r="E31" s="11">
        <v>0</v>
      </c>
      <c r="F31" s="134">
        <v>0</v>
      </c>
      <c r="G31" s="134">
        <v>0</v>
      </c>
      <c r="H31" s="134">
        <v>0</v>
      </c>
      <c r="I31" s="134">
        <v>0</v>
      </c>
      <c r="J31" s="134">
        <v>0</v>
      </c>
    </row>
    <row r="32" spans="3:10">
      <c r="C32" s="10" t="s">
        <v>327</v>
      </c>
      <c r="D32" s="11">
        <v>0</v>
      </c>
      <c r="E32" s="11">
        <v>0</v>
      </c>
      <c r="F32" s="134">
        <v>0</v>
      </c>
      <c r="G32" s="134">
        <v>0</v>
      </c>
      <c r="H32" s="134">
        <v>0</v>
      </c>
      <c r="I32" s="134">
        <v>0</v>
      </c>
      <c r="J32" s="134">
        <v>0</v>
      </c>
    </row>
    <row r="33" spans="3:10">
      <c r="C33" s="10" t="s">
        <v>327</v>
      </c>
      <c r="D33" s="11">
        <v>0</v>
      </c>
      <c r="E33" s="11">
        <v>0</v>
      </c>
      <c r="F33" s="134">
        <v>0</v>
      </c>
      <c r="G33" s="134">
        <v>0</v>
      </c>
      <c r="H33" s="134">
        <v>0</v>
      </c>
      <c r="I33" s="134">
        <v>0</v>
      </c>
      <c r="J33" s="134">
        <v>0</v>
      </c>
    </row>
    <row r="34" spans="3:10">
      <c r="C34" s="10" t="s">
        <v>327</v>
      </c>
      <c r="D34" s="11">
        <v>0</v>
      </c>
      <c r="E34" s="11">
        <v>0</v>
      </c>
      <c r="F34" s="134">
        <v>0</v>
      </c>
      <c r="G34" s="134">
        <v>0</v>
      </c>
      <c r="H34" s="134">
        <v>0</v>
      </c>
      <c r="I34" s="134">
        <v>0</v>
      </c>
      <c r="J34" s="134">
        <v>0</v>
      </c>
    </row>
    <row r="35" spans="3:10">
      <c r="C35" s="10" t="s">
        <v>327</v>
      </c>
      <c r="D35" s="11">
        <v>0</v>
      </c>
      <c r="E35" s="11">
        <v>0</v>
      </c>
      <c r="F35" s="134">
        <v>0</v>
      </c>
      <c r="G35" s="134">
        <v>0</v>
      </c>
      <c r="H35" s="134">
        <v>0</v>
      </c>
      <c r="I35" s="134">
        <v>0</v>
      </c>
      <c r="J35" s="134">
        <v>0</v>
      </c>
    </row>
    <row r="36" spans="3:10">
      <c r="C36" s="12" t="s">
        <v>328</v>
      </c>
      <c r="D36" s="13">
        <v>9525000</v>
      </c>
      <c r="E36" s="13">
        <v>9525000</v>
      </c>
      <c r="F36" s="131">
        <v>9525000</v>
      </c>
      <c r="G36" s="131">
        <v>0</v>
      </c>
      <c r="H36" s="131">
        <v>0</v>
      </c>
      <c r="I36" s="131">
        <v>0</v>
      </c>
      <c r="J36" s="131">
        <v>0</v>
      </c>
    </row>
    <row r="37" spans="3:10">
      <c r="C37" s="12" t="s">
        <v>329</v>
      </c>
      <c r="D37" s="13">
        <v>9525000</v>
      </c>
      <c r="E37" s="13">
        <v>9525000</v>
      </c>
      <c r="F37" s="13">
        <v>9525000</v>
      </c>
      <c r="G37" s="13">
        <v>0</v>
      </c>
      <c r="H37" s="13">
        <v>0</v>
      </c>
      <c r="I37" s="13">
        <v>0</v>
      </c>
      <c r="J37" s="13">
        <v>0</v>
      </c>
    </row>
    <row r="40" spans="3:10">
      <c r="C40" s="8" t="s">
        <v>105</v>
      </c>
      <c r="D40" s="14" t="s">
        <v>325</v>
      </c>
      <c r="E40" s="14" t="s">
        <v>465</v>
      </c>
      <c r="F40" s="14">
        <v>2025</v>
      </c>
      <c r="G40" s="14">
        <v>2026</v>
      </c>
      <c r="H40" s="14">
        <v>2027</v>
      </c>
      <c r="I40" s="14">
        <v>2028</v>
      </c>
      <c r="J40" s="14">
        <v>2029</v>
      </c>
    </row>
    <row r="41" spans="3:10">
      <c r="C41" s="10" t="s">
        <v>265</v>
      </c>
      <c r="D41" s="11">
        <v>0</v>
      </c>
      <c r="E41" s="11">
        <v>0</v>
      </c>
      <c r="F41" s="134">
        <v>0</v>
      </c>
      <c r="G41" s="134">
        <v>0</v>
      </c>
      <c r="H41" s="134">
        <v>0</v>
      </c>
      <c r="I41" s="134">
        <v>0</v>
      </c>
      <c r="J41" s="134">
        <v>0</v>
      </c>
    </row>
    <row r="42" spans="3:10">
      <c r="C42" s="10" t="s">
        <v>269</v>
      </c>
      <c r="D42" s="11">
        <v>0</v>
      </c>
      <c r="E42" s="11">
        <v>0</v>
      </c>
      <c r="F42" s="134">
        <v>0</v>
      </c>
      <c r="G42" s="134">
        <v>0</v>
      </c>
      <c r="H42" s="134">
        <v>0</v>
      </c>
      <c r="I42" s="134">
        <v>0</v>
      </c>
      <c r="J42" s="134">
        <v>0</v>
      </c>
    </row>
    <row r="43" spans="3:10">
      <c r="C43" s="10" t="s">
        <v>276</v>
      </c>
      <c r="D43" s="11">
        <v>0</v>
      </c>
      <c r="E43" s="11">
        <v>0</v>
      </c>
      <c r="F43" s="134">
        <v>0</v>
      </c>
      <c r="G43" s="134">
        <v>0</v>
      </c>
      <c r="H43" s="134">
        <v>0</v>
      </c>
      <c r="I43" s="134">
        <v>0</v>
      </c>
      <c r="J43" s="134">
        <v>0</v>
      </c>
    </row>
    <row r="44" spans="3:10">
      <c r="C44" s="10" t="s">
        <v>282</v>
      </c>
      <c r="D44" s="11">
        <v>0</v>
      </c>
      <c r="E44" s="11">
        <v>0</v>
      </c>
      <c r="F44" s="134">
        <v>0</v>
      </c>
      <c r="G44" s="134">
        <v>0</v>
      </c>
      <c r="H44" s="134">
        <v>0</v>
      </c>
      <c r="I44" s="134">
        <v>0</v>
      </c>
      <c r="J44" s="134">
        <v>0</v>
      </c>
    </row>
    <row r="45" spans="3:10">
      <c r="C45" s="10" t="s">
        <v>286</v>
      </c>
      <c r="D45" s="11">
        <v>0</v>
      </c>
      <c r="E45" s="11">
        <v>0</v>
      </c>
      <c r="F45" s="134">
        <v>0</v>
      </c>
      <c r="G45" s="134">
        <v>0</v>
      </c>
      <c r="H45" s="134">
        <v>0</v>
      </c>
      <c r="I45" s="134">
        <v>0</v>
      </c>
      <c r="J45" s="134">
        <v>0</v>
      </c>
    </row>
    <row r="46" spans="3:10">
      <c r="C46" s="10" t="s">
        <v>287</v>
      </c>
      <c r="D46" s="11">
        <v>0</v>
      </c>
      <c r="E46" s="11">
        <v>0</v>
      </c>
      <c r="F46" s="134">
        <v>0</v>
      </c>
      <c r="G46" s="134">
        <v>0</v>
      </c>
      <c r="H46" s="134">
        <v>0</v>
      </c>
      <c r="I46" s="134">
        <v>0</v>
      </c>
      <c r="J46" s="134">
        <v>0</v>
      </c>
    </row>
    <row r="47" spans="3:10">
      <c r="C47" s="10" t="s">
        <v>327</v>
      </c>
      <c r="D47" s="11">
        <v>0</v>
      </c>
      <c r="E47" s="11">
        <v>0</v>
      </c>
      <c r="F47" s="134">
        <v>0</v>
      </c>
      <c r="G47" s="134">
        <v>0</v>
      </c>
      <c r="H47" s="134">
        <v>0</v>
      </c>
      <c r="I47" s="134">
        <v>0</v>
      </c>
      <c r="J47" s="134">
        <v>0</v>
      </c>
    </row>
    <row r="48" spans="3:10">
      <c r="C48" s="10" t="s">
        <v>327</v>
      </c>
      <c r="D48" s="11">
        <v>0</v>
      </c>
      <c r="E48" s="11">
        <v>0</v>
      </c>
      <c r="F48" s="134">
        <v>0</v>
      </c>
      <c r="G48" s="134">
        <v>0</v>
      </c>
      <c r="H48" s="134">
        <v>0</v>
      </c>
      <c r="I48" s="134">
        <v>0</v>
      </c>
      <c r="J48" s="134">
        <v>0</v>
      </c>
    </row>
    <row r="49" spans="3:10">
      <c r="C49" s="10" t="s">
        <v>327</v>
      </c>
      <c r="D49" s="11">
        <v>0</v>
      </c>
      <c r="E49" s="11">
        <v>0</v>
      </c>
      <c r="F49" s="134">
        <v>0</v>
      </c>
      <c r="G49" s="134">
        <v>0</v>
      </c>
      <c r="H49" s="134">
        <v>0</v>
      </c>
      <c r="I49" s="134">
        <v>0</v>
      </c>
      <c r="J49" s="134">
        <v>0</v>
      </c>
    </row>
    <row r="50" spans="3:10">
      <c r="C50" s="10" t="s">
        <v>327</v>
      </c>
      <c r="D50" s="11">
        <v>0</v>
      </c>
      <c r="E50" s="11">
        <v>0</v>
      </c>
      <c r="F50" s="134">
        <v>0</v>
      </c>
      <c r="G50" s="134">
        <v>0</v>
      </c>
      <c r="H50" s="134">
        <v>0</v>
      </c>
      <c r="I50" s="134">
        <v>0</v>
      </c>
      <c r="J50" s="134">
        <v>0</v>
      </c>
    </row>
    <row r="51" spans="3:10">
      <c r="C51" s="12" t="s">
        <v>328</v>
      </c>
      <c r="D51" s="13">
        <v>0</v>
      </c>
      <c r="E51" s="13">
        <v>0</v>
      </c>
      <c r="F51" s="131">
        <v>0</v>
      </c>
      <c r="G51" s="131">
        <v>0</v>
      </c>
      <c r="H51" s="131">
        <v>0</v>
      </c>
      <c r="I51" s="131">
        <v>0</v>
      </c>
      <c r="J51" s="131">
        <v>0</v>
      </c>
    </row>
    <row r="52" spans="3:10">
      <c r="C52" s="12" t="s">
        <v>329</v>
      </c>
      <c r="D52" s="13">
        <v>0</v>
      </c>
      <c r="E52" s="13">
        <v>0</v>
      </c>
      <c r="F52" s="13">
        <v>0</v>
      </c>
      <c r="G52" s="13">
        <v>0</v>
      </c>
      <c r="H52" s="13">
        <v>0</v>
      </c>
      <c r="I52" s="13">
        <v>0</v>
      </c>
      <c r="J52" s="13">
        <v>0</v>
      </c>
    </row>
    <row r="55" spans="3:10">
      <c r="C55" s="8" t="s">
        <v>331</v>
      </c>
      <c r="D55" s="14" t="s">
        <v>325</v>
      </c>
      <c r="E55" s="14" t="s">
        <v>465</v>
      </c>
      <c r="F55" s="14">
        <v>2025</v>
      </c>
      <c r="G55" s="14">
        <v>2026</v>
      </c>
      <c r="H55" s="14">
        <v>2027</v>
      </c>
      <c r="I55" s="14">
        <v>2028</v>
      </c>
      <c r="J55" s="14">
        <v>2029</v>
      </c>
    </row>
    <row r="56" spans="3:10">
      <c r="C56" s="10" t="s">
        <v>265</v>
      </c>
      <c r="D56" s="11">
        <v>0</v>
      </c>
      <c r="E56" s="11">
        <v>0</v>
      </c>
      <c r="F56" s="11">
        <v>0</v>
      </c>
      <c r="G56" s="11">
        <v>0</v>
      </c>
      <c r="H56" s="11">
        <v>0</v>
      </c>
      <c r="I56" s="11">
        <v>0</v>
      </c>
      <c r="J56" s="11">
        <v>0</v>
      </c>
    </row>
    <row r="57" spans="3:10">
      <c r="C57" s="10" t="s">
        <v>269</v>
      </c>
      <c r="D57" s="11">
        <v>0</v>
      </c>
      <c r="E57" s="11">
        <v>0</v>
      </c>
      <c r="F57" s="11">
        <v>0</v>
      </c>
      <c r="G57" s="11">
        <v>0</v>
      </c>
      <c r="H57" s="11">
        <v>0</v>
      </c>
      <c r="I57" s="11">
        <v>0</v>
      </c>
      <c r="J57" s="11">
        <v>0</v>
      </c>
    </row>
    <row r="58" spans="3:10">
      <c r="C58" s="10" t="s">
        <v>276</v>
      </c>
      <c r="D58" s="11">
        <v>9525000</v>
      </c>
      <c r="E58" s="11">
        <v>9525000</v>
      </c>
      <c r="F58" s="11">
        <v>9525000</v>
      </c>
      <c r="G58" s="11">
        <v>0</v>
      </c>
      <c r="H58" s="11">
        <v>0</v>
      </c>
      <c r="I58" s="11">
        <v>0</v>
      </c>
      <c r="J58" s="11">
        <v>0</v>
      </c>
    </row>
    <row r="59" spans="3:10">
      <c r="C59" s="10" t="s">
        <v>282</v>
      </c>
      <c r="D59" s="11">
        <v>0</v>
      </c>
      <c r="E59" s="11">
        <v>0</v>
      </c>
      <c r="F59" s="11">
        <v>0</v>
      </c>
      <c r="G59" s="11">
        <v>0</v>
      </c>
      <c r="H59" s="11">
        <v>0</v>
      </c>
      <c r="I59" s="11">
        <v>0</v>
      </c>
      <c r="J59" s="11">
        <v>0</v>
      </c>
    </row>
    <row r="60" spans="3:10">
      <c r="C60" s="10" t="s">
        <v>286</v>
      </c>
      <c r="D60" s="11">
        <v>0</v>
      </c>
      <c r="E60" s="11">
        <v>0</v>
      </c>
      <c r="F60" s="11">
        <v>0</v>
      </c>
      <c r="G60" s="11">
        <v>0</v>
      </c>
      <c r="H60" s="11">
        <v>0</v>
      </c>
      <c r="I60" s="11">
        <v>0</v>
      </c>
      <c r="J60" s="11">
        <v>0</v>
      </c>
    </row>
    <row r="61" spans="3:10">
      <c r="C61" s="10" t="s">
        <v>287</v>
      </c>
      <c r="D61" s="11">
        <v>0</v>
      </c>
      <c r="E61" s="11">
        <v>0</v>
      </c>
      <c r="F61" s="11">
        <v>0</v>
      </c>
      <c r="G61" s="11">
        <v>0</v>
      </c>
      <c r="H61" s="11">
        <v>0</v>
      </c>
      <c r="I61" s="11">
        <v>0</v>
      </c>
      <c r="J61" s="11">
        <v>0</v>
      </c>
    </row>
    <row r="62" spans="3:10">
      <c r="C62" s="10" t="s">
        <v>327</v>
      </c>
      <c r="D62" s="11">
        <v>0</v>
      </c>
      <c r="E62" s="11">
        <v>0</v>
      </c>
      <c r="F62" s="11">
        <v>0</v>
      </c>
      <c r="G62" s="11">
        <v>0</v>
      </c>
      <c r="H62" s="11">
        <v>0</v>
      </c>
      <c r="I62" s="11">
        <v>0</v>
      </c>
      <c r="J62" s="11">
        <v>0</v>
      </c>
    </row>
    <row r="63" spans="3:10">
      <c r="C63" s="10" t="s">
        <v>327</v>
      </c>
      <c r="D63" s="11">
        <v>0</v>
      </c>
      <c r="E63" s="11">
        <v>0</v>
      </c>
      <c r="F63" s="11">
        <v>0</v>
      </c>
      <c r="G63" s="11">
        <v>0</v>
      </c>
      <c r="H63" s="11">
        <v>0</v>
      </c>
      <c r="I63" s="11">
        <v>0</v>
      </c>
      <c r="J63" s="11">
        <v>0</v>
      </c>
    </row>
    <row r="64" spans="3:10">
      <c r="C64" s="10" t="s">
        <v>327</v>
      </c>
      <c r="D64" s="11">
        <v>0</v>
      </c>
      <c r="E64" s="11">
        <v>0</v>
      </c>
      <c r="F64" s="11">
        <v>0</v>
      </c>
      <c r="G64" s="11">
        <v>0</v>
      </c>
      <c r="H64" s="11">
        <v>0</v>
      </c>
      <c r="I64" s="11">
        <v>0</v>
      </c>
      <c r="J64" s="11">
        <v>0</v>
      </c>
    </row>
    <row r="65" spans="1:35">
      <c r="C65" s="10" t="s">
        <v>327</v>
      </c>
      <c r="D65" s="11">
        <v>0</v>
      </c>
      <c r="E65" s="11">
        <v>0</v>
      </c>
      <c r="F65" s="11">
        <v>0</v>
      </c>
      <c r="G65" s="11">
        <v>0</v>
      </c>
      <c r="H65" s="11">
        <v>0</v>
      </c>
      <c r="I65" s="11">
        <v>0</v>
      </c>
      <c r="J65" s="11">
        <v>0</v>
      </c>
    </row>
    <row r="66" spans="1:35">
      <c r="C66" s="12" t="s">
        <v>328</v>
      </c>
      <c r="D66" s="13">
        <v>9525000</v>
      </c>
      <c r="E66" s="13">
        <v>9525000</v>
      </c>
      <c r="F66" s="13">
        <v>9525000</v>
      </c>
      <c r="G66" s="13">
        <v>0</v>
      </c>
      <c r="H66" s="13">
        <v>0</v>
      </c>
      <c r="I66" s="13">
        <v>0</v>
      </c>
      <c r="J66" s="13">
        <v>0</v>
      </c>
    </row>
    <row r="67" spans="1:35">
      <c r="C67" s="12" t="s">
        <v>329</v>
      </c>
      <c r="D67" s="13">
        <v>9525000</v>
      </c>
      <c r="E67" s="13">
        <v>9525000</v>
      </c>
      <c r="F67" s="13">
        <v>9525000</v>
      </c>
      <c r="G67" s="13">
        <v>0</v>
      </c>
      <c r="H67" s="13">
        <v>0</v>
      </c>
      <c r="I67" s="13">
        <v>0</v>
      </c>
      <c r="J67" s="13">
        <v>0</v>
      </c>
    </row>
    <row r="70" spans="1:35" s="7" customFormat="1">
      <c r="A70" s="6"/>
      <c r="C70" s="6" t="s">
        <v>301</v>
      </c>
    </row>
    <row r="72" spans="1:35">
      <c r="C72" s="14" t="s">
        <v>479</v>
      </c>
      <c r="D72" s="14" t="s">
        <v>325</v>
      </c>
      <c r="E72" s="14" t="s">
        <v>465</v>
      </c>
      <c r="F72" s="15">
        <v>2025</v>
      </c>
      <c r="G72" s="15">
        <v>2026</v>
      </c>
      <c r="H72" s="15">
        <v>2027</v>
      </c>
      <c r="I72" s="15">
        <v>2028</v>
      </c>
      <c r="J72" s="15">
        <v>2029</v>
      </c>
      <c r="K72" s="15">
        <v>2030</v>
      </c>
      <c r="L72" s="15">
        <v>2031</v>
      </c>
      <c r="M72" s="15">
        <v>2032</v>
      </c>
      <c r="N72" s="15">
        <v>2033</v>
      </c>
      <c r="O72" s="15">
        <v>2034</v>
      </c>
      <c r="P72" s="15">
        <v>2035</v>
      </c>
      <c r="Q72" s="15">
        <v>2036</v>
      </c>
      <c r="R72" s="15">
        <v>2037</v>
      </c>
      <c r="S72" s="15">
        <v>2038</v>
      </c>
      <c r="T72" s="15">
        <v>2039</v>
      </c>
      <c r="U72" s="15">
        <v>2040</v>
      </c>
      <c r="V72" s="15">
        <v>2041</v>
      </c>
      <c r="W72" s="15">
        <v>2042</v>
      </c>
      <c r="X72" s="15">
        <v>2043</v>
      </c>
      <c r="Y72" s="15">
        <v>2044</v>
      </c>
      <c r="Z72" s="15">
        <v>2045</v>
      </c>
      <c r="AA72" s="15">
        <v>2046</v>
      </c>
      <c r="AB72" s="15">
        <v>2047</v>
      </c>
      <c r="AC72" s="15">
        <v>2048</v>
      </c>
      <c r="AD72" s="15">
        <v>2049</v>
      </c>
      <c r="AE72" s="15">
        <v>2050</v>
      </c>
      <c r="AF72" s="15">
        <v>2051</v>
      </c>
      <c r="AG72" s="15">
        <v>2052</v>
      </c>
      <c r="AH72" s="15">
        <v>2053</v>
      </c>
      <c r="AI72" s="15">
        <v>2054</v>
      </c>
    </row>
    <row r="73" spans="1:35">
      <c r="C73" s="8" t="s">
        <v>550</v>
      </c>
      <c r="D73" s="13">
        <v>102398.2602591802</v>
      </c>
      <c r="E73" s="13">
        <v>42469.96483409225</v>
      </c>
      <c r="F73" s="130">
        <v>0</v>
      </c>
      <c r="G73" s="130">
        <v>3530.9744916958675</v>
      </c>
      <c r="H73" s="130">
        <v>3530.9744916958675</v>
      </c>
      <c r="I73" s="130">
        <v>3530.9744916958675</v>
      </c>
      <c r="J73" s="130">
        <v>3530.9744916958675</v>
      </c>
      <c r="K73" s="130">
        <v>3530.9744916958675</v>
      </c>
      <c r="L73" s="130">
        <v>3530.9744916958675</v>
      </c>
      <c r="M73" s="130">
        <v>3530.9744916958675</v>
      </c>
      <c r="N73" s="130">
        <v>3530.9744916958675</v>
      </c>
      <c r="O73" s="130">
        <v>3530.9744916958675</v>
      </c>
      <c r="P73" s="130">
        <v>3530.9744916958675</v>
      </c>
      <c r="Q73" s="130">
        <v>3530.9744916958675</v>
      </c>
      <c r="R73" s="130">
        <v>3530.9744916958675</v>
      </c>
      <c r="S73" s="130">
        <v>3530.9744916958675</v>
      </c>
      <c r="T73" s="130">
        <v>3530.9744916958675</v>
      </c>
      <c r="U73" s="130">
        <v>3530.9744916958675</v>
      </c>
      <c r="V73" s="130">
        <v>3530.9744916958675</v>
      </c>
      <c r="W73" s="130">
        <v>3530.9744916958675</v>
      </c>
      <c r="X73" s="130">
        <v>3530.9744916958675</v>
      </c>
      <c r="Y73" s="130">
        <v>3530.9744916958675</v>
      </c>
      <c r="Z73" s="130">
        <v>3530.9744916958675</v>
      </c>
      <c r="AA73" s="130">
        <v>3530.9744916958675</v>
      </c>
      <c r="AB73" s="130">
        <v>3530.9744916958675</v>
      </c>
      <c r="AC73" s="130">
        <v>3530.9744916958675</v>
      </c>
      <c r="AD73" s="130">
        <v>3530.9744916958675</v>
      </c>
      <c r="AE73" s="130">
        <v>3530.9744916958675</v>
      </c>
      <c r="AF73" s="130">
        <v>3530.9744916958675</v>
      </c>
      <c r="AG73" s="130">
        <v>3530.9744916958675</v>
      </c>
      <c r="AH73" s="130">
        <v>3530.9744916958675</v>
      </c>
      <c r="AI73" s="130">
        <v>3530.9744916958675</v>
      </c>
    </row>
    <row r="76" spans="1:35" s="7" customFormat="1">
      <c r="A76" s="6"/>
      <c r="C76" s="6" t="s">
        <v>509</v>
      </c>
    </row>
    <row r="78" spans="1:35">
      <c r="C78" s="14" t="s">
        <v>479</v>
      </c>
      <c r="D78" s="14" t="s">
        <v>325</v>
      </c>
      <c r="E78" s="14" t="s">
        <v>465</v>
      </c>
      <c r="F78" s="15">
        <v>2025</v>
      </c>
      <c r="G78" s="15">
        <v>2026</v>
      </c>
      <c r="H78" s="15">
        <v>2027</v>
      </c>
      <c r="I78" s="15">
        <v>2028</v>
      </c>
      <c r="J78" s="15">
        <v>2029</v>
      </c>
      <c r="K78" s="15">
        <v>2030</v>
      </c>
      <c r="L78" s="15">
        <v>2031</v>
      </c>
      <c r="M78" s="15">
        <v>2032</v>
      </c>
      <c r="N78" s="15">
        <v>2033</v>
      </c>
      <c r="O78" s="15">
        <v>2034</v>
      </c>
      <c r="P78" s="15">
        <v>2035</v>
      </c>
      <c r="Q78" s="15">
        <v>2036</v>
      </c>
      <c r="R78" s="15">
        <v>2037</v>
      </c>
      <c r="S78" s="15">
        <v>2038</v>
      </c>
      <c r="T78" s="15">
        <v>2039</v>
      </c>
      <c r="U78" s="15">
        <v>2040</v>
      </c>
      <c r="V78" s="15">
        <v>2041</v>
      </c>
      <c r="W78" s="15">
        <v>2042</v>
      </c>
      <c r="X78" s="15">
        <v>2043</v>
      </c>
      <c r="Y78" s="15">
        <v>2044</v>
      </c>
      <c r="Z78" s="15">
        <v>2045</v>
      </c>
      <c r="AA78" s="15">
        <v>2046</v>
      </c>
      <c r="AB78" s="15">
        <v>2047</v>
      </c>
      <c r="AC78" s="15">
        <v>2048</v>
      </c>
      <c r="AD78" s="15">
        <v>2049</v>
      </c>
      <c r="AE78" s="15">
        <v>2050</v>
      </c>
      <c r="AF78" s="15">
        <v>2051</v>
      </c>
      <c r="AG78" s="15">
        <v>2052</v>
      </c>
      <c r="AH78" s="15">
        <v>2053</v>
      </c>
      <c r="AI78" s="15">
        <v>2054</v>
      </c>
    </row>
    <row r="79" spans="1:35">
      <c r="C79" s="35" t="s">
        <v>341</v>
      </c>
      <c r="D79" s="13">
        <v>682593.61375719623</v>
      </c>
      <c r="E79" s="13">
        <v>283107.61041123368</v>
      </c>
      <c r="F79" s="130">
        <v>0</v>
      </c>
      <c r="G79" s="130">
        <v>23537.71081921368</v>
      </c>
      <c r="H79" s="130">
        <v>23537.71081921368</v>
      </c>
      <c r="I79" s="130">
        <v>23537.71081921368</v>
      </c>
      <c r="J79" s="130">
        <v>23537.71081921368</v>
      </c>
      <c r="K79" s="130">
        <v>23537.71081921368</v>
      </c>
      <c r="L79" s="130">
        <v>23537.71081921368</v>
      </c>
      <c r="M79" s="130">
        <v>23537.71081921368</v>
      </c>
      <c r="N79" s="130">
        <v>23537.71081921368</v>
      </c>
      <c r="O79" s="130">
        <v>23537.71081921368</v>
      </c>
      <c r="P79" s="130">
        <v>23537.71081921368</v>
      </c>
      <c r="Q79" s="130">
        <v>23537.71081921368</v>
      </c>
      <c r="R79" s="130">
        <v>23537.71081921368</v>
      </c>
      <c r="S79" s="130">
        <v>23537.71081921368</v>
      </c>
      <c r="T79" s="130">
        <v>23537.71081921368</v>
      </c>
      <c r="U79" s="130">
        <v>23537.71081921368</v>
      </c>
      <c r="V79" s="130">
        <v>23537.71081921368</v>
      </c>
      <c r="W79" s="130">
        <v>23537.71081921368</v>
      </c>
      <c r="X79" s="130">
        <v>23537.71081921368</v>
      </c>
      <c r="Y79" s="130">
        <v>23537.71081921368</v>
      </c>
      <c r="Z79" s="130">
        <v>23537.71081921368</v>
      </c>
      <c r="AA79" s="130">
        <v>23537.71081921368</v>
      </c>
      <c r="AB79" s="130">
        <v>23537.71081921368</v>
      </c>
      <c r="AC79" s="130">
        <v>23537.71081921368</v>
      </c>
      <c r="AD79" s="130">
        <v>23537.71081921368</v>
      </c>
      <c r="AE79" s="130">
        <v>23537.71081921368</v>
      </c>
      <c r="AF79" s="130">
        <v>23537.71081921368</v>
      </c>
      <c r="AG79" s="130">
        <v>23537.71081921368</v>
      </c>
      <c r="AH79" s="130">
        <v>23537.71081921368</v>
      </c>
      <c r="AI79" s="130">
        <v>23537.71081921368</v>
      </c>
    </row>
    <row r="80" spans="1:35">
      <c r="C80" s="30" t="s">
        <v>342</v>
      </c>
      <c r="D80" s="13">
        <v>0</v>
      </c>
      <c r="E80" s="13">
        <v>0</v>
      </c>
      <c r="F80" s="130">
        <v>0</v>
      </c>
      <c r="G80" s="130">
        <v>0</v>
      </c>
      <c r="H80" s="130">
        <v>0</v>
      </c>
      <c r="I80" s="130">
        <v>0</v>
      </c>
      <c r="J80" s="130">
        <v>0</v>
      </c>
      <c r="K80" s="130">
        <v>0</v>
      </c>
      <c r="L80" s="130">
        <v>0</v>
      </c>
      <c r="M80" s="130">
        <v>0</v>
      </c>
      <c r="N80" s="130">
        <v>0</v>
      </c>
      <c r="O80" s="130">
        <v>0</v>
      </c>
      <c r="P80" s="130">
        <v>0</v>
      </c>
      <c r="Q80" s="130">
        <v>0</v>
      </c>
      <c r="R80" s="130">
        <v>0</v>
      </c>
      <c r="S80" s="130">
        <v>0</v>
      </c>
      <c r="T80" s="130">
        <v>0</v>
      </c>
      <c r="U80" s="130">
        <v>0</v>
      </c>
      <c r="V80" s="130">
        <v>0</v>
      </c>
      <c r="W80" s="130">
        <v>0</v>
      </c>
      <c r="X80" s="130">
        <v>0</v>
      </c>
      <c r="Y80" s="130">
        <v>0</v>
      </c>
      <c r="Z80" s="130">
        <v>0</v>
      </c>
      <c r="AA80" s="130">
        <v>0</v>
      </c>
      <c r="AB80" s="130">
        <v>0</v>
      </c>
      <c r="AC80" s="130">
        <v>0</v>
      </c>
      <c r="AD80" s="130">
        <v>0</v>
      </c>
      <c r="AE80" s="130">
        <v>0</v>
      </c>
      <c r="AF80" s="130">
        <v>0</v>
      </c>
      <c r="AG80" s="130">
        <v>0</v>
      </c>
      <c r="AH80" s="130">
        <v>0</v>
      </c>
      <c r="AI80" s="130">
        <v>0</v>
      </c>
    </row>
    <row r="81" spans="1:35">
      <c r="C81" s="35" t="s">
        <v>343</v>
      </c>
      <c r="D81" s="13">
        <v>682593.61375719623</v>
      </c>
      <c r="E81" s="13">
        <v>283107.61041123368</v>
      </c>
      <c r="F81" s="18">
        <v>0</v>
      </c>
      <c r="G81" s="18">
        <v>23537.71081921368</v>
      </c>
      <c r="H81" s="18">
        <v>23537.71081921368</v>
      </c>
      <c r="I81" s="18">
        <v>23537.71081921368</v>
      </c>
      <c r="J81" s="18">
        <v>23537.71081921368</v>
      </c>
      <c r="K81" s="18">
        <v>23537.71081921368</v>
      </c>
      <c r="L81" s="18">
        <v>23537.71081921368</v>
      </c>
      <c r="M81" s="18">
        <v>23537.71081921368</v>
      </c>
      <c r="N81" s="18">
        <v>23537.71081921368</v>
      </c>
      <c r="O81" s="18">
        <v>23537.71081921368</v>
      </c>
      <c r="P81" s="18">
        <v>23537.71081921368</v>
      </c>
      <c r="Q81" s="18">
        <v>23537.71081921368</v>
      </c>
      <c r="R81" s="18">
        <v>23537.71081921368</v>
      </c>
      <c r="S81" s="18">
        <v>23537.71081921368</v>
      </c>
      <c r="T81" s="18">
        <v>23537.71081921368</v>
      </c>
      <c r="U81" s="18">
        <v>23537.71081921368</v>
      </c>
      <c r="V81" s="18">
        <v>23537.71081921368</v>
      </c>
      <c r="W81" s="18">
        <v>23537.71081921368</v>
      </c>
      <c r="X81" s="18">
        <v>23537.71081921368</v>
      </c>
      <c r="Y81" s="18">
        <v>23537.71081921368</v>
      </c>
      <c r="Z81" s="18">
        <v>23537.71081921368</v>
      </c>
      <c r="AA81" s="18">
        <v>23537.71081921368</v>
      </c>
      <c r="AB81" s="18">
        <v>23537.71081921368</v>
      </c>
      <c r="AC81" s="18">
        <v>23537.71081921368</v>
      </c>
      <c r="AD81" s="18">
        <v>23537.71081921368</v>
      </c>
      <c r="AE81" s="18">
        <v>23537.71081921368</v>
      </c>
      <c r="AF81" s="18">
        <v>23537.71081921368</v>
      </c>
      <c r="AG81" s="18">
        <v>23537.71081921368</v>
      </c>
      <c r="AH81" s="18">
        <v>23537.71081921368</v>
      </c>
      <c r="AI81" s="18">
        <v>23537.71081921368</v>
      </c>
    </row>
    <row r="84" spans="1:35" s="7" customFormat="1">
      <c r="A84" s="6"/>
      <c r="B84" s="6" t="s">
        <v>553</v>
      </c>
      <c r="C84" s="6"/>
    </row>
    <row r="86" spans="1:35">
      <c r="C86" s="14" t="s">
        <v>479</v>
      </c>
      <c r="D86" s="14" t="s">
        <v>325</v>
      </c>
      <c r="E86" s="14" t="s">
        <v>465</v>
      </c>
      <c r="F86" s="15">
        <v>2025</v>
      </c>
      <c r="G86" s="15">
        <v>2026</v>
      </c>
      <c r="H86" s="15">
        <v>2027</v>
      </c>
      <c r="I86" s="15">
        <v>2028</v>
      </c>
      <c r="J86" s="15">
        <v>2029</v>
      </c>
      <c r="K86" s="15">
        <v>2030</v>
      </c>
      <c r="L86" s="15">
        <v>2031</v>
      </c>
      <c r="M86" s="15">
        <v>2032</v>
      </c>
      <c r="N86" s="15">
        <v>2033</v>
      </c>
      <c r="O86" s="15">
        <v>2034</v>
      </c>
      <c r="P86" s="15">
        <v>2035</v>
      </c>
      <c r="Q86" s="15">
        <v>2036</v>
      </c>
      <c r="R86" s="15">
        <v>2037</v>
      </c>
      <c r="S86" s="15">
        <v>2038</v>
      </c>
      <c r="T86" s="15">
        <v>2039</v>
      </c>
      <c r="U86" s="15">
        <v>2040</v>
      </c>
      <c r="V86" s="15">
        <v>2041</v>
      </c>
      <c r="W86" s="15">
        <v>2042</v>
      </c>
      <c r="X86" s="15">
        <v>2043</v>
      </c>
      <c r="Y86" s="15">
        <v>2044</v>
      </c>
      <c r="Z86" s="15">
        <v>2045</v>
      </c>
      <c r="AA86" s="15">
        <v>2046</v>
      </c>
      <c r="AB86" s="15">
        <v>2047</v>
      </c>
      <c r="AC86" s="15">
        <v>2048</v>
      </c>
      <c r="AD86" s="15">
        <v>2049</v>
      </c>
      <c r="AE86" s="15">
        <v>2050</v>
      </c>
      <c r="AF86" s="15">
        <v>2051</v>
      </c>
      <c r="AG86" s="15">
        <v>2052</v>
      </c>
      <c r="AH86" s="15">
        <v>2053</v>
      </c>
      <c r="AI86" s="15">
        <v>2054</v>
      </c>
    </row>
    <row r="87" spans="1:35">
      <c r="C87" s="8" t="s">
        <v>554</v>
      </c>
      <c r="D87" s="13">
        <v>580195.35349801672</v>
      </c>
      <c r="E87" s="13">
        <v>240637.64557714152</v>
      </c>
      <c r="F87" s="16">
        <v>0</v>
      </c>
      <c r="G87" s="16">
        <v>20006.736327517814</v>
      </c>
      <c r="H87" s="16">
        <v>20006.736327517814</v>
      </c>
      <c r="I87" s="16">
        <v>20006.736327517814</v>
      </c>
      <c r="J87" s="16">
        <v>20006.736327517814</v>
      </c>
      <c r="K87" s="16">
        <v>20006.736327517814</v>
      </c>
      <c r="L87" s="16">
        <v>20006.736327517814</v>
      </c>
      <c r="M87" s="16">
        <v>20006.736327517814</v>
      </c>
      <c r="N87" s="16">
        <v>20006.736327517814</v>
      </c>
      <c r="O87" s="16">
        <v>20006.736327517814</v>
      </c>
      <c r="P87" s="16">
        <v>20006.736327517814</v>
      </c>
      <c r="Q87" s="16">
        <v>20006.736327517814</v>
      </c>
      <c r="R87" s="16">
        <v>20006.736327517814</v>
      </c>
      <c r="S87" s="16">
        <v>20006.736327517814</v>
      </c>
      <c r="T87" s="16">
        <v>20006.736327517814</v>
      </c>
      <c r="U87" s="16">
        <v>20006.736327517814</v>
      </c>
      <c r="V87" s="16">
        <v>20006.736327517814</v>
      </c>
      <c r="W87" s="16">
        <v>20006.736327517814</v>
      </c>
      <c r="X87" s="16">
        <v>20006.736327517814</v>
      </c>
      <c r="Y87" s="16">
        <v>20006.736327517814</v>
      </c>
      <c r="Z87" s="16">
        <v>20006.736327517814</v>
      </c>
      <c r="AA87" s="16">
        <v>20006.736327517814</v>
      </c>
      <c r="AB87" s="16">
        <v>20006.736327517814</v>
      </c>
      <c r="AC87" s="16">
        <v>20006.736327517814</v>
      </c>
      <c r="AD87" s="16">
        <v>20006.736327517814</v>
      </c>
      <c r="AE87" s="16">
        <v>20006.736327517814</v>
      </c>
      <c r="AF87" s="16">
        <v>20006.736327517814</v>
      </c>
      <c r="AG87" s="16">
        <v>20006.736327517814</v>
      </c>
      <c r="AH87" s="16">
        <v>20006.736327517814</v>
      </c>
      <c r="AI87" s="16">
        <v>20006.736327517814</v>
      </c>
    </row>
    <row r="90" spans="1:35" s="7" customFormat="1">
      <c r="A90" s="6"/>
      <c r="C90" s="6" t="s">
        <v>312</v>
      </c>
    </row>
    <row r="92" spans="1:35">
      <c r="C92" s="14" t="s">
        <v>312</v>
      </c>
      <c r="D92" s="14" t="s">
        <v>325</v>
      </c>
      <c r="E92" s="14" t="s">
        <v>465</v>
      </c>
      <c r="F92" s="15">
        <v>2025</v>
      </c>
      <c r="G92" s="15">
        <v>2026</v>
      </c>
      <c r="H92" s="15">
        <v>2027</v>
      </c>
      <c r="I92" s="15">
        <v>2028</v>
      </c>
      <c r="J92" s="15">
        <v>2029</v>
      </c>
      <c r="K92" s="15">
        <v>2030</v>
      </c>
      <c r="L92" s="15">
        <v>2031</v>
      </c>
      <c r="M92" s="15">
        <v>2032</v>
      </c>
      <c r="N92" s="15">
        <v>2033</v>
      </c>
      <c r="O92" s="15">
        <v>2034</v>
      </c>
      <c r="P92" s="15">
        <v>2035</v>
      </c>
      <c r="Q92" s="15">
        <v>2036</v>
      </c>
      <c r="R92" s="15">
        <v>2037</v>
      </c>
      <c r="S92" s="15">
        <v>2038</v>
      </c>
      <c r="T92" s="15">
        <v>2039</v>
      </c>
      <c r="U92" s="15">
        <v>2040</v>
      </c>
      <c r="V92" s="15">
        <v>2041</v>
      </c>
      <c r="W92" s="15">
        <v>2042</v>
      </c>
      <c r="X92" s="15">
        <v>2043</v>
      </c>
      <c r="Y92" s="15">
        <v>2044</v>
      </c>
      <c r="Z92" s="15">
        <v>2045</v>
      </c>
      <c r="AA92" s="15">
        <v>2046</v>
      </c>
      <c r="AB92" s="15">
        <v>2047</v>
      </c>
      <c r="AC92" s="15">
        <v>2048</v>
      </c>
      <c r="AD92" s="15">
        <v>2049</v>
      </c>
      <c r="AE92" s="15">
        <v>2050</v>
      </c>
      <c r="AF92" s="15">
        <v>2051</v>
      </c>
      <c r="AG92" s="15">
        <v>2052</v>
      </c>
      <c r="AH92" s="15">
        <v>2053</v>
      </c>
      <c r="AI92" s="15">
        <v>2054</v>
      </c>
    </row>
    <row r="93" spans="1:35">
      <c r="C93" s="10" t="s">
        <v>314</v>
      </c>
      <c r="D93" s="13">
        <v>0</v>
      </c>
      <c r="E93" s="13">
        <v>0</v>
      </c>
      <c r="F93" s="130">
        <v>0</v>
      </c>
      <c r="G93" s="135">
        <v>0</v>
      </c>
      <c r="H93" s="135">
        <v>0</v>
      </c>
      <c r="I93" s="135">
        <v>0</v>
      </c>
      <c r="J93" s="135">
        <v>0</v>
      </c>
      <c r="K93" s="135">
        <v>0</v>
      </c>
      <c r="L93" s="135">
        <v>0</v>
      </c>
      <c r="M93" s="135">
        <v>0</v>
      </c>
      <c r="N93" s="135">
        <v>0</v>
      </c>
      <c r="O93" s="135">
        <v>0</v>
      </c>
      <c r="P93" s="135">
        <v>0</v>
      </c>
      <c r="Q93" s="135">
        <v>0</v>
      </c>
      <c r="R93" s="135">
        <v>0</v>
      </c>
      <c r="S93" s="135">
        <v>0</v>
      </c>
      <c r="T93" s="135">
        <v>0</v>
      </c>
      <c r="U93" s="135">
        <v>0</v>
      </c>
      <c r="V93" s="135">
        <v>0</v>
      </c>
      <c r="W93" s="135">
        <v>0</v>
      </c>
      <c r="X93" s="135">
        <v>0</v>
      </c>
      <c r="Y93" s="135">
        <v>0</v>
      </c>
      <c r="Z93" s="135">
        <v>0</v>
      </c>
      <c r="AA93" s="135">
        <v>0</v>
      </c>
      <c r="AB93" s="135">
        <v>0</v>
      </c>
      <c r="AC93" s="135">
        <v>0</v>
      </c>
      <c r="AD93" s="135">
        <v>0</v>
      </c>
      <c r="AE93" s="135">
        <v>0</v>
      </c>
      <c r="AF93" s="135">
        <v>0</v>
      </c>
      <c r="AG93" s="135">
        <v>0</v>
      </c>
      <c r="AH93" s="135">
        <v>0</v>
      </c>
      <c r="AI93" s="135">
        <v>0</v>
      </c>
    </row>
    <row r="94" spans="1:35">
      <c r="C94" s="10" t="s">
        <v>315</v>
      </c>
      <c r="D94" s="13">
        <v>0</v>
      </c>
      <c r="E94" s="13">
        <v>0</v>
      </c>
      <c r="F94" s="130">
        <v>0</v>
      </c>
      <c r="G94" s="135">
        <v>0</v>
      </c>
      <c r="H94" s="135">
        <v>0</v>
      </c>
      <c r="I94" s="135">
        <v>0</v>
      </c>
      <c r="J94" s="135">
        <v>0</v>
      </c>
      <c r="K94" s="135">
        <v>0</v>
      </c>
      <c r="L94" s="135">
        <v>0</v>
      </c>
      <c r="M94" s="135">
        <v>0</v>
      </c>
      <c r="N94" s="135">
        <v>0</v>
      </c>
      <c r="O94" s="135">
        <v>0</v>
      </c>
      <c r="P94" s="135">
        <v>0</v>
      </c>
      <c r="Q94" s="135">
        <v>0</v>
      </c>
      <c r="R94" s="135">
        <v>0</v>
      </c>
      <c r="S94" s="135">
        <v>0</v>
      </c>
      <c r="T94" s="135">
        <v>0</v>
      </c>
      <c r="U94" s="135">
        <v>0</v>
      </c>
      <c r="V94" s="135">
        <v>0</v>
      </c>
      <c r="W94" s="135">
        <v>0</v>
      </c>
      <c r="X94" s="135">
        <v>0</v>
      </c>
      <c r="Y94" s="135">
        <v>0</v>
      </c>
      <c r="Z94" s="135">
        <v>0</v>
      </c>
      <c r="AA94" s="135">
        <v>0</v>
      </c>
      <c r="AB94" s="135">
        <v>0</v>
      </c>
      <c r="AC94" s="135">
        <v>0</v>
      </c>
      <c r="AD94" s="135">
        <v>0</v>
      </c>
      <c r="AE94" s="135">
        <v>0</v>
      </c>
      <c r="AF94" s="135">
        <v>0</v>
      </c>
      <c r="AG94" s="135">
        <v>0</v>
      </c>
      <c r="AH94" s="135">
        <v>0</v>
      </c>
      <c r="AI94" s="135">
        <v>0</v>
      </c>
    </row>
    <row r="95" spans="1:35">
      <c r="C95" s="10" t="s">
        <v>316</v>
      </c>
      <c r="D95" s="13">
        <v>0</v>
      </c>
      <c r="E95" s="13">
        <v>0</v>
      </c>
      <c r="F95" s="130">
        <v>0</v>
      </c>
      <c r="G95" s="135">
        <v>0</v>
      </c>
      <c r="H95" s="135">
        <v>0</v>
      </c>
      <c r="I95" s="135">
        <v>0</v>
      </c>
      <c r="J95" s="135">
        <v>0</v>
      </c>
      <c r="K95" s="135">
        <v>0</v>
      </c>
      <c r="L95" s="135">
        <v>0</v>
      </c>
      <c r="M95" s="135">
        <v>0</v>
      </c>
      <c r="N95" s="135">
        <v>0</v>
      </c>
      <c r="O95" s="135">
        <v>0</v>
      </c>
      <c r="P95" s="135">
        <v>0</v>
      </c>
      <c r="Q95" s="135">
        <v>0</v>
      </c>
      <c r="R95" s="135">
        <v>0</v>
      </c>
      <c r="S95" s="135">
        <v>0</v>
      </c>
      <c r="T95" s="135">
        <v>0</v>
      </c>
      <c r="U95" s="135">
        <v>0</v>
      </c>
      <c r="V95" s="135">
        <v>0</v>
      </c>
      <c r="W95" s="135">
        <v>0</v>
      </c>
      <c r="X95" s="135">
        <v>0</v>
      </c>
      <c r="Y95" s="135">
        <v>0</v>
      </c>
      <c r="Z95" s="135">
        <v>0</v>
      </c>
      <c r="AA95" s="135">
        <v>0</v>
      </c>
      <c r="AB95" s="135">
        <v>0</v>
      </c>
      <c r="AC95" s="135">
        <v>0</v>
      </c>
      <c r="AD95" s="135">
        <v>0</v>
      </c>
      <c r="AE95" s="135">
        <v>0</v>
      </c>
      <c r="AF95" s="135">
        <v>0</v>
      </c>
      <c r="AG95" s="135">
        <v>0</v>
      </c>
      <c r="AH95" s="135">
        <v>0</v>
      </c>
      <c r="AI95" s="135">
        <v>0</v>
      </c>
    </row>
    <row r="96" spans="1:35">
      <c r="C96" s="10" t="s">
        <v>317</v>
      </c>
      <c r="D96" s="13">
        <v>0</v>
      </c>
      <c r="E96" s="13">
        <v>0</v>
      </c>
      <c r="F96" s="130">
        <v>0</v>
      </c>
      <c r="G96" s="135">
        <v>0</v>
      </c>
      <c r="H96" s="135">
        <v>0</v>
      </c>
      <c r="I96" s="135">
        <v>0</v>
      </c>
      <c r="J96" s="135">
        <v>0</v>
      </c>
      <c r="K96" s="135">
        <v>0</v>
      </c>
      <c r="L96" s="135">
        <v>0</v>
      </c>
      <c r="M96" s="135">
        <v>0</v>
      </c>
      <c r="N96" s="135">
        <v>0</v>
      </c>
      <c r="O96" s="135">
        <v>0</v>
      </c>
      <c r="P96" s="135">
        <v>0</v>
      </c>
      <c r="Q96" s="135">
        <v>0</v>
      </c>
      <c r="R96" s="135">
        <v>0</v>
      </c>
      <c r="S96" s="135">
        <v>0</v>
      </c>
      <c r="T96" s="135">
        <v>0</v>
      </c>
      <c r="U96" s="135">
        <v>0</v>
      </c>
      <c r="V96" s="135">
        <v>0</v>
      </c>
      <c r="W96" s="135">
        <v>0</v>
      </c>
      <c r="X96" s="135">
        <v>0</v>
      </c>
      <c r="Y96" s="135">
        <v>0</v>
      </c>
      <c r="Z96" s="135">
        <v>0</v>
      </c>
      <c r="AA96" s="135">
        <v>0</v>
      </c>
      <c r="AB96" s="135">
        <v>0</v>
      </c>
      <c r="AC96" s="135">
        <v>0</v>
      </c>
      <c r="AD96" s="135">
        <v>0</v>
      </c>
      <c r="AE96" s="135">
        <v>0</v>
      </c>
      <c r="AF96" s="135">
        <v>0</v>
      </c>
      <c r="AG96" s="135">
        <v>0</v>
      </c>
      <c r="AH96" s="135">
        <v>0</v>
      </c>
      <c r="AI96" s="135">
        <v>0</v>
      </c>
    </row>
    <row r="97" spans="1:35">
      <c r="C97" s="10" t="s">
        <v>318</v>
      </c>
      <c r="D97" s="13">
        <v>0</v>
      </c>
      <c r="E97" s="13">
        <v>0</v>
      </c>
      <c r="F97" s="130">
        <v>0</v>
      </c>
      <c r="G97" s="135">
        <v>0</v>
      </c>
      <c r="H97" s="135">
        <v>0</v>
      </c>
      <c r="I97" s="135">
        <v>0</v>
      </c>
      <c r="J97" s="135">
        <v>0</v>
      </c>
      <c r="K97" s="135">
        <v>0</v>
      </c>
      <c r="L97" s="135">
        <v>0</v>
      </c>
      <c r="M97" s="135">
        <v>0</v>
      </c>
      <c r="N97" s="135">
        <v>0</v>
      </c>
      <c r="O97" s="135">
        <v>0</v>
      </c>
      <c r="P97" s="135">
        <v>0</v>
      </c>
      <c r="Q97" s="135">
        <v>0</v>
      </c>
      <c r="R97" s="135">
        <v>0</v>
      </c>
      <c r="S97" s="135">
        <v>0</v>
      </c>
      <c r="T97" s="135">
        <v>0</v>
      </c>
      <c r="U97" s="135">
        <v>0</v>
      </c>
      <c r="V97" s="135">
        <v>0</v>
      </c>
      <c r="W97" s="135">
        <v>0</v>
      </c>
      <c r="X97" s="135">
        <v>0</v>
      </c>
      <c r="Y97" s="135">
        <v>0</v>
      </c>
      <c r="Z97" s="135">
        <v>0</v>
      </c>
      <c r="AA97" s="135">
        <v>0</v>
      </c>
      <c r="AB97" s="135">
        <v>0</v>
      </c>
      <c r="AC97" s="135">
        <v>0</v>
      </c>
      <c r="AD97" s="135">
        <v>0</v>
      </c>
      <c r="AE97" s="135">
        <v>0</v>
      </c>
      <c r="AF97" s="135">
        <v>0</v>
      </c>
      <c r="AG97" s="135">
        <v>0</v>
      </c>
      <c r="AH97" s="135">
        <v>0</v>
      </c>
      <c r="AI97" s="135">
        <v>0</v>
      </c>
    </row>
    <row r="100" spans="1:35" s="7" customFormat="1">
      <c r="A100" s="6"/>
      <c r="C100" s="6" t="s">
        <v>246</v>
      </c>
    </row>
    <row r="101" spans="1:35">
      <c r="C101" s="36"/>
    </row>
    <row r="102" spans="1:35">
      <c r="C102" s="14" t="s">
        <v>246</v>
      </c>
      <c r="D102" s="14">
        <v>2054</v>
      </c>
    </row>
    <row r="103" spans="1:35">
      <c r="C103" s="4" t="s">
        <v>332</v>
      </c>
      <c r="D103" s="134">
        <v>0</v>
      </c>
    </row>
    <row r="104" spans="1:35">
      <c r="C104" s="36"/>
    </row>
    <row r="106" spans="1:35" s="22" customFormat="1">
      <c r="A106" s="21" t="s">
        <v>519</v>
      </c>
      <c r="C106" s="21"/>
    </row>
    <row r="108" spans="1:35">
      <c r="C108" s="39" t="s">
        <v>520</v>
      </c>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row>
    <row r="110" spans="1:35">
      <c r="C110" s="14" t="s">
        <v>335</v>
      </c>
      <c r="D110" s="14" t="s">
        <v>325</v>
      </c>
      <c r="E110" s="14" t="s">
        <v>465</v>
      </c>
      <c r="F110" s="15">
        <v>2025</v>
      </c>
      <c r="G110" s="15">
        <v>2026</v>
      </c>
      <c r="H110" s="15">
        <v>2027</v>
      </c>
      <c r="I110" s="15">
        <v>2028</v>
      </c>
      <c r="J110" s="15">
        <v>2029</v>
      </c>
      <c r="K110" s="15">
        <v>2030</v>
      </c>
      <c r="L110" s="15">
        <v>2031</v>
      </c>
      <c r="M110" s="15">
        <v>2032</v>
      </c>
      <c r="N110" s="15">
        <v>2033</v>
      </c>
      <c r="O110" s="15">
        <v>2034</v>
      </c>
      <c r="P110" s="15">
        <v>2035</v>
      </c>
      <c r="Q110" s="15">
        <v>2036</v>
      </c>
      <c r="R110" s="15">
        <v>2037</v>
      </c>
      <c r="S110" s="15">
        <v>2038</v>
      </c>
      <c r="T110" s="15">
        <v>2039</v>
      </c>
      <c r="U110" s="15">
        <v>2040</v>
      </c>
      <c r="V110" s="15">
        <v>2041</v>
      </c>
      <c r="W110" s="15">
        <v>2042</v>
      </c>
      <c r="X110" s="15">
        <v>2043</v>
      </c>
      <c r="Y110" s="15">
        <v>2044</v>
      </c>
      <c r="Z110" s="15">
        <v>2045</v>
      </c>
      <c r="AA110" s="15">
        <v>2046</v>
      </c>
      <c r="AB110" s="15">
        <v>2047</v>
      </c>
      <c r="AC110" s="15">
        <v>2048</v>
      </c>
      <c r="AD110" s="15">
        <v>2049</v>
      </c>
      <c r="AE110" s="15">
        <v>2050</v>
      </c>
      <c r="AF110" s="15">
        <v>2051</v>
      </c>
      <c r="AG110" s="15">
        <v>2052</v>
      </c>
      <c r="AH110" s="15">
        <v>2053</v>
      </c>
      <c r="AI110" s="15">
        <v>2054</v>
      </c>
    </row>
    <row r="111" spans="1:35">
      <c r="C111" s="26" t="s">
        <v>336</v>
      </c>
      <c r="D111" s="13">
        <v>9525000</v>
      </c>
      <c r="E111" s="13">
        <v>9525000</v>
      </c>
      <c r="F111" s="164">
        <v>9525000</v>
      </c>
      <c r="G111" s="164">
        <v>0</v>
      </c>
      <c r="H111" s="164">
        <v>0</v>
      </c>
      <c r="I111" s="164">
        <v>0</v>
      </c>
      <c r="J111" s="164">
        <v>0</v>
      </c>
      <c r="K111" s="164">
        <v>0</v>
      </c>
      <c r="L111" s="164">
        <v>0</v>
      </c>
      <c r="M111" s="164">
        <v>0</v>
      </c>
      <c r="N111" s="164">
        <v>0</v>
      </c>
      <c r="O111" s="164">
        <v>0</v>
      </c>
      <c r="P111" s="164">
        <v>0</v>
      </c>
      <c r="Q111" s="164">
        <v>0</v>
      </c>
      <c r="R111" s="164">
        <v>0</v>
      </c>
      <c r="S111" s="164">
        <v>0</v>
      </c>
      <c r="T111" s="164">
        <v>0</v>
      </c>
      <c r="U111" s="164">
        <v>0</v>
      </c>
      <c r="V111" s="164">
        <v>0</v>
      </c>
      <c r="W111" s="164">
        <v>0</v>
      </c>
      <c r="X111" s="164">
        <v>0</v>
      </c>
      <c r="Y111" s="164">
        <v>0</v>
      </c>
      <c r="Z111" s="164">
        <v>0</v>
      </c>
      <c r="AA111" s="164">
        <v>0</v>
      </c>
      <c r="AB111" s="164">
        <v>0</v>
      </c>
      <c r="AC111" s="164">
        <v>0</v>
      </c>
      <c r="AD111" s="164">
        <v>0</v>
      </c>
      <c r="AE111" s="164">
        <v>0</v>
      </c>
      <c r="AF111" s="164">
        <v>0</v>
      </c>
      <c r="AG111" s="164">
        <v>0</v>
      </c>
      <c r="AH111" s="164">
        <v>0</v>
      </c>
      <c r="AI111" s="164">
        <v>0</v>
      </c>
    </row>
    <row r="112" spans="1:35">
      <c r="C112" s="26" t="s">
        <v>301</v>
      </c>
      <c r="D112" s="11">
        <v>102398.2602591802</v>
      </c>
      <c r="E112" s="13">
        <v>42469.96483409225</v>
      </c>
      <c r="F112" s="164">
        <v>0</v>
      </c>
      <c r="G112" s="164">
        <v>3530.9744916958675</v>
      </c>
      <c r="H112" s="164">
        <v>3530.9744916958675</v>
      </c>
      <c r="I112" s="164">
        <v>3530.9744916958675</v>
      </c>
      <c r="J112" s="164">
        <v>3530.9744916958675</v>
      </c>
      <c r="K112" s="164">
        <v>3530.9744916958675</v>
      </c>
      <c r="L112" s="164">
        <v>3530.9744916958675</v>
      </c>
      <c r="M112" s="164">
        <v>3530.9744916958675</v>
      </c>
      <c r="N112" s="164">
        <v>3530.9744916958675</v>
      </c>
      <c r="O112" s="164">
        <v>3530.9744916958675</v>
      </c>
      <c r="P112" s="164">
        <v>3530.9744916958675</v>
      </c>
      <c r="Q112" s="164">
        <v>3530.9744916958675</v>
      </c>
      <c r="R112" s="164">
        <v>3530.9744916958675</v>
      </c>
      <c r="S112" s="164">
        <v>3530.9744916958675</v>
      </c>
      <c r="T112" s="164">
        <v>3530.9744916958675</v>
      </c>
      <c r="U112" s="164">
        <v>3530.9744916958675</v>
      </c>
      <c r="V112" s="164">
        <v>3530.9744916958675</v>
      </c>
      <c r="W112" s="164">
        <v>3530.9744916958675</v>
      </c>
      <c r="X112" s="164">
        <v>3530.9744916958675</v>
      </c>
      <c r="Y112" s="164">
        <v>3530.9744916958675</v>
      </c>
      <c r="Z112" s="164">
        <v>3530.9744916958675</v>
      </c>
      <c r="AA112" s="164">
        <v>3530.9744916958675</v>
      </c>
      <c r="AB112" s="164">
        <v>3530.9744916958675</v>
      </c>
      <c r="AC112" s="164">
        <v>3530.9744916958675</v>
      </c>
      <c r="AD112" s="164">
        <v>3530.9744916958675</v>
      </c>
      <c r="AE112" s="164">
        <v>3530.9744916958675</v>
      </c>
      <c r="AF112" s="164">
        <v>3530.9744916958675</v>
      </c>
      <c r="AG112" s="164">
        <v>3530.9744916958675</v>
      </c>
      <c r="AH112" s="164">
        <v>3530.9744916958675</v>
      </c>
      <c r="AI112" s="164">
        <v>3530.9744916958675</v>
      </c>
    </row>
    <row r="113" spans="3:35">
      <c r="C113" s="26" t="s">
        <v>337</v>
      </c>
      <c r="D113" s="11">
        <v>102398.2602591802</v>
      </c>
      <c r="E113" s="13">
        <v>42469.96483409225</v>
      </c>
      <c r="F113" s="161">
        <v>0</v>
      </c>
      <c r="G113" s="161">
        <v>3530.9744916958675</v>
      </c>
      <c r="H113" s="161">
        <v>3530.9744916958675</v>
      </c>
      <c r="I113" s="161">
        <v>3530.9744916958675</v>
      </c>
      <c r="J113" s="161">
        <v>3530.9744916958675</v>
      </c>
      <c r="K113" s="161">
        <v>3530.9744916958675</v>
      </c>
      <c r="L113" s="161">
        <v>3530.9744916958675</v>
      </c>
      <c r="M113" s="161">
        <v>3530.9744916958675</v>
      </c>
      <c r="N113" s="161">
        <v>3530.9744916958675</v>
      </c>
      <c r="O113" s="161">
        <v>3530.9744916958675</v>
      </c>
      <c r="P113" s="161">
        <v>3530.9744916958675</v>
      </c>
      <c r="Q113" s="161">
        <v>3530.9744916958675</v>
      </c>
      <c r="R113" s="161">
        <v>3530.9744916958675</v>
      </c>
      <c r="S113" s="161">
        <v>3530.9744916958675</v>
      </c>
      <c r="T113" s="161">
        <v>3530.9744916958675</v>
      </c>
      <c r="U113" s="161">
        <v>3530.9744916958675</v>
      </c>
      <c r="V113" s="161">
        <v>3530.9744916958675</v>
      </c>
      <c r="W113" s="161">
        <v>3530.9744916958675</v>
      </c>
      <c r="X113" s="161">
        <v>3530.9744916958675</v>
      </c>
      <c r="Y113" s="161">
        <v>3530.9744916958675</v>
      </c>
      <c r="Z113" s="161">
        <v>3530.9744916958675</v>
      </c>
      <c r="AA113" s="161">
        <v>3530.9744916958675</v>
      </c>
      <c r="AB113" s="161">
        <v>3530.9744916958675</v>
      </c>
      <c r="AC113" s="161">
        <v>3530.9744916958675</v>
      </c>
      <c r="AD113" s="161">
        <v>3530.9744916958675</v>
      </c>
      <c r="AE113" s="161">
        <v>3530.9744916958675</v>
      </c>
      <c r="AF113" s="161">
        <v>3530.9744916958675</v>
      </c>
      <c r="AG113" s="161">
        <v>3530.9744916958675</v>
      </c>
      <c r="AH113" s="161">
        <v>3530.9744916958675</v>
      </c>
      <c r="AI113" s="161">
        <v>3530.9744916958675</v>
      </c>
    </row>
    <row r="114" spans="3:35">
      <c r="C114" s="26" t="s">
        <v>521</v>
      </c>
      <c r="D114" s="11">
        <v>0</v>
      </c>
      <c r="E114" s="13">
        <v>0</v>
      </c>
      <c r="F114" s="161">
        <v>0</v>
      </c>
      <c r="G114" s="161">
        <v>0</v>
      </c>
      <c r="H114" s="161">
        <v>0</v>
      </c>
      <c r="I114" s="161">
        <v>0</v>
      </c>
      <c r="J114" s="161">
        <v>0</v>
      </c>
      <c r="K114" s="161">
        <v>0</v>
      </c>
      <c r="L114" s="161">
        <v>0</v>
      </c>
      <c r="M114" s="161">
        <v>0</v>
      </c>
      <c r="N114" s="161">
        <v>0</v>
      </c>
      <c r="O114" s="161">
        <v>0</v>
      </c>
      <c r="P114" s="161">
        <v>0</v>
      </c>
      <c r="Q114" s="161">
        <v>0</v>
      </c>
      <c r="R114" s="161">
        <v>0</v>
      </c>
      <c r="S114" s="161">
        <v>0</v>
      </c>
      <c r="T114" s="161">
        <v>0</v>
      </c>
      <c r="U114" s="161">
        <v>0</v>
      </c>
      <c r="V114" s="161">
        <v>0</v>
      </c>
      <c r="W114" s="161">
        <v>0</v>
      </c>
      <c r="X114" s="161">
        <v>0</v>
      </c>
      <c r="Y114" s="161">
        <v>0</v>
      </c>
      <c r="Z114" s="161">
        <v>0</v>
      </c>
      <c r="AA114" s="161">
        <v>0</v>
      </c>
      <c r="AB114" s="161">
        <v>0</v>
      </c>
      <c r="AC114" s="161">
        <v>0</v>
      </c>
      <c r="AD114" s="161">
        <v>0</v>
      </c>
      <c r="AE114" s="161">
        <v>0</v>
      </c>
      <c r="AF114" s="161">
        <v>0</v>
      </c>
      <c r="AG114" s="161">
        <v>0</v>
      </c>
      <c r="AH114" s="161">
        <v>0</v>
      </c>
      <c r="AI114" s="161">
        <v>0</v>
      </c>
    </row>
    <row r="115" spans="3:35">
      <c r="C115" s="26" t="s">
        <v>246</v>
      </c>
      <c r="D115" s="11">
        <v>0</v>
      </c>
      <c r="E115" s="13">
        <v>0</v>
      </c>
      <c r="F115" s="164">
        <v>0</v>
      </c>
      <c r="G115" s="164">
        <v>0</v>
      </c>
      <c r="H115" s="164">
        <v>0</v>
      </c>
      <c r="I115" s="164">
        <v>0</v>
      </c>
      <c r="J115" s="164">
        <v>0</v>
      </c>
      <c r="K115" s="164">
        <v>0</v>
      </c>
      <c r="L115" s="164">
        <v>0</v>
      </c>
      <c r="M115" s="164">
        <v>0</v>
      </c>
      <c r="N115" s="164">
        <v>0</v>
      </c>
      <c r="O115" s="164">
        <v>0</v>
      </c>
      <c r="P115" s="164">
        <v>0</v>
      </c>
      <c r="Q115" s="164">
        <v>0</v>
      </c>
      <c r="R115" s="164">
        <v>0</v>
      </c>
      <c r="S115" s="164">
        <v>0</v>
      </c>
      <c r="T115" s="164">
        <v>0</v>
      </c>
      <c r="U115" s="164">
        <v>0</v>
      </c>
      <c r="V115" s="164">
        <v>0</v>
      </c>
      <c r="W115" s="164">
        <v>0</v>
      </c>
      <c r="X115" s="164">
        <v>0</v>
      </c>
      <c r="Y115" s="164">
        <v>0</v>
      </c>
      <c r="Z115" s="164">
        <v>0</v>
      </c>
      <c r="AA115" s="164">
        <v>0</v>
      </c>
      <c r="AB115" s="164">
        <v>0</v>
      </c>
      <c r="AC115" s="164">
        <v>0</v>
      </c>
      <c r="AD115" s="164">
        <v>0</v>
      </c>
      <c r="AE115" s="164">
        <v>0</v>
      </c>
      <c r="AF115" s="164">
        <v>0</v>
      </c>
      <c r="AG115" s="164">
        <v>0</v>
      </c>
      <c r="AH115" s="164">
        <v>0</v>
      </c>
      <c r="AI115" s="164">
        <v>0</v>
      </c>
    </row>
    <row r="116" spans="3:35">
      <c r="C116" s="26" t="s">
        <v>288</v>
      </c>
      <c r="D116" s="11">
        <v>9627398.2602591533</v>
      </c>
      <c r="E116" s="13">
        <v>9567469.9648340922</v>
      </c>
      <c r="F116" s="164">
        <v>9525000</v>
      </c>
      <c r="G116" s="164">
        <v>3530.9744916958675</v>
      </c>
      <c r="H116" s="164">
        <v>3530.9744916958675</v>
      </c>
      <c r="I116" s="164">
        <v>3530.9744916958675</v>
      </c>
      <c r="J116" s="164">
        <v>3530.9744916958675</v>
      </c>
      <c r="K116" s="164">
        <v>3530.9744916958675</v>
      </c>
      <c r="L116" s="164">
        <v>3530.9744916958675</v>
      </c>
      <c r="M116" s="164">
        <v>3530.9744916958675</v>
      </c>
      <c r="N116" s="164">
        <v>3530.9744916958675</v>
      </c>
      <c r="O116" s="164">
        <v>3530.9744916958675</v>
      </c>
      <c r="P116" s="164">
        <v>3530.9744916958675</v>
      </c>
      <c r="Q116" s="164">
        <v>3530.9744916958675</v>
      </c>
      <c r="R116" s="164">
        <v>3530.9744916958675</v>
      </c>
      <c r="S116" s="164">
        <v>3530.9744916958675</v>
      </c>
      <c r="T116" s="164">
        <v>3530.9744916958675</v>
      </c>
      <c r="U116" s="164">
        <v>3530.9744916958675</v>
      </c>
      <c r="V116" s="164">
        <v>3530.9744916958675</v>
      </c>
      <c r="W116" s="164">
        <v>3530.9744916958675</v>
      </c>
      <c r="X116" s="164">
        <v>3530.9744916958675</v>
      </c>
      <c r="Y116" s="164">
        <v>3530.9744916958675</v>
      </c>
      <c r="Z116" s="164">
        <v>3530.9744916958675</v>
      </c>
      <c r="AA116" s="164">
        <v>3530.9744916958675</v>
      </c>
      <c r="AB116" s="164">
        <v>3530.9744916958675</v>
      </c>
      <c r="AC116" s="164">
        <v>3530.9744916958675</v>
      </c>
      <c r="AD116" s="164">
        <v>3530.9744916958675</v>
      </c>
      <c r="AE116" s="164">
        <v>3530.9744916958675</v>
      </c>
      <c r="AF116" s="164">
        <v>3530.9744916958675</v>
      </c>
      <c r="AG116" s="164">
        <v>3530.9744916958675</v>
      </c>
      <c r="AH116" s="164">
        <v>3530.9744916958675</v>
      </c>
      <c r="AI116" s="164">
        <v>3530.9744916958675</v>
      </c>
    </row>
    <row r="119" spans="3:35">
      <c r="C119" s="39" t="s">
        <v>522</v>
      </c>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row>
    <row r="121" spans="3:35">
      <c r="C121" s="14" t="s">
        <v>344</v>
      </c>
      <c r="D121" s="14" t="s">
        <v>325</v>
      </c>
      <c r="E121" s="14" t="s">
        <v>465</v>
      </c>
      <c r="F121" s="15">
        <v>2025</v>
      </c>
      <c r="G121" s="15">
        <v>2026</v>
      </c>
      <c r="H121" s="15">
        <v>2027</v>
      </c>
      <c r="I121" s="15">
        <v>2028</v>
      </c>
      <c r="J121" s="15">
        <v>2029</v>
      </c>
      <c r="K121" s="15">
        <v>2030</v>
      </c>
      <c r="L121" s="15">
        <v>2031</v>
      </c>
      <c r="M121" s="15">
        <v>2032</v>
      </c>
      <c r="N121" s="15">
        <v>2033</v>
      </c>
      <c r="O121" s="15">
        <v>2034</v>
      </c>
      <c r="P121" s="15">
        <v>2035</v>
      </c>
      <c r="Q121" s="15">
        <v>2036</v>
      </c>
      <c r="R121" s="15">
        <v>2037</v>
      </c>
      <c r="S121" s="15">
        <v>2038</v>
      </c>
      <c r="T121" s="15">
        <v>2039</v>
      </c>
      <c r="U121" s="15">
        <v>2040</v>
      </c>
      <c r="V121" s="15">
        <v>2041</v>
      </c>
      <c r="W121" s="15">
        <v>2042</v>
      </c>
      <c r="X121" s="15">
        <v>2043</v>
      </c>
      <c r="Y121" s="15">
        <v>2044</v>
      </c>
      <c r="Z121" s="15">
        <v>2045</v>
      </c>
      <c r="AA121" s="15">
        <v>2046</v>
      </c>
      <c r="AB121" s="15">
        <v>2047</v>
      </c>
      <c r="AC121" s="15">
        <v>2048</v>
      </c>
      <c r="AD121" s="15">
        <v>2049</v>
      </c>
      <c r="AE121" s="15">
        <v>2050</v>
      </c>
      <c r="AF121" s="15">
        <v>2051</v>
      </c>
      <c r="AG121" s="15">
        <v>2052</v>
      </c>
      <c r="AH121" s="15">
        <v>2053</v>
      </c>
      <c r="AI121" s="15">
        <v>2054</v>
      </c>
    </row>
    <row r="122" spans="3:35">
      <c r="C122" s="26" t="s">
        <v>345</v>
      </c>
      <c r="D122" s="11">
        <v>9525000</v>
      </c>
      <c r="E122" s="11">
        <v>9525000</v>
      </c>
      <c r="F122" s="16">
        <v>9525000</v>
      </c>
      <c r="G122" s="16">
        <v>0</v>
      </c>
      <c r="H122" s="16">
        <v>0</v>
      </c>
      <c r="I122" s="16">
        <v>0</v>
      </c>
      <c r="J122" s="16">
        <v>0</v>
      </c>
      <c r="K122" s="16">
        <v>0</v>
      </c>
      <c r="L122" s="16">
        <v>0</v>
      </c>
      <c r="M122" s="16">
        <v>0</v>
      </c>
      <c r="N122" s="16">
        <v>0</v>
      </c>
      <c r="O122" s="16">
        <v>0</v>
      </c>
      <c r="P122" s="16">
        <v>0</v>
      </c>
      <c r="Q122" s="16">
        <v>0</v>
      </c>
      <c r="R122" s="16">
        <v>0</v>
      </c>
      <c r="S122" s="16">
        <v>0</v>
      </c>
      <c r="T122" s="16">
        <v>0</v>
      </c>
      <c r="U122" s="16">
        <v>0</v>
      </c>
      <c r="V122" s="16">
        <v>0</v>
      </c>
      <c r="W122" s="16">
        <v>0</v>
      </c>
      <c r="X122" s="16">
        <v>0</v>
      </c>
      <c r="Y122" s="16">
        <v>0</v>
      </c>
      <c r="Z122" s="16">
        <v>0</v>
      </c>
      <c r="AA122" s="16">
        <v>0</v>
      </c>
      <c r="AB122" s="16">
        <v>0</v>
      </c>
      <c r="AC122" s="16">
        <v>0</v>
      </c>
      <c r="AD122" s="16">
        <v>0</v>
      </c>
      <c r="AE122" s="16">
        <v>0</v>
      </c>
      <c r="AF122" s="16">
        <v>0</v>
      </c>
      <c r="AG122" s="16">
        <v>0</v>
      </c>
      <c r="AH122" s="16">
        <v>0</v>
      </c>
      <c r="AI122" s="16">
        <v>0</v>
      </c>
    </row>
    <row r="123" spans="3:35">
      <c r="C123" s="26" t="s">
        <v>346</v>
      </c>
      <c r="D123" s="11">
        <v>102398.2602591802</v>
      </c>
      <c r="E123" s="11">
        <v>42469.96483409225</v>
      </c>
      <c r="F123" s="16">
        <v>0</v>
      </c>
      <c r="G123" s="16">
        <v>3530.9744916958675</v>
      </c>
      <c r="H123" s="16">
        <v>3530.9744916958675</v>
      </c>
      <c r="I123" s="16">
        <v>3530.9744916958675</v>
      </c>
      <c r="J123" s="16">
        <v>3530.9744916958675</v>
      </c>
      <c r="K123" s="16">
        <v>3530.9744916958675</v>
      </c>
      <c r="L123" s="16">
        <v>3530.9744916958675</v>
      </c>
      <c r="M123" s="16">
        <v>3530.9744916958675</v>
      </c>
      <c r="N123" s="16">
        <v>3530.9744916958675</v>
      </c>
      <c r="O123" s="16">
        <v>3530.9744916958675</v>
      </c>
      <c r="P123" s="16">
        <v>3530.9744916958675</v>
      </c>
      <c r="Q123" s="16">
        <v>3530.9744916958675</v>
      </c>
      <c r="R123" s="16">
        <v>3530.9744916958675</v>
      </c>
      <c r="S123" s="16">
        <v>3530.9744916958675</v>
      </c>
      <c r="T123" s="16">
        <v>3530.9744916958675</v>
      </c>
      <c r="U123" s="16">
        <v>3530.9744916958675</v>
      </c>
      <c r="V123" s="16">
        <v>3530.9744916958675</v>
      </c>
      <c r="W123" s="16">
        <v>3530.9744916958675</v>
      </c>
      <c r="X123" s="16">
        <v>3530.9744916958675</v>
      </c>
      <c r="Y123" s="16">
        <v>3530.9744916958675</v>
      </c>
      <c r="Z123" s="16">
        <v>3530.9744916958675</v>
      </c>
      <c r="AA123" s="16">
        <v>3530.9744916958675</v>
      </c>
      <c r="AB123" s="16">
        <v>3530.9744916958675</v>
      </c>
      <c r="AC123" s="16">
        <v>3530.9744916958675</v>
      </c>
      <c r="AD123" s="16">
        <v>3530.9744916958675</v>
      </c>
      <c r="AE123" s="16">
        <v>3530.9744916958675</v>
      </c>
      <c r="AF123" s="16">
        <v>3530.9744916958675</v>
      </c>
      <c r="AG123" s="16">
        <v>3530.9744916958675</v>
      </c>
      <c r="AH123" s="16">
        <v>3530.9744916958675</v>
      </c>
      <c r="AI123" s="16">
        <v>3530.9744916958675</v>
      </c>
    </row>
    <row r="124" spans="3:35">
      <c r="C124" s="26" t="s">
        <v>349</v>
      </c>
      <c r="D124" s="11">
        <v>9627398.2602591533</v>
      </c>
      <c r="E124" s="11">
        <v>9567469.9648340922</v>
      </c>
      <c r="F124" s="16">
        <v>9525000</v>
      </c>
      <c r="G124" s="16">
        <v>3530.9744916958675</v>
      </c>
      <c r="H124" s="16">
        <v>3530.9744916958675</v>
      </c>
      <c r="I124" s="16">
        <v>3530.9744916958675</v>
      </c>
      <c r="J124" s="16">
        <v>3530.9744916958675</v>
      </c>
      <c r="K124" s="16">
        <v>3530.9744916958675</v>
      </c>
      <c r="L124" s="16">
        <v>3530.9744916958675</v>
      </c>
      <c r="M124" s="16">
        <v>3530.9744916958675</v>
      </c>
      <c r="N124" s="16">
        <v>3530.9744916958675</v>
      </c>
      <c r="O124" s="16">
        <v>3530.9744916958675</v>
      </c>
      <c r="P124" s="16">
        <v>3530.9744916958675</v>
      </c>
      <c r="Q124" s="16">
        <v>3530.9744916958675</v>
      </c>
      <c r="R124" s="16">
        <v>3530.9744916958675</v>
      </c>
      <c r="S124" s="16">
        <v>3530.9744916958675</v>
      </c>
      <c r="T124" s="16">
        <v>3530.9744916958675</v>
      </c>
      <c r="U124" s="16">
        <v>3530.9744916958675</v>
      </c>
      <c r="V124" s="16">
        <v>3530.9744916958675</v>
      </c>
      <c r="W124" s="16">
        <v>3530.9744916958675</v>
      </c>
      <c r="X124" s="16">
        <v>3530.9744916958675</v>
      </c>
      <c r="Y124" s="16">
        <v>3530.9744916958675</v>
      </c>
      <c r="Z124" s="16">
        <v>3530.9744916958675</v>
      </c>
      <c r="AA124" s="16">
        <v>3530.9744916958675</v>
      </c>
      <c r="AB124" s="16">
        <v>3530.9744916958675</v>
      </c>
      <c r="AC124" s="16">
        <v>3530.9744916958675</v>
      </c>
      <c r="AD124" s="16">
        <v>3530.9744916958675</v>
      </c>
      <c r="AE124" s="16">
        <v>3530.9744916958675</v>
      </c>
      <c r="AF124" s="16">
        <v>3530.9744916958675</v>
      </c>
      <c r="AG124" s="16">
        <v>3530.9744916958675</v>
      </c>
      <c r="AH124" s="16">
        <v>3530.9744916958675</v>
      </c>
      <c r="AI124" s="16">
        <v>3530.9744916958675</v>
      </c>
    </row>
    <row r="125" spans="3:35">
      <c r="C125" s="26" t="s">
        <v>350</v>
      </c>
      <c r="D125" s="11">
        <v>682593.61375719623</v>
      </c>
      <c r="E125" s="11">
        <v>283107.61041123368</v>
      </c>
      <c r="F125" s="16">
        <v>0</v>
      </c>
      <c r="G125" s="16">
        <v>23537.71081921368</v>
      </c>
      <c r="H125" s="16">
        <v>23537.71081921368</v>
      </c>
      <c r="I125" s="16">
        <v>23537.71081921368</v>
      </c>
      <c r="J125" s="16">
        <v>23537.71081921368</v>
      </c>
      <c r="K125" s="16">
        <v>23537.71081921368</v>
      </c>
      <c r="L125" s="16">
        <v>23537.71081921368</v>
      </c>
      <c r="M125" s="16">
        <v>23537.71081921368</v>
      </c>
      <c r="N125" s="16">
        <v>23537.71081921368</v>
      </c>
      <c r="O125" s="16">
        <v>23537.71081921368</v>
      </c>
      <c r="P125" s="16">
        <v>23537.71081921368</v>
      </c>
      <c r="Q125" s="16">
        <v>23537.71081921368</v>
      </c>
      <c r="R125" s="16">
        <v>23537.71081921368</v>
      </c>
      <c r="S125" s="16">
        <v>23537.71081921368</v>
      </c>
      <c r="T125" s="16">
        <v>23537.71081921368</v>
      </c>
      <c r="U125" s="16">
        <v>23537.71081921368</v>
      </c>
      <c r="V125" s="16">
        <v>23537.71081921368</v>
      </c>
      <c r="W125" s="16">
        <v>23537.71081921368</v>
      </c>
      <c r="X125" s="16">
        <v>23537.71081921368</v>
      </c>
      <c r="Y125" s="16">
        <v>23537.71081921368</v>
      </c>
      <c r="Z125" s="16">
        <v>23537.71081921368</v>
      </c>
      <c r="AA125" s="16">
        <v>23537.71081921368</v>
      </c>
      <c r="AB125" s="16">
        <v>23537.71081921368</v>
      </c>
      <c r="AC125" s="16">
        <v>23537.71081921368</v>
      </c>
      <c r="AD125" s="16">
        <v>23537.71081921368</v>
      </c>
      <c r="AE125" s="16">
        <v>23537.71081921368</v>
      </c>
      <c r="AF125" s="16">
        <v>23537.71081921368</v>
      </c>
      <c r="AG125" s="16">
        <v>23537.71081921368</v>
      </c>
      <c r="AH125" s="16">
        <v>23537.71081921368</v>
      </c>
      <c r="AI125" s="16">
        <v>23537.71081921368</v>
      </c>
    </row>
    <row r="126" spans="3:35">
      <c r="C126" s="26" t="s">
        <v>351</v>
      </c>
      <c r="D126" s="11">
        <v>682593.61375719623</v>
      </c>
      <c r="E126" s="11">
        <v>283107.61041123368</v>
      </c>
      <c r="F126" s="16">
        <v>0</v>
      </c>
      <c r="G126" s="16">
        <v>23537.71081921368</v>
      </c>
      <c r="H126" s="16">
        <v>23537.71081921368</v>
      </c>
      <c r="I126" s="16">
        <v>23537.71081921368</v>
      </c>
      <c r="J126" s="16">
        <v>23537.71081921368</v>
      </c>
      <c r="K126" s="16">
        <v>23537.71081921368</v>
      </c>
      <c r="L126" s="16">
        <v>23537.71081921368</v>
      </c>
      <c r="M126" s="16">
        <v>23537.71081921368</v>
      </c>
      <c r="N126" s="16">
        <v>23537.71081921368</v>
      </c>
      <c r="O126" s="16">
        <v>23537.71081921368</v>
      </c>
      <c r="P126" s="16">
        <v>23537.71081921368</v>
      </c>
      <c r="Q126" s="16">
        <v>23537.71081921368</v>
      </c>
      <c r="R126" s="16">
        <v>23537.71081921368</v>
      </c>
      <c r="S126" s="16">
        <v>23537.71081921368</v>
      </c>
      <c r="T126" s="16">
        <v>23537.71081921368</v>
      </c>
      <c r="U126" s="16">
        <v>23537.71081921368</v>
      </c>
      <c r="V126" s="16">
        <v>23537.71081921368</v>
      </c>
      <c r="W126" s="16">
        <v>23537.71081921368</v>
      </c>
      <c r="X126" s="16">
        <v>23537.71081921368</v>
      </c>
      <c r="Y126" s="16">
        <v>23537.71081921368</v>
      </c>
      <c r="Z126" s="16">
        <v>23537.71081921368</v>
      </c>
      <c r="AA126" s="16">
        <v>23537.71081921368</v>
      </c>
      <c r="AB126" s="16">
        <v>23537.71081921368</v>
      </c>
      <c r="AC126" s="16">
        <v>23537.71081921368</v>
      </c>
      <c r="AD126" s="16">
        <v>23537.71081921368</v>
      </c>
      <c r="AE126" s="16">
        <v>23537.71081921368</v>
      </c>
      <c r="AF126" s="16">
        <v>23537.71081921368</v>
      </c>
      <c r="AG126" s="16">
        <v>23537.71081921368</v>
      </c>
      <c r="AH126" s="16">
        <v>23537.71081921368</v>
      </c>
      <c r="AI126" s="16">
        <v>23537.71081921368</v>
      </c>
    </row>
    <row r="127" spans="3:35">
      <c r="C127" s="26" t="s">
        <v>352</v>
      </c>
      <c r="D127" s="11">
        <v>0</v>
      </c>
      <c r="E127" s="11">
        <v>0</v>
      </c>
      <c r="F127" s="16">
        <v>0</v>
      </c>
      <c r="G127" s="16">
        <v>0</v>
      </c>
      <c r="H127" s="16">
        <v>0</v>
      </c>
      <c r="I127" s="16">
        <v>0</v>
      </c>
      <c r="J127" s="16">
        <v>0</v>
      </c>
      <c r="K127" s="16">
        <v>0</v>
      </c>
      <c r="L127" s="16">
        <v>0</v>
      </c>
      <c r="M127" s="16">
        <v>0</v>
      </c>
      <c r="N127" s="16">
        <v>0</v>
      </c>
      <c r="O127" s="16">
        <v>0</v>
      </c>
      <c r="P127" s="16">
        <v>0</v>
      </c>
      <c r="Q127" s="16">
        <v>0</v>
      </c>
      <c r="R127" s="16">
        <v>0</v>
      </c>
      <c r="S127" s="16">
        <v>0</v>
      </c>
      <c r="T127" s="16">
        <v>0</v>
      </c>
      <c r="U127" s="16">
        <v>0</v>
      </c>
      <c r="V127" s="16">
        <v>0</v>
      </c>
      <c r="W127" s="16">
        <v>0</v>
      </c>
      <c r="X127" s="16">
        <v>0</v>
      </c>
      <c r="Y127" s="16">
        <v>0</v>
      </c>
      <c r="Z127" s="16">
        <v>0</v>
      </c>
      <c r="AA127" s="16">
        <v>0</v>
      </c>
      <c r="AB127" s="16">
        <v>0</v>
      </c>
      <c r="AC127" s="16">
        <v>0</v>
      </c>
      <c r="AD127" s="16">
        <v>0</v>
      </c>
      <c r="AE127" s="16">
        <v>0</v>
      </c>
      <c r="AF127" s="16">
        <v>0</v>
      </c>
      <c r="AG127" s="16">
        <v>0</v>
      </c>
      <c r="AH127" s="16">
        <v>0</v>
      </c>
      <c r="AI127" s="16">
        <v>0</v>
      </c>
    </row>
    <row r="128" spans="3:35">
      <c r="C128" s="27" t="s">
        <v>353</v>
      </c>
      <c r="D128" s="13">
        <v>-8944804.6465019844</v>
      </c>
      <c r="E128" s="13">
        <v>-9284362.354422858</v>
      </c>
      <c r="F128" s="16">
        <v>-9525000</v>
      </c>
      <c r="G128" s="16">
        <v>20006.736327517814</v>
      </c>
      <c r="H128" s="16">
        <v>20006.736327517814</v>
      </c>
      <c r="I128" s="16">
        <v>20006.736327517814</v>
      </c>
      <c r="J128" s="16">
        <v>20006.736327517814</v>
      </c>
      <c r="K128" s="16">
        <v>20006.736327517814</v>
      </c>
      <c r="L128" s="16">
        <v>20006.736327517814</v>
      </c>
      <c r="M128" s="16">
        <v>20006.736327517814</v>
      </c>
      <c r="N128" s="16">
        <v>20006.736327517814</v>
      </c>
      <c r="O128" s="16">
        <v>20006.736327517814</v>
      </c>
      <c r="P128" s="16">
        <v>20006.736327517814</v>
      </c>
      <c r="Q128" s="16">
        <v>20006.736327517814</v>
      </c>
      <c r="R128" s="16">
        <v>20006.736327517814</v>
      </c>
      <c r="S128" s="16">
        <v>20006.736327517814</v>
      </c>
      <c r="T128" s="16">
        <v>20006.736327517814</v>
      </c>
      <c r="U128" s="16">
        <v>20006.736327517814</v>
      </c>
      <c r="V128" s="16">
        <v>20006.736327517814</v>
      </c>
      <c r="W128" s="16">
        <v>20006.736327517814</v>
      </c>
      <c r="X128" s="16">
        <v>20006.736327517814</v>
      </c>
      <c r="Y128" s="16">
        <v>20006.736327517814</v>
      </c>
      <c r="Z128" s="16">
        <v>20006.736327517814</v>
      </c>
      <c r="AA128" s="16">
        <v>20006.736327517814</v>
      </c>
      <c r="AB128" s="16">
        <v>20006.736327517814</v>
      </c>
      <c r="AC128" s="16">
        <v>20006.736327517814</v>
      </c>
      <c r="AD128" s="16">
        <v>20006.736327517814</v>
      </c>
      <c r="AE128" s="16">
        <v>20006.736327517814</v>
      </c>
      <c r="AF128" s="16">
        <v>20006.736327517814</v>
      </c>
      <c r="AG128" s="16">
        <v>20006.736327517814</v>
      </c>
      <c r="AH128" s="16">
        <v>20006.736327517814</v>
      </c>
      <c r="AI128" s="16">
        <v>20006.736327517814</v>
      </c>
    </row>
    <row r="129" spans="3:35">
      <c r="C129" s="26" t="s">
        <v>354</v>
      </c>
      <c r="D129" s="28">
        <v>-9284362.354422858</v>
      </c>
    </row>
    <row r="130" spans="3:35">
      <c r="C130" s="26" t="s">
        <v>355</v>
      </c>
      <c r="D130" s="29">
        <v>-0.1339618686889279</v>
      </c>
    </row>
    <row r="133" spans="3:35">
      <c r="C133" s="39" t="s">
        <v>523</v>
      </c>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row>
    <row r="135" spans="3:35">
      <c r="C135" s="14" t="s">
        <v>335</v>
      </c>
      <c r="D135" s="14" t="s">
        <v>524</v>
      </c>
      <c r="E135" s="14" t="s">
        <v>514</v>
      </c>
      <c r="F135" s="14" t="s">
        <v>525</v>
      </c>
    </row>
    <row r="136" spans="3:35">
      <c r="C136" s="30" t="s">
        <v>526</v>
      </c>
      <c r="D136" s="31"/>
      <c r="E136" s="11">
        <v>9525000</v>
      </c>
      <c r="F136" s="11">
        <v>23812.5</v>
      </c>
    </row>
    <row r="137" spans="3:35">
      <c r="C137" s="30" t="s">
        <v>555</v>
      </c>
      <c r="D137" s="31"/>
      <c r="E137" s="11">
        <v>240637.64557714152</v>
      </c>
      <c r="F137" s="11">
        <v>601.59411394285382</v>
      </c>
    </row>
    <row r="138" spans="3:35">
      <c r="C138" s="30" t="s">
        <v>556</v>
      </c>
      <c r="D138" s="138">
        <v>0.97473620518875148</v>
      </c>
      <c r="E138" s="31"/>
      <c r="F138" s="31"/>
    </row>
    <row r="139" spans="3:35">
      <c r="C139" s="30" t="s">
        <v>530</v>
      </c>
      <c r="D139" s="31"/>
      <c r="E139" s="11">
        <v>9525000</v>
      </c>
      <c r="F139" s="11">
        <v>23812.5</v>
      </c>
    </row>
    <row r="140" spans="3:35">
      <c r="C140" s="30" t="s">
        <v>531</v>
      </c>
      <c r="D140" s="31"/>
      <c r="E140" s="11">
        <v>0</v>
      </c>
      <c r="F140" s="11">
        <v>0</v>
      </c>
    </row>
    <row r="141" spans="3:35">
      <c r="C141" s="30" t="s">
        <v>557</v>
      </c>
      <c r="D141" s="32"/>
      <c r="E141" s="11">
        <v>9284362.354422858</v>
      </c>
      <c r="F141" s="11">
        <v>23210.905886057146</v>
      </c>
    </row>
    <row r="142" spans="3:35">
      <c r="C142" s="30" t="s">
        <v>118</v>
      </c>
      <c r="D142" s="138">
        <v>0.83</v>
      </c>
      <c r="E142" s="31"/>
      <c r="F142" s="31"/>
    </row>
    <row r="143" spans="3:35">
      <c r="C143" s="30" t="s">
        <v>119</v>
      </c>
      <c r="D143" s="138">
        <v>0.17000000000000004</v>
      </c>
      <c r="E143" s="31"/>
      <c r="F143" s="31"/>
    </row>
    <row r="144" spans="3:35">
      <c r="C144" s="30" t="s">
        <v>533</v>
      </c>
      <c r="D144" s="31"/>
      <c r="E144" s="11">
        <v>7706020.7541709719</v>
      </c>
      <c r="F144" s="11">
        <v>19265.051885427431</v>
      </c>
    </row>
    <row r="145" spans="3:35">
      <c r="C145" s="30" t="s">
        <v>534</v>
      </c>
      <c r="D145" s="31"/>
      <c r="E145" s="11">
        <v>1578341.6002518863</v>
      </c>
      <c r="F145" s="11">
        <v>3945.8540006297158</v>
      </c>
    </row>
    <row r="146" spans="3:35">
      <c r="C146" s="30" t="s">
        <v>535</v>
      </c>
      <c r="D146" s="32"/>
      <c r="E146" s="11">
        <v>240637.64557714202</v>
      </c>
      <c r="F146" s="11">
        <v>601.59411394285507</v>
      </c>
    </row>
    <row r="147" spans="3:35">
      <c r="C147" s="30" t="s">
        <v>536</v>
      </c>
      <c r="D147" s="32"/>
      <c r="E147" s="11">
        <v>1818979.2458290283</v>
      </c>
      <c r="F147" s="11">
        <v>4547.4481145725704</v>
      </c>
    </row>
    <row r="150" spans="3:35">
      <c r="C150" s="39" t="s">
        <v>537</v>
      </c>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3" spans="3:35">
      <c r="C153" s="14" t="s">
        <v>370</v>
      </c>
      <c r="D153" s="14">
        <v>2025</v>
      </c>
      <c r="E153" s="14">
        <v>2026</v>
      </c>
      <c r="F153" s="14">
        <v>2027</v>
      </c>
      <c r="G153" s="14">
        <v>2028</v>
      </c>
      <c r="H153" s="14">
        <v>2029</v>
      </c>
      <c r="I153" s="14">
        <v>2030</v>
      </c>
      <c r="J153" s="14">
        <v>2031</v>
      </c>
      <c r="K153" s="14">
        <v>2032</v>
      </c>
      <c r="L153" s="14">
        <v>2033</v>
      </c>
      <c r="M153" s="14">
        <v>2034</v>
      </c>
      <c r="N153" s="14">
        <v>2035</v>
      </c>
      <c r="O153" s="14">
        <v>2036</v>
      </c>
      <c r="P153" s="14">
        <v>2037</v>
      </c>
      <c r="Q153" s="14">
        <v>2038</v>
      </c>
      <c r="R153" s="14">
        <v>2039</v>
      </c>
      <c r="S153" s="14">
        <v>2040</v>
      </c>
      <c r="T153" s="14">
        <v>2041</v>
      </c>
      <c r="U153" s="14">
        <v>2042</v>
      </c>
      <c r="V153" s="14">
        <v>2043</v>
      </c>
      <c r="W153" s="14">
        <v>2044</v>
      </c>
      <c r="X153" s="14">
        <v>2045</v>
      </c>
      <c r="Y153" s="14">
        <v>2046</v>
      </c>
      <c r="Z153" s="14">
        <v>2047</v>
      </c>
      <c r="AA153" s="14">
        <v>2048</v>
      </c>
      <c r="AB153" s="14">
        <v>2049</v>
      </c>
      <c r="AC153" s="14">
        <v>2050</v>
      </c>
      <c r="AD153" s="14">
        <v>2051</v>
      </c>
      <c r="AE153" s="14">
        <v>2052</v>
      </c>
      <c r="AF153" s="14">
        <v>2053</v>
      </c>
      <c r="AG153" s="14">
        <v>2054</v>
      </c>
    </row>
    <row r="154" spans="3:35">
      <c r="C154" s="163" t="s">
        <v>379</v>
      </c>
      <c r="D154" s="164">
        <v>9525000</v>
      </c>
      <c r="E154" s="164">
        <v>0</v>
      </c>
      <c r="F154" s="164">
        <v>0</v>
      </c>
      <c r="G154" s="164">
        <v>0</v>
      </c>
      <c r="H154" s="164">
        <v>0</v>
      </c>
      <c r="I154" s="164">
        <v>0</v>
      </c>
      <c r="J154" s="164">
        <v>0</v>
      </c>
      <c r="K154" s="164">
        <v>0</v>
      </c>
      <c r="L154" s="164">
        <v>0</v>
      </c>
      <c r="M154" s="164">
        <v>0</v>
      </c>
      <c r="N154" s="164">
        <v>0</v>
      </c>
      <c r="O154" s="164">
        <v>0</v>
      </c>
      <c r="P154" s="164">
        <v>0</v>
      </c>
      <c r="Q154" s="164">
        <v>0</v>
      </c>
      <c r="R154" s="164">
        <v>0</v>
      </c>
      <c r="S154" s="164">
        <v>0</v>
      </c>
      <c r="T154" s="164">
        <v>0</v>
      </c>
      <c r="U154" s="164">
        <v>0</v>
      </c>
      <c r="V154" s="164">
        <v>0</v>
      </c>
      <c r="W154" s="164">
        <v>0</v>
      </c>
      <c r="X154" s="164">
        <v>0</v>
      </c>
      <c r="Y154" s="164">
        <v>0</v>
      </c>
      <c r="Z154" s="164">
        <v>0</v>
      </c>
      <c r="AA154" s="164">
        <v>0</v>
      </c>
      <c r="AB154" s="164">
        <v>0</v>
      </c>
      <c r="AC154" s="164">
        <v>0</v>
      </c>
      <c r="AD154" s="164">
        <v>0</v>
      </c>
      <c r="AE154" s="164">
        <v>0</v>
      </c>
      <c r="AF154" s="164">
        <v>0</v>
      </c>
      <c r="AG154" s="164">
        <v>0</v>
      </c>
      <c r="AH154" s="3"/>
      <c r="AI154" s="3"/>
    </row>
    <row r="155" spans="3:35">
      <c r="C155" s="163" t="s">
        <v>380</v>
      </c>
      <c r="D155" s="164">
        <v>0</v>
      </c>
      <c r="E155" s="164">
        <v>3530.9744916958675</v>
      </c>
      <c r="F155" s="164">
        <v>3530.9744916958675</v>
      </c>
      <c r="G155" s="164">
        <v>3530.9744916958675</v>
      </c>
      <c r="H155" s="164">
        <v>3530.9744916958675</v>
      </c>
      <c r="I155" s="164">
        <v>3530.9744916958675</v>
      </c>
      <c r="J155" s="164">
        <v>3530.9744916958675</v>
      </c>
      <c r="K155" s="164">
        <v>3530.9744916958675</v>
      </c>
      <c r="L155" s="164">
        <v>3530.9744916958675</v>
      </c>
      <c r="M155" s="164">
        <v>3530.9744916958675</v>
      </c>
      <c r="N155" s="164">
        <v>3530.9744916958675</v>
      </c>
      <c r="O155" s="164">
        <v>3530.9744916958675</v>
      </c>
      <c r="P155" s="164">
        <v>3530.9744916958675</v>
      </c>
      <c r="Q155" s="164">
        <v>3530.9744916958675</v>
      </c>
      <c r="R155" s="164">
        <v>3530.9744916958675</v>
      </c>
      <c r="S155" s="164">
        <v>3530.9744916958675</v>
      </c>
      <c r="T155" s="164">
        <v>3530.9744916958675</v>
      </c>
      <c r="U155" s="164">
        <v>3530.9744916958675</v>
      </c>
      <c r="V155" s="164">
        <v>3530.9744916958675</v>
      </c>
      <c r="W155" s="164">
        <v>3530.9744916958675</v>
      </c>
      <c r="X155" s="164">
        <v>3530.9744916958675</v>
      </c>
      <c r="Y155" s="164">
        <v>3530.9744916958675</v>
      </c>
      <c r="Z155" s="164">
        <v>3530.9744916958675</v>
      </c>
      <c r="AA155" s="164">
        <v>3530.9744916958675</v>
      </c>
      <c r="AB155" s="164">
        <v>3530.9744916958675</v>
      </c>
      <c r="AC155" s="164">
        <v>3530.9744916958675</v>
      </c>
      <c r="AD155" s="164">
        <v>3530.9744916958675</v>
      </c>
      <c r="AE155" s="164">
        <v>3530.9744916958675</v>
      </c>
      <c r="AF155" s="164">
        <v>3530.9744916958675</v>
      </c>
      <c r="AG155" s="164">
        <v>3530.9744916958675</v>
      </c>
      <c r="AH155" s="3"/>
      <c r="AI155" s="3"/>
    </row>
    <row r="156" spans="3:35">
      <c r="C156" s="163" t="s">
        <v>381</v>
      </c>
      <c r="D156" s="164">
        <v>0</v>
      </c>
      <c r="E156" s="164">
        <v>0</v>
      </c>
      <c r="F156" s="164">
        <v>0</v>
      </c>
      <c r="G156" s="164">
        <v>0</v>
      </c>
      <c r="H156" s="164">
        <v>0</v>
      </c>
      <c r="I156" s="164">
        <v>0</v>
      </c>
      <c r="J156" s="164">
        <v>0</v>
      </c>
      <c r="K156" s="164">
        <v>0</v>
      </c>
      <c r="L156" s="164">
        <v>0</v>
      </c>
      <c r="M156" s="164">
        <v>0</v>
      </c>
      <c r="N156" s="164">
        <v>0</v>
      </c>
      <c r="O156" s="164">
        <v>0</v>
      </c>
      <c r="P156" s="164">
        <v>0</v>
      </c>
      <c r="Q156" s="164">
        <v>0</v>
      </c>
      <c r="R156" s="164">
        <v>0</v>
      </c>
      <c r="S156" s="164">
        <v>0</v>
      </c>
      <c r="T156" s="164">
        <v>0</v>
      </c>
      <c r="U156" s="164">
        <v>0</v>
      </c>
      <c r="V156" s="164">
        <v>0</v>
      </c>
      <c r="W156" s="164">
        <v>0</v>
      </c>
      <c r="X156" s="164">
        <v>0</v>
      </c>
      <c r="Y156" s="164">
        <v>0</v>
      </c>
      <c r="Z156" s="164">
        <v>0</v>
      </c>
      <c r="AA156" s="164">
        <v>0</v>
      </c>
      <c r="AB156" s="164">
        <v>0</v>
      </c>
      <c r="AC156" s="164">
        <v>0</v>
      </c>
      <c r="AD156" s="164">
        <v>0</v>
      </c>
      <c r="AE156" s="164">
        <v>0</v>
      </c>
      <c r="AF156" s="164">
        <v>0</v>
      </c>
      <c r="AG156" s="164">
        <v>0</v>
      </c>
      <c r="AH156" s="3"/>
      <c r="AI156" s="3"/>
    </row>
    <row r="157" spans="3:35">
      <c r="C157" s="163" t="s">
        <v>382</v>
      </c>
      <c r="D157" s="164">
        <v>0</v>
      </c>
      <c r="E157" s="164">
        <v>0</v>
      </c>
      <c r="F157" s="164">
        <v>0</v>
      </c>
      <c r="G157" s="164">
        <v>0</v>
      </c>
      <c r="H157" s="164">
        <v>0</v>
      </c>
      <c r="I157" s="164">
        <v>0</v>
      </c>
      <c r="J157" s="164">
        <v>0</v>
      </c>
      <c r="K157" s="164">
        <v>0</v>
      </c>
      <c r="L157" s="164">
        <v>0</v>
      </c>
      <c r="M157" s="164">
        <v>0</v>
      </c>
      <c r="N157" s="164">
        <v>0</v>
      </c>
      <c r="O157" s="164">
        <v>0</v>
      </c>
      <c r="P157" s="164">
        <v>0</v>
      </c>
      <c r="Q157" s="164">
        <v>0</v>
      </c>
      <c r="R157" s="164">
        <v>0</v>
      </c>
      <c r="S157" s="164">
        <v>0</v>
      </c>
      <c r="T157" s="164">
        <v>0</v>
      </c>
      <c r="U157" s="164">
        <v>0</v>
      </c>
      <c r="V157" s="164">
        <v>0</v>
      </c>
      <c r="W157" s="164">
        <v>0</v>
      </c>
      <c r="X157" s="164">
        <v>0</v>
      </c>
      <c r="Y157" s="164">
        <v>0</v>
      </c>
      <c r="Z157" s="164">
        <v>0</v>
      </c>
      <c r="AA157" s="164">
        <v>0</v>
      </c>
      <c r="AB157" s="164">
        <v>0</v>
      </c>
      <c r="AC157" s="164">
        <v>0</v>
      </c>
      <c r="AD157" s="164">
        <v>0</v>
      </c>
      <c r="AE157" s="164">
        <v>0</v>
      </c>
      <c r="AF157" s="164">
        <v>0</v>
      </c>
      <c r="AG157" s="164">
        <v>0</v>
      </c>
      <c r="AH157" s="3"/>
      <c r="AI157" s="3"/>
    </row>
    <row r="158" spans="3:35">
      <c r="C158" s="163" t="s">
        <v>383</v>
      </c>
      <c r="D158" s="164">
        <v>0</v>
      </c>
      <c r="E158" s="164">
        <v>0</v>
      </c>
      <c r="F158" s="164">
        <v>0</v>
      </c>
      <c r="G158" s="164">
        <v>0</v>
      </c>
      <c r="H158" s="164">
        <v>0</v>
      </c>
      <c r="I158" s="164">
        <v>0</v>
      </c>
      <c r="J158" s="164">
        <v>0</v>
      </c>
      <c r="K158" s="164">
        <v>0</v>
      </c>
      <c r="L158" s="164">
        <v>0</v>
      </c>
      <c r="M158" s="164">
        <v>0</v>
      </c>
      <c r="N158" s="164">
        <v>0</v>
      </c>
      <c r="O158" s="164">
        <v>0</v>
      </c>
      <c r="P158" s="164">
        <v>0</v>
      </c>
      <c r="Q158" s="164">
        <v>0</v>
      </c>
      <c r="R158" s="164">
        <v>0</v>
      </c>
      <c r="S158" s="164">
        <v>0</v>
      </c>
      <c r="T158" s="164">
        <v>0</v>
      </c>
      <c r="U158" s="164">
        <v>0</v>
      </c>
      <c r="V158" s="164">
        <v>0</v>
      </c>
      <c r="W158" s="164">
        <v>0</v>
      </c>
      <c r="X158" s="164">
        <v>0</v>
      </c>
      <c r="Y158" s="164">
        <v>0</v>
      </c>
      <c r="Z158" s="164">
        <v>0</v>
      </c>
      <c r="AA158" s="164">
        <v>0</v>
      </c>
      <c r="AB158" s="164">
        <v>0</v>
      </c>
      <c r="AC158" s="164">
        <v>0</v>
      </c>
      <c r="AD158" s="164">
        <v>0</v>
      </c>
      <c r="AE158" s="164">
        <v>0</v>
      </c>
      <c r="AF158" s="164">
        <v>0</v>
      </c>
      <c r="AG158" s="164">
        <v>0</v>
      </c>
      <c r="AH158" s="3"/>
      <c r="AI158" s="3"/>
    </row>
    <row r="159" spans="3:35">
      <c r="C159" s="165" t="s">
        <v>384</v>
      </c>
      <c r="D159" s="162">
        <v>9525000</v>
      </c>
      <c r="E159" s="162">
        <v>3530.9744916958675</v>
      </c>
      <c r="F159" s="162">
        <v>3530.9744916958675</v>
      </c>
      <c r="G159" s="162">
        <v>3530.9744916958675</v>
      </c>
      <c r="H159" s="162">
        <v>3530.9744916958675</v>
      </c>
      <c r="I159" s="162">
        <v>3530.9744916958675</v>
      </c>
      <c r="J159" s="162">
        <v>3530.9744916958675</v>
      </c>
      <c r="K159" s="162">
        <v>3530.9744916958675</v>
      </c>
      <c r="L159" s="162">
        <v>3530.9744916958675</v>
      </c>
      <c r="M159" s="162">
        <v>3530.9744916958675</v>
      </c>
      <c r="N159" s="162">
        <v>3530.9744916958675</v>
      </c>
      <c r="O159" s="162">
        <v>3530.9744916958675</v>
      </c>
      <c r="P159" s="162">
        <v>3530.9744916958675</v>
      </c>
      <c r="Q159" s="162">
        <v>3530.9744916958675</v>
      </c>
      <c r="R159" s="162">
        <v>3530.9744916958675</v>
      </c>
      <c r="S159" s="162">
        <v>3530.9744916958675</v>
      </c>
      <c r="T159" s="162">
        <v>3530.9744916958675</v>
      </c>
      <c r="U159" s="162">
        <v>3530.9744916958675</v>
      </c>
      <c r="V159" s="162">
        <v>3530.9744916958675</v>
      </c>
      <c r="W159" s="162">
        <v>3530.9744916958675</v>
      </c>
      <c r="X159" s="162">
        <v>3530.9744916958675</v>
      </c>
      <c r="Y159" s="162">
        <v>3530.9744916958675</v>
      </c>
      <c r="Z159" s="162">
        <v>3530.9744916958675</v>
      </c>
      <c r="AA159" s="162">
        <v>3530.9744916958675</v>
      </c>
      <c r="AB159" s="162">
        <v>3530.9744916958675</v>
      </c>
      <c r="AC159" s="162">
        <v>3530.9744916958675</v>
      </c>
      <c r="AD159" s="162">
        <v>3530.9744916958675</v>
      </c>
      <c r="AE159" s="162">
        <v>3530.9744916958675</v>
      </c>
      <c r="AF159" s="162">
        <v>3530.9744916958675</v>
      </c>
      <c r="AG159" s="162">
        <v>3530.9744916958675</v>
      </c>
      <c r="AH159" s="3"/>
      <c r="AI159" s="3"/>
    </row>
    <row r="160" spans="3:35">
      <c r="C160" s="163" t="s">
        <v>385</v>
      </c>
      <c r="D160" s="164">
        <v>0</v>
      </c>
      <c r="E160" s="164">
        <v>23537.71081921368</v>
      </c>
      <c r="F160" s="164">
        <v>23537.71081921368</v>
      </c>
      <c r="G160" s="164">
        <v>23537.71081921368</v>
      </c>
      <c r="H160" s="164">
        <v>23537.71081921368</v>
      </c>
      <c r="I160" s="164">
        <v>23537.71081921368</v>
      </c>
      <c r="J160" s="164">
        <v>23537.71081921368</v>
      </c>
      <c r="K160" s="164">
        <v>23537.71081921368</v>
      </c>
      <c r="L160" s="164">
        <v>23537.71081921368</v>
      </c>
      <c r="M160" s="164">
        <v>23537.71081921368</v>
      </c>
      <c r="N160" s="164">
        <v>23537.71081921368</v>
      </c>
      <c r="O160" s="164">
        <v>23537.71081921368</v>
      </c>
      <c r="P160" s="164">
        <v>23537.71081921368</v>
      </c>
      <c r="Q160" s="164">
        <v>23537.71081921368</v>
      </c>
      <c r="R160" s="164">
        <v>23537.71081921368</v>
      </c>
      <c r="S160" s="164">
        <v>23537.71081921368</v>
      </c>
      <c r="T160" s="164">
        <v>23537.71081921368</v>
      </c>
      <c r="U160" s="164">
        <v>23537.71081921368</v>
      </c>
      <c r="V160" s="164">
        <v>23537.71081921368</v>
      </c>
      <c r="W160" s="164">
        <v>23537.71081921368</v>
      </c>
      <c r="X160" s="164">
        <v>23537.71081921368</v>
      </c>
      <c r="Y160" s="164">
        <v>23537.71081921368</v>
      </c>
      <c r="Z160" s="164">
        <v>23537.71081921368</v>
      </c>
      <c r="AA160" s="164">
        <v>23537.71081921368</v>
      </c>
      <c r="AB160" s="164">
        <v>23537.71081921368</v>
      </c>
      <c r="AC160" s="164">
        <v>23537.71081921368</v>
      </c>
      <c r="AD160" s="164">
        <v>23537.71081921368</v>
      </c>
      <c r="AE160" s="164">
        <v>23537.71081921368</v>
      </c>
      <c r="AF160" s="164">
        <v>23537.71081921368</v>
      </c>
      <c r="AG160" s="164">
        <v>23537.71081921368</v>
      </c>
      <c r="AH160" s="3"/>
      <c r="AI160" s="3"/>
    </row>
    <row r="161" spans="3:35">
      <c r="C161" s="163" t="s">
        <v>386</v>
      </c>
      <c r="D161" s="164">
        <v>0</v>
      </c>
      <c r="E161" s="164">
        <v>0</v>
      </c>
      <c r="F161" s="164">
        <v>0</v>
      </c>
      <c r="G161" s="164">
        <v>0</v>
      </c>
      <c r="H161" s="164">
        <v>0</v>
      </c>
      <c r="I161" s="164">
        <v>0</v>
      </c>
      <c r="J161" s="164">
        <v>0</v>
      </c>
      <c r="K161" s="164">
        <v>0</v>
      </c>
      <c r="L161" s="164">
        <v>0</v>
      </c>
      <c r="M161" s="164">
        <v>0</v>
      </c>
      <c r="N161" s="164">
        <v>0</v>
      </c>
      <c r="O161" s="164">
        <v>0</v>
      </c>
      <c r="P161" s="164">
        <v>0</v>
      </c>
      <c r="Q161" s="164">
        <v>0</v>
      </c>
      <c r="R161" s="164">
        <v>0</v>
      </c>
      <c r="S161" s="164">
        <v>0</v>
      </c>
      <c r="T161" s="164">
        <v>0</v>
      </c>
      <c r="U161" s="164">
        <v>0</v>
      </c>
      <c r="V161" s="164">
        <v>0</v>
      </c>
      <c r="W161" s="164">
        <v>0</v>
      </c>
      <c r="X161" s="164">
        <v>0</v>
      </c>
      <c r="Y161" s="164">
        <v>0</v>
      </c>
      <c r="Z161" s="164">
        <v>0</v>
      </c>
      <c r="AA161" s="164">
        <v>0</v>
      </c>
      <c r="AB161" s="164">
        <v>0</v>
      </c>
      <c r="AC161" s="164">
        <v>0</v>
      </c>
      <c r="AD161" s="164">
        <v>0</v>
      </c>
      <c r="AE161" s="164">
        <v>0</v>
      </c>
      <c r="AF161" s="164">
        <v>0</v>
      </c>
      <c r="AG161" s="164">
        <v>0</v>
      </c>
      <c r="AH161" s="3"/>
      <c r="AI161" s="3"/>
    </row>
    <row r="162" spans="3:35">
      <c r="C162" s="163" t="s">
        <v>387</v>
      </c>
      <c r="D162" s="164">
        <v>7706020.7541709719</v>
      </c>
      <c r="E162" s="164">
        <v>0</v>
      </c>
      <c r="F162" s="164">
        <v>0</v>
      </c>
      <c r="G162" s="164">
        <v>0</v>
      </c>
      <c r="H162" s="164">
        <v>0</v>
      </c>
      <c r="I162" s="164">
        <v>0</v>
      </c>
      <c r="J162" s="164">
        <v>0</v>
      </c>
      <c r="K162" s="164">
        <v>0</v>
      </c>
      <c r="L162" s="164">
        <v>0</v>
      </c>
      <c r="M162" s="164">
        <v>0</v>
      </c>
      <c r="N162" s="164">
        <v>0</v>
      </c>
      <c r="O162" s="164">
        <v>0</v>
      </c>
      <c r="P162" s="164">
        <v>0</v>
      </c>
      <c r="Q162" s="164">
        <v>0</v>
      </c>
      <c r="R162" s="164">
        <v>0</v>
      </c>
      <c r="S162" s="164">
        <v>0</v>
      </c>
      <c r="T162" s="164">
        <v>0</v>
      </c>
      <c r="U162" s="164">
        <v>0</v>
      </c>
      <c r="V162" s="164">
        <v>0</v>
      </c>
      <c r="W162" s="164">
        <v>0</v>
      </c>
      <c r="X162" s="164">
        <v>0</v>
      </c>
      <c r="Y162" s="164">
        <v>0</v>
      </c>
      <c r="Z162" s="164">
        <v>0</v>
      </c>
      <c r="AA162" s="164">
        <v>0</v>
      </c>
      <c r="AB162" s="164">
        <v>0</v>
      </c>
      <c r="AC162" s="164">
        <v>0</v>
      </c>
      <c r="AD162" s="164">
        <v>0</v>
      </c>
      <c r="AE162" s="164">
        <v>0</v>
      </c>
      <c r="AF162" s="164">
        <v>0</v>
      </c>
      <c r="AG162" s="164">
        <v>0</v>
      </c>
      <c r="AH162" s="3"/>
      <c r="AI162" s="3"/>
    </row>
    <row r="163" spans="3:35">
      <c r="C163" s="166" t="s">
        <v>388</v>
      </c>
      <c r="D163" s="167">
        <v>1818979.2458290281</v>
      </c>
      <c r="E163" s="167">
        <v>0</v>
      </c>
      <c r="F163" s="167">
        <v>0</v>
      </c>
      <c r="G163" s="167">
        <v>0</v>
      </c>
      <c r="H163" s="167">
        <v>0</v>
      </c>
      <c r="I163" s="167">
        <v>0</v>
      </c>
      <c r="J163" s="167">
        <v>0</v>
      </c>
      <c r="K163" s="167">
        <v>0</v>
      </c>
      <c r="L163" s="167">
        <v>0</v>
      </c>
      <c r="M163" s="167">
        <v>0</v>
      </c>
      <c r="N163" s="167">
        <v>0</v>
      </c>
      <c r="O163" s="167">
        <v>0</v>
      </c>
      <c r="P163" s="167">
        <v>0</v>
      </c>
      <c r="Q163" s="167">
        <v>0</v>
      </c>
      <c r="R163" s="167">
        <v>0</v>
      </c>
      <c r="S163" s="167">
        <v>0</v>
      </c>
      <c r="T163" s="167">
        <v>0</v>
      </c>
      <c r="U163" s="167">
        <v>0</v>
      </c>
      <c r="V163" s="167">
        <v>0</v>
      </c>
      <c r="W163" s="167">
        <v>0</v>
      </c>
      <c r="X163" s="167">
        <v>0</v>
      </c>
      <c r="Y163" s="167">
        <v>0</v>
      </c>
      <c r="Z163" s="167">
        <v>0</v>
      </c>
      <c r="AA163" s="167">
        <v>0</v>
      </c>
      <c r="AB163" s="167">
        <v>0</v>
      </c>
      <c r="AC163" s="167">
        <v>0</v>
      </c>
      <c r="AD163" s="167">
        <v>0</v>
      </c>
      <c r="AE163" s="167">
        <v>0</v>
      </c>
      <c r="AF163" s="167">
        <v>0</v>
      </c>
      <c r="AG163" s="167">
        <v>0</v>
      </c>
      <c r="AH163" s="3"/>
      <c r="AI163" s="3"/>
    </row>
    <row r="164" spans="3:35">
      <c r="C164" s="163" t="s">
        <v>389</v>
      </c>
      <c r="D164" s="164">
        <v>1818979.2458290281</v>
      </c>
      <c r="E164" s="164">
        <v>0</v>
      </c>
      <c r="F164" s="164">
        <v>0</v>
      </c>
      <c r="G164" s="164">
        <v>0</v>
      </c>
      <c r="H164" s="164">
        <v>0</v>
      </c>
      <c r="I164" s="164">
        <v>0</v>
      </c>
      <c r="J164" s="164">
        <v>0</v>
      </c>
      <c r="K164" s="164">
        <v>0</v>
      </c>
      <c r="L164" s="164">
        <v>0</v>
      </c>
      <c r="M164" s="164">
        <v>0</v>
      </c>
      <c r="N164" s="164">
        <v>0</v>
      </c>
      <c r="O164" s="164">
        <v>0</v>
      </c>
      <c r="P164" s="164">
        <v>0</v>
      </c>
      <c r="Q164" s="164">
        <v>0</v>
      </c>
      <c r="R164" s="164">
        <v>0</v>
      </c>
      <c r="S164" s="164">
        <v>0</v>
      </c>
      <c r="T164" s="164">
        <v>0</v>
      </c>
      <c r="U164" s="164">
        <v>0</v>
      </c>
      <c r="V164" s="164">
        <v>0</v>
      </c>
      <c r="W164" s="164">
        <v>0</v>
      </c>
      <c r="X164" s="164">
        <v>0</v>
      </c>
      <c r="Y164" s="164">
        <v>0</v>
      </c>
      <c r="Z164" s="164">
        <v>0</v>
      </c>
      <c r="AA164" s="164">
        <v>0</v>
      </c>
      <c r="AB164" s="164">
        <v>0</v>
      </c>
      <c r="AC164" s="164">
        <v>0</v>
      </c>
      <c r="AD164" s="164">
        <v>0</v>
      </c>
      <c r="AE164" s="164">
        <v>0</v>
      </c>
      <c r="AF164" s="164">
        <v>0</v>
      </c>
      <c r="AG164" s="164">
        <v>0</v>
      </c>
      <c r="AH164" s="3"/>
      <c r="AI164" s="3"/>
    </row>
    <row r="165" spans="3:35">
      <c r="C165" s="166" t="s">
        <v>390</v>
      </c>
      <c r="D165" s="167">
        <v>0</v>
      </c>
      <c r="E165" s="167">
        <v>0</v>
      </c>
      <c r="F165" s="167">
        <v>0</v>
      </c>
      <c r="G165" s="167">
        <v>0</v>
      </c>
      <c r="H165" s="167">
        <v>0</v>
      </c>
      <c r="I165" s="167">
        <v>0</v>
      </c>
      <c r="J165" s="167">
        <v>0</v>
      </c>
      <c r="K165" s="167">
        <v>0</v>
      </c>
      <c r="L165" s="167">
        <v>0</v>
      </c>
      <c r="M165" s="167">
        <v>0</v>
      </c>
      <c r="N165" s="167">
        <v>0</v>
      </c>
      <c r="O165" s="167">
        <v>0</v>
      </c>
      <c r="P165" s="167">
        <v>0</v>
      </c>
      <c r="Q165" s="167">
        <v>0</v>
      </c>
      <c r="R165" s="167">
        <v>0</v>
      </c>
      <c r="S165" s="167">
        <v>0</v>
      </c>
      <c r="T165" s="167">
        <v>0</v>
      </c>
      <c r="U165" s="167">
        <v>0</v>
      </c>
      <c r="V165" s="167">
        <v>0</v>
      </c>
      <c r="W165" s="167">
        <v>0</v>
      </c>
      <c r="X165" s="167">
        <v>0</v>
      </c>
      <c r="Y165" s="167">
        <v>0</v>
      </c>
      <c r="Z165" s="167">
        <v>0</v>
      </c>
      <c r="AA165" s="167">
        <v>0</v>
      </c>
      <c r="AB165" s="167">
        <v>0</v>
      </c>
      <c r="AC165" s="167">
        <v>0</v>
      </c>
      <c r="AD165" s="167">
        <v>0</v>
      </c>
      <c r="AE165" s="167">
        <v>0</v>
      </c>
      <c r="AF165" s="167">
        <v>0</v>
      </c>
      <c r="AG165" s="167">
        <v>0</v>
      </c>
      <c r="AH165" s="3"/>
      <c r="AI165" s="3"/>
    </row>
    <row r="166" spans="3:35">
      <c r="C166" s="163" t="s">
        <v>391</v>
      </c>
      <c r="D166" s="164">
        <v>0</v>
      </c>
      <c r="E166" s="164">
        <v>0</v>
      </c>
      <c r="F166" s="164">
        <v>0</v>
      </c>
      <c r="G166" s="164">
        <v>0</v>
      </c>
      <c r="H166" s="164">
        <v>0</v>
      </c>
      <c r="I166" s="164">
        <v>0</v>
      </c>
      <c r="J166" s="164">
        <v>0</v>
      </c>
      <c r="K166" s="164">
        <v>0</v>
      </c>
      <c r="L166" s="164">
        <v>0</v>
      </c>
      <c r="M166" s="164">
        <v>0</v>
      </c>
      <c r="N166" s="164">
        <v>0</v>
      </c>
      <c r="O166" s="164">
        <v>0</v>
      </c>
      <c r="P166" s="164">
        <v>0</v>
      </c>
      <c r="Q166" s="164">
        <v>0</v>
      </c>
      <c r="R166" s="164">
        <v>0</v>
      </c>
      <c r="S166" s="164">
        <v>0</v>
      </c>
      <c r="T166" s="164">
        <v>0</v>
      </c>
      <c r="U166" s="164">
        <v>0</v>
      </c>
      <c r="V166" s="164">
        <v>0</v>
      </c>
      <c r="W166" s="164">
        <v>0</v>
      </c>
      <c r="X166" s="164">
        <v>0</v>
      </c>
      <c r="Y166" s="164">
        <v>0</v>
      </c>
      <c r="Z166" s="164">
        <v>0</v>
      </c>
      <c r="AA166" s="164">
        <v>0</v>
      </c>
      <c r="AB166" s="164">
        <v>0</v>
      </c>
      <c r="AC166" s="164">
        <v>0</v>
      </c>
      <c r="AD166" s="164">
        <v>0</v>
      </c>
      <c r="AE166" s="164">
        <v>0</v>
      </c>
      <c r="AF166" s="164">
        <v>0</v>
      </c>
      <c r="AG166" s="164">
        <v>0</v>
      </c>
      <c r="AH166" s="3"/>
      <c r="AI166" s="3"/>
    </row>
    <row r="167" spans="3:35">
      <c r="C167" s="166" t="s">
        <v>392</v>
      </c>
      <c r="D167" s="167">
        <v>0</v>
      </c>
      <c r="E167" s="167">
        <v>0</v>
      </c>
      <c r="F167" s="167">
        <v>0</v>
      </c>
      <c r="G167" s="167">
        <v>0</v>
      </c>
      <c r="H167" s="167">
        <v>0</v>
      </c>
      <c r="I167" s="167">
        <v>0</v>
      </c>
      <c r="J167" s="167">
        <v>0</v>
      </c>
      <c r="K167" s="167">
        <v>0</v>
      </c>
      <c r="L167" s="167">
        <v>0</v>
      </c>
      <c r="M167" s="167">
        <v>0</v>
      </c>
      <c r="N167" s="167">
        <v>0</v>
      </c>
      <c r="O167" s="167">
        <v>0</v>
      </c>
      <c r="P167" s="167">
        <v>0</v>
      </c>
      <c r="Q167" s="167">
        <v>0</v>
      </c>
      <c r="R167" s="167">
        <v>0</v>
      </c>
      <c r="S167" s="167">
        <v>0</v>
      </c>
      <c r="T167" s="167">
        <v>0</v>
      </c>
      <c r="U167" s="167">
        <v>0</v>
      </c>
      <c r="V167" s="167">
        <v>0</v>
      </c>
      <c r="W167" s="167">
        <v>0</v>
      </c>
      <c r="X167" s="167">
        <v>0</v>
      </c>
      <c r="Y167" s="167">
        <v>0</v>
      </c>
      <c r="Z167" s="167">
        <v>0</v>
      </c>
      <c r="AA167" s="167">
        <v>0</v>
      </c>
      <c r="AB167" s="167">
        <v>0</v>
      </c>
      <c r="AC167" s="167">
        <v>0</v>
      </c>
      <c r="AD167" s="167">
        <v>0</v>
      </c>
      <c r="AE167" s="167">
        <v>0</v>
      </c>
      <c r="AF167" s="167">
        <v>0</v>
      </c>
      <c r="AG167" s="167">
        <v>0</v>
      </c>
      <c r="AH167" s="3"/>
      <c r="AI167" s="3"/>
    </row>
    <row r="168" spans="3:35">
      <c r="C168" s="163" t="s">
        <v>393</v>
      </c>
      <c r="D168" s="164">
        <v>0</v>
      </c>
      <c r="E168" s="164">
        <v>0</v>
      </c>
      <c r="F168" s="164">
        <v>0</v>
      </c>
      <c r="G168" s="164">
        <v>0</v>
      </c>
      <c r="H168" s="164">
        <v>0</v>
      </c>
      <c r="I168" s="164">
        <v>0</v>
      </c>
      <c r="J168" s="164">
        <v>0</v>
      </c>
      <c r="K168" s="164">
        <v>0</v>
      </c>
      <c r="L168" s="164">
        <v>0</v>
      </c>
      <c r="M168" s="164">
        <v>0</v>
      </c>
      <c r="N168" s="164">
        <v>0</v>
      </c>
      <c r="O168" s="164">
        <v>0</v>
      </c>
      <c r="P168" s="164">
        <v>0</v>
      </c>
      <c r="Q168" s="164">
        <v>0</v>
      </c>
      <c r="R168" s="164">
        <v>0</v>
      </c>
      <c r="S168" s="164">
        <v>0</v>
      </c>
      <c r="T168" s="164">
        <v>0</v>
      </c>
      <c r="U168" s="164">
        <v>0</v>
      </c>
      <c r="V168" s="164">
        <v>0</v>
      </c>
      <c r="W168" s="164">
        <v>0</v>
      </c>
      <c r="X168" s="164">
        <v>0</v>
      </c>
      <c r="Y168" s="164">
        <v>0</v>
      </c>
      <c r="Z168" s="164">
        <v>0</v>
      </c>
      <c r="AA168" s="164">
        <v>0</v>
      </c>
      <c r="AB168" s="164">
        <v>0</v>
      </c>
      <c r="AC168" s="164">
        <v>0</v>
      </c>
      <c r="AD168" s="164">
        <v>0</v>
      </c>
      <c r="AE168" s="164">
        <v>0</v>
      </c>
      <c r="AF168" s="164">
        <v>0</v>
      </c>
      <c r="AG168" s="164">
        <v>0</v>
      </c>
      <c r="AH168" s="3"/>
      <c r="AI168" s="3"/>
    </row>
    <row r="169" spans="3:35">
      <c r="C169" s="163" t="s">
        <v>394</v>
      </c>
      <c r="D169" s="164">
        <v>0</v>
      </c>
      <c r="E169" s="164">
        <v>0</v>
      </c>
      <c r="F169" s="164">
        <v>0</v>
      </c>
      <c r="G169" s="164">
        <v>0</v>
      </c>
      <c r="H169" s="164">
        <v>0</v>
      </c>
      <c r="I169" s="164">
        <v>0</v>
      </c>
      <c r="J169" s="164">
        <v>0</v>
      </c>
      <c r="K169" s="164">
        <v>0</v>
      </c>
      <c r="L169" s="164">
        <v>0</v>
      </c>
      <c r="M169" s="164">
        <v>0</v>
      </c>
      <c r="N169" s="164">
        <v>0</v>
      </c>
      <c r="O169" s="164">
        <v>0</v>
      </c>
      <c r="P169" s="164">
        <v>0</v>
      </c>
      <c r="Q169" s="164">
        <v>0</v>
      </c>
      <c r="R169" s="164">
        <v>0</v>
      </c>
      <c r="S169" s="164">
        <v>0</v>
      </c>
      <c r="T169" s="164">
        <v>0</v>
      </c>
      <c r="U169" s="164">
        <v>0</v>
      </c>
      <c r="V169" s="164">
        <v>0</v>
      </c>
      <c r="W169" s="164">
        <v>0</v>
      </c>
      <c r="X169" s="164">
        <v>0</v>
      </c>
      <c r="Y169" s="164">
        <v>0</v>
      </c>
      <c r="Z169" s="164">
        <v>0</v>
      </c>
      <c r="AA169" s="164">
        <v>0</v>
      </c>
      <c r="AB169" s="164">
        <v>0</v>
      </c>
      <c r="AC169" s="164">
        <v>0</v>
      </c>
      <c r="AD169" s="164">
        <v>0</v>
      </c>
      <c r="AE169" s="164">
        <v>0</v>
      </c>
      <c r="AF169" s="164">
        <v>0</v>
      </c>
      <c r="AG169" s="164">
        <v>0</v>
      </c>
      <c r="AH169" s="3"/>
      <c r="AI169" s="3"/>
    </row>
    <row r="170" spans="3:35">
      <c r="C170" s="163" t="s">
        <v>395</v>
      </c>
      <c r="D170" s="164">
        <v>0</v>
      </c>
      <c r="E170" s="164">
        <v>0</v>
      </c>
      <c r="F170" s="164">
        <v>0</v>
      </c>
      <c r="G170" s="164">
        <v>0</v>
      </c>
      <c r="H170" s="164">
        <v>0</v>
      </c>
      <c r="I170" s="164">
        <v>0</v>
      </c>
      <c r="J170" s="164">
        <v>0</v>
      </c>
      <c r="K170" s="164">
        <v>0</v>
      </c>
      <c r="L170" s="164">
        <v>0</v>
      </c>
      <c r="M170" s="164">
        <v>0</v>
      </c>
      <c r="N170" s="164">
        <v>0</v>
      </c>
      <c r="O170" s="164">
        <v>0</v>
      </c>
      <c r="P170" s="164">
        <v>0</v>
      </c>
      <c r="Q170" s="164">
        <v>0</v>
      </c>
      <c r="R170" s="164">
        <v>0</v>
      </c>
      <c r="S170" s="164">
        <v>0</v>
      </c>
      <c r="T170" s="164">
        <v>0</v>
      </c>
      <c r="U170" s="164">
        <v>0</v>
      </c>
      <c r="V170" s="164">
        <v>0</v>
      </c>
      <c r="W170" s="164">
        <v>0</v>
      </c>
      <c r="X170" s="164">
        <v>0</v>
      </c>
      <c r="Y170" s="164">
        <v>0</v>
      </c>
      <c r="Z170" s="164">
        <v>0</v>
      </c>
      <c r="AA170" s="164">
        <v>0</v>
      </c>
      <c r="AB170" s="164">
        <v>0</v>
      </c>
      <c r="AC170" s="164">
        <v>0</v>
      </c>
      <c r="AD170" s="164">
        <v>0</v>
      </c>
      <c r="AE170" s="164">
        <v>0</v>
      </c>
      <c r="AF170" s="164">
        <v>0</v>
      </c>
      <c r="AG170" s="164">
        <v>0</v>
      </c>
      <c r="AH170" s="3"/>
      <c r="AI170" s="3"/>
    </row>
    <row r="171" spans="3:35">
      <c r="C171" s="165" t="s">
        <v>396</v>
      </c>
      <c r="D171" s="162">
        <v>9525000</v>
      </c>
      <c r="E171" s="162">
        <v>23537.71081921368</v>
      </c>
      <c r="F171" s="162">
        <v>23537.71081921368</v>
      </c>
      <c r="G171" s="162">
        <v>23537.71081921368</v>
      </c>
      <c r="H171" s="162">
        <v>23537.71081921368</v>
      </c>
      <c r="I171" s="162">
        <v>23537.71081921368</v>
      </c>
      <c r="J171" s="162">
        <v>23537.71081921368</v>
      </c>
      <c r="K171" s="162">
        <v>23537.71081921368</v>
      </c>
      <c r="L171" s="162">
        <v>23537.71081921368</v>
      </c>
      <c r="M171" s="162">
        <v>23537.71081921368</v>
      </c>
      <c r="N171" s="162">
        <v>23537.71081921368</v>
      </c>
      <c r="O171" s="162">
        <v>23537.71081921368</v>
      </c>
      <c r="P171" s="162">
        <v>23537.71081921368</v>
      </c>
      <c r="Q171" s="162">
        <v>23537.71081921368</v>
      </c>
      <c r="R171" s="162">
        <v>23537.71081921368</v>
      </c>
      <c r="S171" s="162">
        <v>23537.71081921368</v>
      </c>
      <c r="T171" s="162">
        <v>23537.71081921368</v>
      </c>
      <c r="U171" s="162">
        <v>23537.71081921368</v>
      </c>
      <c r="V171" s="162">
        <v>23537.71081921368</v>
      </c>
      <c r="W171" s="162">
        <v>23537.71081921368</v>
      </c>
      <c r="X171" s="162">
        <v>23537.71081921368</v>
      </c>
      <c r="Y171" s="162">
        <v>23537.71081921368</v>
      </c>
      <c r="Z171" s="162">
        <v>23537.71081921368</v>
      </c>
      <c r="AA171" s="162">
        <v>23537.71081921368</v>
      </c>
      <c r="AB171" s="162">
        <v>23537.71081921368</v>
      </c>
      <c r="AC171" s="162">
        <v>23537.71081921368</v>
      </c>
      <c r="AD171" s="162">
        <v>23537.71081921368</v>
      </c>
      <c r="AE171" s="162">
        <v>23537.71081921368</v>
      </c>
      <c r="AF171" s="162">
        <v>23537.71081921368</v>
      </c>
      <c r="AG171" s="162">
        <v>23537.71081921368</v>
      </c>
      <c r="AH171" s="3"/>
      <c r="AI171" s="3"/>
    </row>
    <row r="172" spans="3:35">
      <c r="C172" s="165" t="s">
        <v>397</v>
      </c>
      <c r="D172" s="162">
        <v>0</v>
      </c>
      <c r="E172" s="162">
        <v>20006.736327517814</v>
      </c>
      <c r="F172" s="162">
        <v>20006.736327517814</v>
      </c>
      <c r="G172" s="162">
        <v>20006.736327517814</v>
      </c>
      <c r="H172" s="162">
        <v>20006.736327517814</v>
      </c>
      <c r="I172" s="162">
        <v>20006.736327517814</v>
      </c>
      <c r="J172" s="162">
        <v>20006.736327517814</v>
      </c>
      <c r="K172" s="162">
        <v>20006.736327517814</v>
      </c>
      <c r="L172" s="162">
        <v>20006.736327517814</v>
      </c>
      <c r="M172" s="162">
        <v>20006.736327517814</v>
      </c>
      <c r="N172" s="162">
        <v>20006.736327517814</v>
      </c>
      <c r="O172" s="162">
        <v>20006.736327517814</v>
      </c>
      <c r="P172" s="162">
        <v>20006.736327517814</v>
      </c>
      <c r="Q172" s="162">
        <v>20006.736327517814</v>
      </c>
      <c r="R172" s="162">
        <v>20006.736327517814</v>
      </c>
      <c r="S172" s="162">
        <v>20006.736327517814</v>
      </c>
      <c r="T172" s="162">
        <v>20006.736327517814</v>
      </c>
      <c r="U172" s="162">
        <v>20006.736327517814</v>
      </c>
      <c r="V172" s="162">
        <v>20006.736327517814</v>
      </c>
      <c r="W172" s="162">
        <v>20006.736327517814</v>
      </c>
      <c r="X172" s="162">
        <v>20006.736327517814</v>
      </c>
      <c r="Y172" s="162">
        <v>20006.736327517814</v>
      </c>
      <c r="Z172" s="162">
        <v>20006.736327517814</v>
      </c>
      <c r="AA172" s="162">
        <v>20006.736327517814</v>
      </c>
      <c r="AB172" s="162">
        <v>20006.736327517814</v>
      </c>
      <c r="AC172" s="162">
        <v>20006.736327517814</v>
      </c>
      <c r="AD172" s="162">
        <v>20006.736327517814</v>
      </c>
      <c r="AE172" s="162">
        <v>20006.736327517814</v>
      </c>
      <c r="AF172" s="162">
        <v>20006.736327517814</v>
      </c>
      <c r="AG172" s="162">
        <v>20006.736327517814</v>
      </c>
      <c r="AH172" s="3"/>
      <c r="AI172" s="3"/>
    </row>
    <row r="173" spans="3:35">
      <c r="C173" s="165" t="s">
        <v>398</v>
      </c>
      <c r="D173" s="162">
        <v>0</v>
      </c>
      <c r="E173" s="162">
        <v>20006.736327517814</v>
      </c>
      <c r="F173" s="162">
        <v>40013.472655035628</v>
      </c>
      <c r="G173" s="162">
        <v>60020.208982553442</v>
      </c>
      <c r="H173" s="162">
        <v>80026.945310071256</v>
      </c>
      <c r="I173" s="162">
        <v>100033.68163758906</v>
      </c>
      <c r="J173" s="162">
        <v>120040.41796510687</v>
      </c>
      <c r="K173" s="162">
        <v>140047.15429262468</v>
      </c>
      <c r="L173" s="162">
        <v>160053.89062014248</v>
      </c>
      <c r="M173" s="162">
        <v>180060.62694766029</v>
      </c>
      <c r="N173" s="162">
        <v>200067.3632751781</v>
      </c>
      <c r="O173" s="162">
        <v>220074.0996026959</v>
      </c>
      <c r="P173" s="162">
        <v>240080.83593021371</v>
      </c>
      <c r="Q173" s="162">
        <v>260087.57225773152</v>
      </c>
      <c r="R173" s="162">
        <v>280094.30858524935</v>
      </c>
      <c r="S173" s="162">
        <v>300101.04491276719</v>
      </c>
      <c r="T173" s="162">
        <v>320107.78124028502</v>
      </c>
      <c r="U173" s="162">
        <v>340114.51756780286</v>
      </c>
      <c r="V173" s="162">
        <v>360121.2538953207</v>
      </c>
      <c r="W173" s="162">
        <v>380127.99022283853</v>
      </c>
      <c r="X173" s="162">
        <v>400134.72655035637</v>
      </c>
      <c r="Y173" s="162">
        <v>420141.4628778742</v>
      </c>
      <c r="Z173" s="162">
        <v>440148.19920539204</v>
      </c>
      <c r="AA173" s="162">
        <v>460154.93553290988</v>
      </c>
      <c r="AB173" s="162">
        <v>480161.67186042771</v>
      </c>
      <c r="AC173" s="162">
        <v>500168.40818794555</v>
      </c>
      <c r="AD173" s="162">
        <v>520175.14451546338</v>
      </c>
      <c r="AE173" s="162">
        <v>540181.88084298116</v>
      </c>
      <c r="AF173" s="162">
        <v>560188.61717049894</v>
      </c>
      <c r="AG173" s="162">
        <v>580195.35349801672</v>
      </c>
      <c r="AH173" s="3"/>
      <c r="AI173" s="3"/>
    </row>
    <row r="175" spans="3:35">
      <c r="C175" s="165" t="s">
        <v>373</v>
      </c>
      <c r="D175" s="132">
        <v>0</v>
      </c>
      <c r="E175" s="132">
        <v>20006.736327517814</v>
      </c>
      <c r="F175" s="132">
        <v>20006.736327517814</v>
      </c>
      <c r="G175" s="132">
        <v>20006.736327517814</v>
      </c>
      <c r="H175" s="132">
        <v>20006.736327517814</v>
      </c>
      <c r="I175" s="132">
        <v>20006.736327517814</v>
      </c>
      <c r="J175" s="132">
        <v>20006.736327517814</v>
      </c>
      <c r="K175" s="132">
        <v>20006.736327517814</v>
      </c>
      <c r="L175" s="132">
        <v>20006.736327517814</v>
      </c>
      <c r="M175" s="132">
        <v>20006.736327517814</v>
      </c>
      <c r="N175" s="132">
        <v>20006.736327517814</v>
      </c>
      <c r="O175" s="132">
        <v>20006.736327517814</v>
      </c>
      <c r="P175" s="132">
        <v>20006.736327517814</v>
      </c>
      <c r="Q175" s="132">
        <v>20006.736327517814</v>
      </c>
      <c r="R175" s="132">
        <v>20006.736327517814</v>
      </c>
      <c r="S175" s="132">
        <v>20006.736327517814</v>
      </c>
      <c r="T175" s="132">
        <v>20006.736327517814</v>
      </c>
      <c r="U175" s="132">
        <v>20006.736327517814</v>
      </c>
      <c r="V175" s="132">
        <v>20006.736327517814</v>
      </c>
      <c r="W175" s="132">
        <v>20006.736327517814</v>
      </c>
      <c r="X175" s="132">
        <v>20006.736327517814</v>
      </c>
      <c r="Y175" s="132">
        <v>20006.736327517814</v>
      </c>
      <c r="Z175" s="132">
        <v>20006.736327517814</v>
      </c>
      <c r="AA175" s="132">
        <v>20006.736327517814</v>
      </c>
      <c r="AB175" s="132">
        <v>20006.736327517814</v>
      </c>
      <c r="AC175" s="132">
        <v>20006.736327517814</v>
      </c>
      <c r="AD175" s="132">
        <v>20006.736327517814</v>
      </c>
      <c r="AE175" s="132">
        <v>20006.736327517814</v>
      </c>
      <c r="AF175" s="132">
        <v>20006.736327517814</v>
      </c>
      <c r="AG175" s="132">
        <v>20006.736327517814</v>
      </c>
      <c r="AH175" s="3"/>
      <c r="AI175" s="3"/>
    </row>
    <row r="176" spans="3:35">
      <c r="C176" s="165" t="s">
        <v>374</v>
      </c>
      <c r="D176" s="132">
        <v>0</v>
      </c>
      <c r="E176" s="132">
        <v>20006.736327517814</v>
      </c>
      <c r="F176" s="132">
        <v>40013.472655035628</v>
      </c>
      <c r="G176" s="132">
        <v>60020.208982553442</v>
      </c>
      <c r="H176" s="132">
        <v>80026.945310071256</v>
      </c>
      <c r="I176" s="132">
        <v>100033.68163758906</v>
      </c>
      <c r="J176" s="132">
        <v>120040.41796510687</v>
      </c>
      <c r="K176" s="132">
        <v>140047.15429262468</v>
      </c>
      <c r="L176" s="132">
        <v>160053.89062014248</v>
      </c>
      <c r="M176" s="132">
        <v>180060.62694766029</v>
      </c>
      <c r="N176" s="132">
        <v>200067.3632751781</v>
      </c>
      <c r="O176" s="132">
        <v>220074.0996026959</v>
      </c>
      <c r="P176" s="132">
        <v>240080.83593021371</v>
      </c>
      <c r="Q176" s="132">
        <v>260087.57225773152</v>
      </c>
      <c r="R176" s="132">
        <v>280094.30858524935</v>
      </c>
      <c r="S176" s="132">
        <v>300101.04491276719</v>
      </c>
      <c r="T176" s="132">
        <v>320107.78124028502</v>
      </c>
      <c r="U176" s="132">
        <v>340114.51756780286</v>
      </c>
      <c r="V176" s="132">
        <v>360121.2538953207</v>
      </c>
      <c r="W176" s="132">
        <v>380127.99022283853</v>
      </c>
      <c r="X176" s="132">
        <v>400134.72655035637</v>
      </c>
      <c r="Y176" s="132">
        <v>420141.4628778742</v>
      </c>
      <c r="Z176" s="132">
        <v>440148.19920539204</v>
      </c>
      <c r="AA176" s="132">
        <v>460154.93553290988</v>
      </c>
      <c r="AB176" s="132">
        <v>480161.67186042771</v>
      </c>
      <c r="AC176" s="132">
        <v>500168.40818794555</v>
      </c>
      <c r="AD176" s="132">
        <v>520175.14451546338</v>
      </c>
      <c r="AE176" s="132">
        <v>540181.88084298116</v>
      </c>
      <c r="AF176" s="132">
        <v>560188.61717049894</v>
      </c>
      <c r="AG176" s="132">
        <v>580195.35349801672</v>
      </c>
      <c r="AH176" s="3"/>
      <c r="AI176" s="3"/>
    </row>
    <row r="177" spans="3:35">
      <c r="C177" s="165" t="s">
        <v>375</v>
      </c>
      <c r="D177" s="133">
        <v>0</v>
      </c>
      <c r="E177" s="133">
        <v>0</v>
      </c>
      <c r="F177" s="133">
        <v>0</v>
      </c>
      <c r="G177" s="133">
        <v>0</v>
      </c>
      <c r="H177" s="133">
        <v>0</v>
      </c>
      <c r="I177" s="133">
        <v>0</v>
      </c>
      <c r="J177" s="133">
        <v>0</v>
      </c>
      <c r="K177" s="133">
        <v>0</v>
      </c>
      <c r="L177" s="133">
        <v>0</v>
      </c>
      <c r="M177" s="133">
        <v>0</v>
      </c>
      <c r="N177" s="133">
        <v>0</v>
      </c>
      <c r="O177" s="133">
        <v>0</v>
      </c>
      <c r="P177" s="133">
        <v>0</v>
      </c>
      <c r="Q177" s="133">
        <v>0</v>
      </c>
      <c r="R177" s="133">
        <v>0</v>
      </c>
      <c r="S177" s="133">
        <v>0</v>
      </c>
      <c r="T177" s="133">
        <v>0</v>
      </c>
      <c r="U177" s="133">
        <v>0</v>
      </c>
      <c r="V177" s="133">
        <v>0</v>
      </c>
      <c r="W177" s="133">
        <v>0</v>
      </c>
      <c r="X177" s="133">
        <v>0</v>
      </c>
      <c r="Y177" s="133">
        <v>0</v>
      </c>
      <c r="Z177" s="133">
        <v>0</v>
      </c>
      <c r="AA177" s="133">
        <v>0</v>
      </c>
      <c r="AB177" s="133">
        <v>0</v>
      </c>
      <c r="AC177" s="133">
        <v>0</v>
      </c>
      <c r="AD177" s="133">
        <v>0</v>
      </c>
      <c r="AE177" s="133">
        <v>0</v>
      </c>
      <c r="AF177" s="133">
        <v>0</v>
      </c>
      <c r="AG177" s="133">
        <v>0</v>
      </c>
      <c r="AH177" s="3"/>
      <c r="AI177" s="3"/>
    </row>
    <row r="178" spans="3:35" ht="14.4" thickBot="1"/>
    <row r="179" spans="3:35" s="157" customFormat="1" ht="53.4" thickBot="1">
      <c r="C179" s="120" t="s">
        <v>538</v>
      </c>
    </row>
    <row r="180" spans="3:35" s="157" customFormat="1" ht="14.4" thickBot="1"/>
    <row r="181" spans="3:35" s="157" customFormat="1" ht="16.2" customHeight="1">
      <c r="C181" s="158" t="s">
        <v>190</v>
      </c>
    </row>
    <row r="182" spans="3:35" s="157" customFormat="1" ht="83.4" thickBot="1">
      <c r="C182" s="159" t="s">
        <v>539</v>
      </c>
    </row>
    <row r="183" spans="3:35" s="157" customFormat="1" ht="16.2" customHeight="1" thickBot="1"/>
    <row r="184" spans="3:35" s="157" customFormat="1" ht="16.2" customHeight="1">
      <c r="C184" s="111" t="s">
        <v>189</v>
      </c>
      <c r="D184" s="110" t="s">
        <v>192</v>
      </c>
      <c r="E184" s="588" t="s">
        <v>377</v>
      </c>
      <c r="F184" s="588"/>
      <c r="G184" s="589"/>
    </row>
    <row r="185" spans="3:35" s="157" customFormat="1" ht="28.2" thickBot="1">
      <c r="C185" s="114" t="s">
        <v>378</v>
      </c>
      <c r="D185" s="112" t="s">
        <v>1</v>
      </c>
      <c r="E185" s="590"/>
      <c r="F185" s="590"/>
      <c r="G185" s="591"/>
    </row>
  </sheetData>
  <mergeCells count="2">
    <mergeCell ref="E184:G184"/>
    <mergeCell ref="E185:G185"/>
  </mergeCells>
  <conditionalFormatting sqref="D175:AG177">
    <cfRule type="expression" dxfId="15" priority="1">
      <formula>NOT(ISBLANK(D$268))</formula>
    </cfRule>
  </conditionalFormatting>
  <conditionalFormatting sqref="F72:AI72">
    <cfRule type="expression" dxfId="14" priority="34">
      <formula>NOT(ISBLANK(F$72))</formula>
    </cfRule>
  </conditionalFormatting>
  <conditionalFormatting sqref="F73:AI73">
    <cfRule type="expression" dxfId="13" priority="16">
      <formula>NOT(ISBLANK(F$74))</formula>
    </cfRule>
  </conditionalFormatting>
  <conditionalFormatting sqref="F78:AI78">
    <cfRule type="expression" dxfId="12" priority="59">
      <formula>NOT(ISBLANK(F$78))</formula>
    </cfRule>
  </conditionalFormatting>
  <conditionalFormatting sqref="F79:AI80">
    <cfRule type="expression" dxfId="11" priority="12">
      <formula>NOT(ISBLANK(F$74))</formula>
    </cfRule>
  </conditionalFormatting>
  <conditionalFormatting sqref="F81:AI81">
    <cfRule type="expression" dxfId="10" priority="58">
      <formula>NOT(ISBLANK(F$78))</formula>
    </cfRule>
  </conditionalFormatting>
  <conditionalFormatting sqref="F86:AI86">
    <cfRule type="expression" dxfId="9" priority="63">
      <formula>NOT(ISBLANK(#REF!))</formula>
    </cfRule>
  </conditionalFormatting>
  <conditionalFormatting sqref="F87:AI87">
    <cfRule type="expression" dxfId="8" priority="23">
      <formula>NOT(ISBLANK(F$86))</formula>
    </cfRule>
  </conditionalFormatting>
  <conditionalFormatting sqref="F92:AI92">
    <cfRule type="expression" dxfId="7" priority="55">
      <formula>NOT(ISBLANK(F$92))</formula>
    </cfRule>
  </conditionalFormatting>
  <conditionalFormatting sqref="F93:AI97">
    <cfRule type="expression" dxfId="6" priority="2">
      <formula>NOT(ISBLANK(F$74))</formula>
    </cfRule>
  </conditionalFormatting>
  <conditionalFormatting sqref="F110:AI110">
    <cfRule type="expression" dxfId="5" priority="20">
      <formula>NOT(ISBLANK(F$121))</formula>
    </cfRule>
  </conditionalFormatting>
  <conditionalFormatting sqref="F121:AI121">
    <cfRule type="expression" dxfId="4" priority="47">
      <formula>NOT(ISBLANK(F$121))</formula>
    </cfRule>
  </conditionalFormatting>
  <conditionalFormatting sqref="F122:AI128">
    <cfRule type="expression" dxfId="3" priority="46">
      <formula>NOT(ISBLANK(F$121))</formula>
    </cfRule>
  </conditionalFormatting>
  <conditionalFormatting sqref="G73:AI73">
    <cfRule type="expression" dxfId="2" priority="33">
      <formula>NOT(ISBLANK(G$72))</formula>
    </cfRule>
  </conditionalFormatting>
  <conditionalFormatting sqref="G79:AI80">
    <cfRule type="expression" dxfId="1" priority="13">
      <formula>NOT(ISBLANK(G$72))</formula>
    </cfRule>
  </conditionalFormatting>
  <conditionalFormatting sqref="G93:AI97">
    <cfRule type="expression" dxfId="0" priority="3">
      <formula>NOT(ISBLANK(G$72))</formula>
    </cfRule>
  </conditionalFormatting>
  <dataValidations count="1">
    <dataValidation type="list" allowBlank="1" showInputMessage="1" showErrorMessage="1" sqref="D185" xr:uid="{FD94F269-C469-437A-887C-0A238D9B68EA}">
      <formula1>i_n_list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3a131ad-3fb9-4289-aa3d-736599be9288" xsi:nil="true"/>
    <lcf76f155ced4ddcb4097134ff3c332f xmlns="53bc1444-e19f-4e2b-9916-f509625d5c0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F1711B5AC70E409006D227FE96C767" ma:contentTypeVersion="17" ma:contentTypeDescription="Create a new document." ma:contentTypeScope="" ma:versionID="e1abc5d568d666eec424fcc98d9a2a01">
  <xsd:schema xmlns:xsd="http://www.w3.org/2001/XMLSchema" xmlns:xs="http://www.w3.org/2001/XMLSchema" xmlns:p="http://schemas.microsoft.com/office/2006/metadata/properties" xmlns:ns2="53bc1444-e19f-4e2b-9916-f509625d5c0b" xmlns:ns3="63a131ad-3fb9-4289-aa3d-736599be9288" targetNamespace="http://schemas.microsoft.com/office/2006/metadata/properties" ma:root="true" ma:fieldsID="1e39f30371ddc006d1ba04cea1c7478f" ns2:_="" ns3:_="">
    <xsd:import namespace="53bc1444-e19f-4e2b-9916-f509625d5c0b"/>
    <xsd:import namespace="63a131ad-3fb9-4289-aa3d-736599be928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bc1444-e19f-4e2b-9916-f509625d5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0f7ca87-0788-4bbc-99ee-753741350de0"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3a131ad-3fb9-4289-aa3d-736599be928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ca131f1-050f-480e-a68a-8be0afd92fe1}" ma:internalName="TaxCatchAll" ma:showField="CatchAllData" ma:web="63a131ad-3fb9-4289-aa3d-736599be92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74215E-C28E-413B-91D6-97729768494F}">
  <ds:schemaRefs>
    <ds:schemaRef ds:uri="http://schemas.microsoft.com/office/2006/metadata/properties"/>
    <ds:schemaRef ds:uri="http://schemas.microsoft.com/office/infopath/2007/PartnerControls"/>
    <ds:schemaRef ds:uri="63a131ad-3fb9-4289-aa3d-736599be9288"/>
    <ds:schemaRef ds:uri="53bc1444-e19f-4e2b-9916-f509625d5c0b"/>
  </ds:schemaRefs>
</ds:datastoreItem>
</file>

<file path=customXml/itemProps2.xml><?xml version="1.0" encoding="utf-8"?>
<ds:datastoreItem xmlns:ds="http://schemas.openxmlformats.org/officeDocument/2006/customXml" ds:itemID="{807F5CC8-DFFB-4B5E-B6CD-40A767E0B9B2}">
  <ds:schemaRefs>
    <ds:schemaRef ds:uri="http://schemas.microsoft.com/sharepoint/v3/contenttype/forms"/>
  </ds:schemaRefs>
</ds:datastoreItem>
</file>

<file path=customXml/itemProps3.xml><?xml version="1.0" encoding="utf-8"?>
<ds:datastoreItem xmlns:ds="http://schemas.openxmlformats.org/officeDocument/2006/customXml" ds:itemID="{0FC66911-8BBE-4DD3-8817-FBB73F0FDD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Munkalapok</vt:lpstr>
      </vt:variant>
      <vt:variant>
        <vt:i4>20</vt:i4>
      </vt:variant>
      <vt:variant>
        <vt:lpstr>Névvel ellátott tartományok</vt:lpstr>
      </vt:variant>
      <vt:variant>
        <vt:i4>44</vt:i4>
      </vt:variant>
    </vt:vector>
  </HeadingPairs>
  <TitlesOfParts>
    <vt:vector size="64" baseType="lpstr">
      <vt:lpstr>Ábra</vt:lpstr>
      <vt:lpstr>Főoldal</vt:lpstr>
      <vt:lpstr>Beruházási_ktg_input</vt:lpstr>
      <vt:lpstr>Működési_input</vt:lpstr>
      <vt:lpstr>Pénzügyi elemzés</vt:lpstr>
      <vt:lpstr>Közgazdasági elemzés</vt:lpstr>
      <vt:lpstr>Érzékenység</vt:lpstr>
      <vt:lpstr>Háttérszámítások</vt:lpstr>
      <vt:lpstr>nem_áll_fin_hiány</vt:lpstr>
      <vt:lpstr>nem_áll_egyszerű</vt:lpstr>
      <vt:lpstr>áll_tám_egyszerű</vt:lpstr>
      <vt:lpstr>áll_tám_műk_eredmény</vt:lpstr>
      <vt:lpstr>nem_áll_fin_hiány_t</vt:lpstr>
      <vt:lpstr>áll_tám_egyszerű_csekély_t</vt:lpstr>
      <vt:lpstr>áll_tám_egyszerű_körny_70_I_t</vt:lpstr>
      <vt:lpstr>áll_tám_egyszerű_körny_70_II_t</vt:lpstr>
      <vt:lpstr>áll_tám_egyszerű_E-H_töltő_t</vt:lpstr>
      <vt:lpstr>áll_tám_egyszerű_megújuló_I_t</vt:lpstr>
      <vt:lpstr>áll_tám_egyszerű_regionális_t</vt:lpstr>
      <vt:lpstr>áll_tám_műk_eredmény_közszolg_t</vt:lpstr>
      <vt:lpstr>afa_visszaig</vt:lpstr>
      <vt:lpstr>áll_tám_i</vt:lpstr>
      <vt:lpstr>áll_tám_n</vt:lpstr>
      <vt:lpstr>áll_tám_rel</vt:lpstr>
      <vt:lpstr>azon_valaszt</vt:lpstr>
      <vt:lpstr>edr</vt:lpstr>
      <vt:lpstr>elozo_valasz</vt:lpstr>
      <vt:lpstr>elsz_nem_elsz_ktg</vt:lpstr>
      <vt:lpstr>eur</vt:lpstr>
      <vt:lpstr>fdr_áll</vt:lpstr>
      <vt:lpstr>fdr_nem_áll</vt:lpstr>
      <vt:lpstr>Felh_azon</vt:lpstr>
      <vt:lpstr>Felh_cím</vt:lpstr>
      <vt:lpstr>felh_valaszt</vt:lpstr>
      <vt:lpstr>felh_valaszt_list</vt:lpstr>
      <vt:lpstr>gazd_tev</vt:lpstr>
      <vt:lpstr>i_n_list</vt:lpstr>
      <vt:lpstr>ker_hat</vt:lpstr>
      <vt:lpstr>kiv_tam_jogcim</vt:lpstr>
      <vt:lpstr>korny_kar_list</vt:lpstr>
      <vt:lpstr>köv_valaszoljon</vt:lpstr>
      <vt:lpstr>közc_tev</vt:lpstr>
      <vt:lpstr>ktg_sor</vt:lpstr>
      <vt:lpstr>last_year</vt:lpstr>
      <vt:lpstr>megujulo_energia</vt:lpstr>
      <vt:lpstr>muk_tam_cs</vt:lpstr>
      <vt:lpstr>ne_valaszoljon</vt:lpstr>
      <vt:lpstr>nem_rel</vt:lpstr>
      <vt:lpstr>oke</vt:lpstr>
      <vt:lpstr>op_start</vt:lpstr>
      <vt:lpstr>penz_fennt__i</vt:lpstr>
      <vt:lpstr>penz_fennt_n</vt:lpstr>
      <vt:lpstr>pü_bev_nem_áll</vt:lpstr>
      <vt:lpstr>pü_egyéb_pá_nem_áll</vt:lpstr>
      <vt:lpstr>pü_OM_nem_áll</vt:lpstr>
      <vt:lpstr>pü_önerő_nem_áll</vt:lpstr>
      <vt:lpstr>pü_pótl_nem_áll</vt:lpstr>
      <vt:lpstr>reg_tam_arany_onkorm</vt:lpstr>
      <vt:lpstr>start_year</vt:lpstr>
      <vt:lpstr>Szerv_form</vt:lpstr>
      <vt:lpstr>Tam_jogcim</vt:lpstr>
      <vt:lpstr>torolje</vt:lpstr>
      <vt:lpstr>valaszoljon</vt:lpstr>
      <vt:lpstr>Varmegye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Balogh Bence</dc:creator>
  <cp:keywords/>
  <dc:description/>
  <cp:lastModifiedBy>Balogh Bence</cp:lastModifiedBy>
  <cp:revision/>
  <dcterms:created xsi:type="dcterms:W3CDTF">2024-11-07T11:48:01Z</dcterms:created>
  <dcterms:modified xsi:type="dcterms:W3CDTF">2026-03-10T11:12:08Z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0x0101001CF1711B5AC70E409006D227FE96C767</vt:lpwstr>
  </property>
  <property fmtid="{D5CDD505-2E9C-101B-9397-08002B2CF9AE}" pid="3" name="MediaServiceImageTags">
    <vt:lpwstr/>
  </property>
  <property fmtid="{D5CDD505-2E9C-101B-9397-08002B2CF9AE}" pid="4" name="Order">
    <vt:r8>63800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